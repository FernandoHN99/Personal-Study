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fernandohenriques/Documents/Dev/Personal-Study/Personal-Study_Excel/project-MacrosPlanilha/"/>
    </mc:Choice>
  </mc:AlternateContent>
  <xr:revisionPtr revIDLastSave="0" documentId="13_ncr:1_{FBFBB152-4BB8-5247-A809-AEB7AB5F762C}" xr6:coauthVersionLast="47" xr6:coauthVersionMax="47" xr10:uidLastSave="{00000000-0000-0000-0000-000000000000}"/>
  <bookViews>
    <workbookView xWindow="0" yWindow="500" windowWidth="25600" windowHeight="15500" xr2:uid="{DA5F7CAC-187B-8A40-BA99-40D3574D4061}"/>
  </bookViews>
  <sheets>
    <sheet name="Home1" sheetId="1" r:id="rId1"/>
    <sheet name="Picklists" sheetId="2" r:id="rId2"/>
    <sheet name="Dieta_01" sheetId="6" r:id="rId3"/>
    <sheet name="Dieta_Modelo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" l="1"/>
  <c r="F18" i="1" s="1"/>
  <c r="E17" i="1"/>
  <c r="F17" i="1" s="1"/>
  <c r="J56" i="6"/>
  <c r="J57" i="6"/>
  <c r="J58" i="6"/>
  <c r="J59" i="6"/>
  <c r="J60" i="6"/>
  <c r="J61" i="6"/>
  <c r="J62" i="6"/>
  <c r="J63" i="6"/>
  <c r="B1048508" i="7" a="1"/>
  <c r="B1048508" i="7" s="1"/>
  <c r="J77" i="7"/>
  <c r="J76" i="7"/>
  <c r="J75" i="7"/>
  <c r="J74" i="7"/>
  <c r="J73" i="7"/>
  <c r="J72" i="7"/>
  <c r="J71" i="7"/>
  <c r="J70" i="7"/>
  <c r="J63" i="7"/>
  <c r="J62" i="7"/>
  <c r="J61" i="7"/>
  <c r="J60" i="7"/>
  <c r="J59" i="7"/>
  <c r="J58" i="7"/>
  <c r="J57" i="7"/>
  <c r="J56" i="7"/>
  <c r="J49" i="7"/>
  <c r="J48" i="7"/>
  <c r="J47" i="7"/>
  <c r="J46" i="7"/>
  <c r="J45" i="7"/>
  <c r="J44" i="7"/>
  <c r="J43" i="7"/>
  <c r="J42" i="7"/>
  <c r="J35" i="7"/>
  <c r="J34" i="7"/>
  <c r="J33" i="7"/>
  <c r="J32" i="7"/>
  <c r="J31" i="7"/>
  <c r="J30" i="7"/>
  <c r="J29" i="7"/>
  <c r="J28" i="7"/>
  <c r="J21" i="7"/>
  <c r="J20" i="7"/>
  <c r="J19" i="7"/>
  <c r="J18" i="7"/>
  <c r="J17" i="7"/>
  <c r="J16" i="7"/>
  <c r="J15" i="7"/>
  <c r="J14" i="7"/>
  <c r="C8" i="7"/>
  <c r="C7" i="7"/>
  <c r="G7" i="7" s="1"/>
  <c r="B1048508" i="6" a="1"/>
  <c r="B1048508" i="6" s="1"/>
  <c r="J77" i="6"/>
  <c r="J76" i="6"/>
  <c r="J75" i="6"/>
  <c r="J74" i="6"/>
  <c r="J73" i="6"/>
  <c r="J72" i="6"/>
  <c r="J71" i="6"/>
  <c r="J70" i="6"/>
  <c r="J49" i="6"/>
  <c r="J48" i="6"/>
  <c r="J47" i="6"/>
  <c r="J46" i="6"/>
  <c r="J45" i="6"/>
  <c r="J44" i="6"/>
  <c r="J43" i="6"/>
  <c r="J42" i="6"/>
  <c r="J35" i="6"/>
  <c r="J34" i="6"/>
  <c r="J33" i="6"/>
  <c r="J32" i="6"/>
  <c r="J31" i="6"/>
  <c r="J30" i="6"/>
  <c r="J29" i="6"/>
  <c r="J28" i="6"/>
  <c r="J21" i="6"/>
  <c r="J20" i="6"/>
  <c r="J19" i="6"/>
  <c r="J18" i="6"/>
  <c r="J17" i="6"/>
  <c r="J16" i="6"/>
  <c r="J15" i="6"/>
  <c r="J14" i="6"/>
  <c r="C8" i="6"/>
  <c r="G8" i="6" s="1"/>
  <c r="C7" i="6"/>
  <c r="O2" i="2" a="1"/>
  <c r="O2" i="2" s="1"/>
  <c r="Q2" i="2" a="1"/>
  <c r="Q2" i="2" s="1"/>
  <c r="G8" i="7" l="1"/>
  <c r="G7" i="6"/>
  <c r="D7" i="1" a="1"/>
  <c r="D7" i="1" s="1"/>
  <c r="J2" i="2"/>
  <c r="K7" i="1" s="1"/>
  <c r="K8" i="1" s="1" a="1"/>
  <c r="K8" i="1" s="1"/>
  <c r="K9" i="1" s="1" a="1"/>
  <c r="K9" i="1" s="1"/>
  <c r="F11" i="1" s="1"/>
  <c r="E16" i="1" s="1"/>
  <c r="F16" i="1" s="1"/>
  <c r="C6" i="7" l="1"/>
  <c r="C9" i="7" s="1"/>
  <c r="D14" i="6"/>
  <c r="E28" i="6"/>
  <c r="H14" i="6"/>
  <c r="F14" i="6"/>
  <c r="E14" i="6"/>
  <c r="I14" i="6"/>
  <c r="G28" i="6"/>
  <c r="H28" i="6"/>
  <c r="G14" i="6"/>
  <c r="I28" i="6"/>
  <c r="F28" i="6"/>
  <c r="D28" i="6"/>
  <c r="C6" i="6"/>
  <c r="J3" i="2"/>
  <c r="G6" i="7" l="1"/>
  <c r="G9" i="7" s="1"/>
  <c r="F19" i="1"/>
  <c r="E19" i="1"/>
  <c r="G6" i="6"/>
  <c r="G9" i="6" s="1"/>
  <c r="C9" i="6"/>
  <c r="F29" i="6" l="1"/>
  <c r="G29" i="6"/>
  <c r="H29" i="6"/>
  <c r="E29" i="6"/>
  <c r="D29" i="6"/>
  <c r="I29" i="6"/>
  <c r="E58" i="6"/>
  <c r="I56" i="6"/>
  <c r="H63" i="6"/>
  <c r="F63" i="6"/>
  <c r="H58" i="6"/>
  <c r="I60" i="6"/>
  <c r="D57" i="6"/>
  <c r="D61" i="6"/>
  <c r="G56" i="6"/>
  <c r="H62" i="6"/>
  <c r="D56" i="6"/>
  <c r="I62" i="6"/>
  <c r="F62" i="6"/>
  <c r="H56" i="6"/>
  <c r="G57" i="6"/>
  <c r="E56" i="6"/>
  <c r="H59" i="6"/>
  <c r="E62" i="6"/>
  <c r="H60" i="6"/>
  <c r="F60" i="6"/>
  <c r="G58" i="6"/>
  <c r="D59" i="6"/>
  <c r="E57" i="6"/>
  <c r="I59" i="6"/>
  <c r="H57" i="6"/>
  <c r="F61" i="6"/>
  <c r="F59" i="6"/>
  <c r="E60" i="6"/>
  <c r="F58" i="6"/>
  <c r="D63" i="6"/>
  <c r="G61" i="6"/>
  <c r="I58" i="6"/>
  <c r="H61" i="6"/>
  <c r="I61" i="6"/>
  <c r="F56" i="6"/>
  <c r="G59" i="6"/>
  <c r="I63" i="6"/>
  <c r="G60" i="6"/>
  <c r="E63" i="6"/>
  <c r="I57" i="6"/>
  <c r="E61" i="6"/>
  <c r="D58" i="6"/>
  <c r="E59" i="6"/>
  <c r="F57" i="6"/>
  <c r="D62" i="6"/>
  <c r="G63" i="6"/>
  <c r="D60" i="6"/>
  <c r="G62" i="6"/>
  <c r="I73" i="6"/>
  <c r="G44" i="7"/>
  <c r="H28" i="7"/>
  <c r="F73" i="6"/>
  <c r="F43" i="7"/>
  <c r="D20" i="7"/>
  <c r="D70" i="6"/>
  <c r="I75" i="6"/>
  <c r="G32" i="7"/>
  <c r="I17" i="7"/>
  <c r="H43" i="6"/>
  <c r="H74" i="6"/>
  <c r="D72" i="7"/>
  <c r="E77" i="6"/>
  <c r="E60" i="7"/>
  <c r="F31" i="6"/>
  <c r="D19" i="7"/>
  <c r="D34" i="6"/>
  <c r="D70" i="7"/>
  <c r="E35" i="7"/>
  <c r="F47" i="6"/>
  <c r="I30" i="7"/>
  <c r="G48" i="6"/>
  <c r="F71" i="7"/>
  <c r="I33" i="7"/>
  <c r="I21" i="6"/>
  <c r="I77" i="7"/>
  <c r="G46" i="7"/>
  <c r="I14" i="7"/>
  <c r="H34" i="6"/>
  <c r="I47" i="7"/>
  <c r="G34" i="6"/>
  <c r="I57" i="7"/>
  <c r="D21" i="7"/>
  <c r="I42" i="6"/>
  <c r="H57" i="7"/>
  <c r="E75" i="6"/>
  <c r="G49" i="7"/>
  <c r="I35" i="6"/>
  <c r="E47" i="7"/>
  <c r="D77" i="7"/>
  <c r="I48" i="7"/>
  <c r="H49" i="6"/>
  <c r="D49" i="7"/>
  <c r="G42" i="6"/>
  <c r="E16" i="6"/>
  <c r="D74" i="6"/>
  <c r="H76" i="7"/>
  <c r="D71" i="6"/>
  <c r="F30" i="6"/>
  <c r="G75" i="7"/>
  <c r="E72" i="6"/>
  <c r="F74" i="7"/>
  <c r="H72" i="6"/>
  <c r="H75" i="6"/>
  <c r="E73" i="7"/>
  <c r="H70" i="6"/>
  <c r="G31" i="7"/>
  <c r="D47" i="6"/>
  <c r="D43" i="6"/>
  <c r="G71" i="7"/>
  <c r="F61" i="7"/>
  <c r="D62" i="7"/>
  <c r="H29" i="7"/>
  <c r="I45" i="6"/>
  <c r="I28" i="7"/>
  <c r="H46" i="6"/>
  <c r="D30" i="7"/>
  <c r="I59" i="7"/>
  <c r="I31" i="7"/>
  <c r="G20" i="6"/>
  <c r="I75" i="7"/>
  <c r="E45" i="7"/>
  <c r="G76" i="6"/>
  <c r="F33" i="6"/>
  <c r="D21" i="6"/>
  <c r="E46" i="7"/>
  <c r="H49" i="7"/>
  <c r="D18" i="7"/>
  <c r="F34" i="6"/>
  <c r="F47" i="7"/>
  <c r="F46" i="6"/>
  <c r="G47" i="6"/>
  <c r="I35" i="7"/>
  <c r="E77" i="7"/>
  <c r="I45" i="7"/>
  <c r="D74" i="7"/>
  <c r="H45" i="7"/>
  <c r="D31" i="6"/>
  <c r="E30" i="6"/>
  <c r="E76" i="7"/>
  <c r="G74" i="6"/>
  <c r="G43" i="6"/>
  <c r="D75" i="7"/>
  <c r="D46" i="6"/>
  <c r="F42" i="6"/>
  <c r="I72" i="7"/>
  <c r="F42" i="7"/>
  <c r="F46" i="7"/>
  <c r="H42" i="6"/>
  <c r="E49" i="7"/>
  <c r="E35" i="6"/>
  <c r="D48" i="7"/>
  <c r="I31" i="6"/>
  <c r="H32" i="7"/>
  <c r="H30" i="6"/>
  <c r="E63" i="7"/>
  <c r="D32" i="6"/>
  <c r="D16" i="7"/>
  <c r="D44" i="7"/>
  <c r="I56" i="7"/>
  <c r="G58" i="7"/>
  <c r="H21" i="7"/>
  <c r="E44" i="6"/>
  <c r="E18" i="7"/>
  <c r="F45" i="6"/>
  <c r="I71" i="6"/>
  <c r="E58" i="7"/>
  <c r="G29" i="7"/>
  <c r="I17" i="6"/>
  <c r="G73" i="7"/>
  <c r="E42" i="7"/>
  <c r="G77" i="6"/>
  <c r="D45" i="7"/>
  <c r="G77" i="7"/>
  <c r="H47" i="7"/>
  <c r="G14" i="7"/>
  <c r="D33" i="6"/>
  <c r="F34" i="7"/>
  <c r="D45" i="6"/>
  <c r="I18" i="6"/>
  <c r="E30" i="7"/>
  <c r="E74" i="7"/>
  <c r="I43" i="7"/>
  <c r="I71" i="7"/>
  <c r="F35" i="7"/>
  <c r="H44" i="7"/>
  <c r="I61" i="7"/>
  <c r="D47" i="7"/>
  <c r="G43" i="7"/>
  <c r="H60" i="7"/>
  <c r="G30" i="7"/>
  <c r="E28" i="7"/>
  <c r="E49" i="6"/>
  <c r="G17" i="6"/>
  <c r="D61" i="7"/>
  <c r="F44" i="6"/>
  <c r="F49" i="6"/>
  <c r="F16" i="6"/>
  <c r="G20" i="7"/>
  <c r="G35" i="6"/>
  <c r="I32" i="6"/>
  <c r="E15" i="6"/>
  <c r="F19" i="7"/>
  <c r="H32" i="6"/>
  <c r="H19" i="6"/>
  <c r="G75" i="6"/>
  <c r="D31" i="7"/>
  <c r="I76" i="7"/>
  <c r="I44" i="6"/>
  <c r="D17" i="7"/>
  <c r="G15" i="7"/>
  <c r="E72" i="7"/>
  <c r="E57" i="7"/>
  <c r="E15" i="7"/>
  <c r="H33" i="6"/>
  <c r="H14" i="7"/>
  <c r="E33" i="6"/>
  <c r="I49" i="6"/>
  <c r="D57" i="7"/>
  <c r="G21" i="7"/>
  <c r="I48" i="6"/>
  <c r="H16" i="6"/>
  <c r="E71" i="7"/>
  <c r="I34" i="7"/>
  <c r="H21" i="6"/>
  <c r="H35" i="6"/>
  <c r="D42" i="7"/>
  <c r="I74" i="7"/>
  <c r="D46" i="7"/>
  <c r="E76" i="6"/>
  <c r="F21" i="6"/>
  <c r="E33" i="7"/>
  <c r="E34" i="6"/>
  <c r="F77" i="7"/>
  <c r="I77" i="6"/>
  <c r="G70" i="7"/>
  <c r="H35" i="7"/>
  <c r="E70" i="7"/>
  <c r="D34" i="7"/>
  <c r="I74" i="6"/>
  <c r="G76" i="7"/>
  <c r="G35" i="7"/>
  <c r="F70" i="7"/>
  <c r="H73" i="6"/>
  <c r="F75" i="7"/>
  <c r="D32" i="7"/>
  <c r="G62" i="7"/>
  <c r="G72" i="6"/>
  <c r="F63" i="7"/>
  <c r="I29" i="7"/>
  <c r="F49" i="7"/>
  <c r="D77" i="6"/>
  <c r="E71" i="6"/>
  <c r="F70" i="6"/>
  <c r="D15" i="7"/>
  <c r="E70" i="6"/>
  <c r="G49" i="6"/>
  <c r="E44" i="7"/>
  <c r="I15" i="6"/>
  <c r="D43" i="7"/>
  <c r="H15" i="6"/>
  <c r="D71" i="7"/>
  <c r="E32" i="7"/>
  <c r="F15" i="6"/>
  <c r="E48" i="7"/>
  <c r="G31" i="6"/>
  <c r="E20" i="7"/>
  <c r="E48" i="6"/>
  <c r="G63" i="7"/>
  <c r="G70" i="6"/>
  <c r="I44" i="7"/>
  <c r="G48" i="7"/>
  <c r="D75" i="6"/>
  <c r="I30" i="6"/>
  <c r="F76" i="6"/>
  <c r="F48" i="7"/>
  <c r="I18" i="7"/>
  <c r="H45" i="6"/>
  <c r="I63" i="7"/>
  <c r="H33" i="7"/>
  <c r="F20" i="6"/>
  <c r="G33" i="7"/>
  <c r="G72" i="7"/>
  <c r="G34" i="7"/>
  <c r="I72" i="6"/>
  <c r="D20" i="6"/>
  <c r="F28" i="7"/>
  <c r="E21" i="6"/>
  <c r="H74" i="7"/>
  <c r="F62" i="7"/>
  <c r="E34" i="7"/>
  <c r="E62" i="7"/>
  <c r="I21" i="7"/>
  <c r="F72" i="6"/>
  <c r="F20" i="7"/>
  <c r="D35" i="7"/>
  <c r="E19" i="7"/>
  <c r="D49" i="6"/>
  <c r="F18" i="6"/>
  <c r="E43" i="7"/>
  <c r="E16" i="7"/>
  <c r="F43" i="6"/>
  <c r="E17" i="6"/>
  <c r="F76" i="7"/>
  <c r="I76" i="6"/>
  <c r="E42" i="6"/>
  <c r="D16" i="6"/>
  <c r="E75" i="7"/>
  <c r="D30" i="6"/>
  <c r="H72" i="7"/>
  <c r="H63" i="7"/>
  <c r="D73" i="6"/>
  <c r="F30" i="7"/>
  <c r="I46" i="7"/>
  <c r="G71" i="6"/>
  <c r="H20" i="6"/>
  <c r="I70" i="6"/>
  <c r="G21" i="6"/>
  <c r="D14" i="7"/>
  <c r="H46" i="7"/>
  <c r="I16" i="7"/>
  <c r="D44" i="6"/>
  <c r="H47" i="6"/>
  <c r="H61" i="7"/>
  <c r="F21" i="7"/>
  <c r="H48" i="6"/>
  <c r="H17" i="6"/>
  <c r="H77" i="7"/>
  <c r="E21" i="7"/>
  <c r="I70" i="7"/>
  <c r="F33" i="7"/>
  <c r="I16" i="6"/>
  <c r="I15" i="7"/>
  <c r="D33" i="7"/>
  <c r="F72" i="7"/>
  <c r="I47" i="6"/>
  <c r="G60" i="7"/>
  <c r="H17" i="7"/>
  <c r="F60" i="7"/>
  <c r="I19" i="7"/>
  <c r="F48" i="6"/>
  <c r="E61" i="7"/>
  <c r="H43" i="7"/>
  <c r="E47" i="6"/>
  <c r="D60" i="7"/>
  <c r="I20" i="7"/>
  <c r="I43" i="6"/>
  <c r="H56" i="7"/>
  <c r="G44" i="6"/>
  <c r="E19" i="6"/>
  <c r="E43" i="6"/>
  <c r="D63" i="7"/>
  <c r="H31" i="6"/>
  <c r="D18" i="6"/>
  <c r="D42" i="6"/>
  <c r="D76" i="7"/>
  <c r="D15" i="6"/>
  <c r="F75" i="6"/>
  <c r="E31" i="6"/>
  <c r="I73" i="7"/>
  <c r="H75" i="7"/>
  <c r="E74" i="6"/>
  <c r="E17" i="7"/>
  <c r="G47" i="7"/>
  <c r="I20" i="6"/>
  <c r="G73" i="6"/>
  <c r="F56" i="7"/>
  <c r="F35" i="6"/>
  <c r="G30" i="6"/>
  <c r="G45" i="7"/>
  <c r="G15" i="6"/>
  <c r="E20" i="6"/>
  <c r="I33" i="6"/>
  <c r="F45" i="7"/>
  <c r="H76" i="6"/>
  <c r="I34" i="6"/>
  <c r="H71" i="6"/>
  <c r="H59" i="7"/>
  <c r="H18" i="7"/>
  <c r="I46" i="6"/>
  <c r="G61" i="7"/>
  <c r="F16" i="7"/>
  <c r="I62" i="7"/>
  <c r="H30" i="7"/>
  <c r="G46" i="6"/>
  <c r="F14" i="7"/>
  <c r="E46" i="6"/>
  <c r="H70" i="7"/>
  <c r="I58" i="7"/>
  <c r="H77" i="6"/>
  <c r="H58" i="7"/>
  <c r="G17" i="7"/>
  <c r="E29" i="7"/>
  <c r="G32" i="6"/>
  <c r="F58" i="7"/>
  <c r="I19" i="6"/>
  <c r="D28" i="7"/>
  <c r="F32" i="6"/>
  <c r="F17" i="7"/>
  <c r="H18" i="6"/>
  <c r="D73" i="7"/>
  <c r="E32" i="6"/>
  <c r="D35" i="6"/>
  <c r="H31" i="7"/>
  <c r="G18" i="7"/>
  <c r="F17" i="6"/>
  <c r="D29" i="7"/>
  <c r="G19" i="6"/>
  <c r="F19" i="6"/>
  <c r="H20" i="7"/>
  <c r="D56" i="7"/>
  <c r="E18" i="6"/>
  <c r="G19" i="7"/>
  <c r="I49" i="7"/>
  <c r="H19" i="7"/>
  <c r="D17" i="6"/>
  <c r="F18" i="7"/>
  <c r="H48" i="7"/>
  <c r="G18" i="6"/>
  <c r="D19" i="6"/>
  <c r="F31" i="7"/>
  <c r="H16" i="7"/>
  <c r="G74" i="7"/>
  <c r="F74" i="6"/>
  <c r="G56" i="7"/>
  <c r="F73" i="7"/>
  <c r="H71" i="7"/>
  <c r="I42" i="7"/>
  <c r="H34" i="7"/>
  <c r="H73" i="7"/>
  <c r="H42" i="7"/>
  <c r="F71" i="6"/>
  <c r="G33" i="6"/>
  <c r="H44" i="6"/>
  <c r="D58" i="7"/>
  <c r="G16" i="7"/>
  <c r="G45" i="6"/>
  <c r="H15" i="7"/>
  <c r="F59" i="7"/>
  <c r="E59" i="7"/>
  <c r="G28" i="7"/>
  <c r="E45" i="6"/>
  <c r="I60" i="7"/>
  <c r="D76" i="6"/>
  <c r="G16" i="6"/>
  <c r="H62" i="7"/>
  <c r="E14" i="7"/>
  <c r="G57" i="7"/>
  <c r="F57" i="7"/>
  <c r="F15" i="7"/>
  <c r="E73" i="6"/>
  <c r="F32" i="7"/>
  <c r="D59" i="7"/>
  <c r="G42" i="7"/>
  <c r="D72" i="6"/>
  <c r="E31" i="7"/>
  <c r="I32" i="7"/>
  <c r="E56" i="7"/>
  <c r="F29" i="7"/>
  <c r="D48" i="6"/>
  <c r="F44" i="7"/>
  <c r="G59" i="7"/>
  <c r="F77" i="6"/>
  <c r="D36" i="7" l="1"/>
  <c r="D64" i="6"/>
  <c r="I64" i="6"/>
  <c r="E36" i="7"/>
  <c r="F22" i="7"/>
  <c r="G64" i="6"/>
  <c r="H64" i="6"/>
  <c r="F64" i="6"/>
  <c r="E64" i="6"/>
  <c r="G78" i="6"/>
  <c r="D22" i="6"/>
  <c r="G36" i="6"/>
  <c r="D50" i="6"/>
  <c r="I50" i="6"/>
  <c r="D50" i="7"/>
  <c r="H50" i="7"/>
  <c r="F50" i="7"/>
  <c r="E36" i="6"/>
  <c r="F36" i="6"/>
  <c r="D78" i="7"/>
  <c r="D36" i="6"/>
  <c r="D64" i="7"/>
  <c r="F64" i="7"/>
  <c r="F78" i="6"/>
  <c r="E78" i="7"/>
  <c r="I78" i="7"/>
  <c r="I22" i="6"/>
  <c r="E50" i="7"/>
  <c r="F22" i="6"/>
  <c r="F78" i="7"/>
  <c r="H36" i="6"/>
  <c r="F50" i="6"/>
  <c r="G36" i="7"/>
  <c r="I22" i="7"/>
  <c r="H36" i="7"/>
  <c r="F36" i="7"/>
  <c r="G50" i="7"/>
  <c r="H64" i="7"/>
  <c r="E50" i="6"/>
  <c r="G64" i="7"/>
  <c r="E22" i="7"/>
  <c r="I36" i="7"/>
  <c r="G22" i="7"/>
  <c r="H78" i="6"/>
  <c r="G50" i="6"/>
  <c r="E64" i="7"/>
  <c r="H22" i="7"/>
  <c r="I50" i="7"/>
  <c r="H22" i="6"/>
  <c r="H78" i="7"/>
  <c r="E78" i="6"/>
  <c r="E22" i="6"/>
  <c r="G22" i="6"/>
  <c r="I64" i="7"/>
  <c r="D22" i="7"/>
  <c r="I36" i="6"/>
  <c r="H50" i="6"/>
  <c r="G78" i="7"/>
  <c r="D78" i="6"/>
  <c r="I78" i="6"/>
  <c r="D6" i="7" l="1"/>
  <c r="H6" i="7" s="1"/>
  <c r="D8" i="7"/>
  <c r="H8" i="7" s="1"/>
  <c r="D8" i="6"/>
  <c r="H8" i="6" s="1"/>
  <c r="D7" i="7"/>
  <c r="H7" i="7" s="1"/>
  <c r="D6" i="6"/>
  <c r="D7" i="6"/>
  <c r="H7" i="6" s="1"/>
  <c r="H9" i="7" l="1"/>
  <c r="D9" i="7"/>
  <c r="H6" i="6"/>
  <c r="H9" i="6" s="1"/>
  <c r="D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<sst xmlns="http://schemas.openxmlformats.org/spreadsheetml/2006/main" count="222" uniqueCount="67">
  <si>
    <t>Quantidade</t>
  </si>
  <si>
    <t>Alimento</t>
  </si>
  <si>
    <t>Carbo</t>
  </si>
  <si>
    <t>Proteina</t>
  </si>
  <si>
    <t>Gordura</t>
  </si>
  <si>
    <t>Café da Manhã</t>
  </si>
  <si>
    <t>Almoço</t>
  </si>
  <si>
    <t>Macros</t>
  </si>
  <si>
    <t>Meta (g)</t>
  </si>
  <si>
    <t>Restante (g)</t>
  </si>
  <si>
    <t>Meta (Kcal)</t>
  </si>
  <si>
    <t>Restante (Kcal)</t>
  </si>
  <si>
    <t>Total</t>
  </si>
  <si>
    <t>Gênero</t>
  </si>
  <si>
    <t>Feminino</t>
  </si>
  <si>
    <t>Altura (cm)</t>
  </si>
  <si>
    <t>Peso (kg)</t>
  </si>
  <si>
    <t>Nível de Atividade</t>
  </si>
  <si>
    <t>Sedentário</t>
  </si>
  <si>
    <t>Taxa de Metabolismo Basal (TMB):</t>
  </si>
  <si>
    <t>Fórmulas</t>
  </si>
  <si>
    <t>Masculino</t>
  </si>
  <si>
    <t>Femino</t>
  </si>
  <si>
    <t>Idade</t>
  </si>
  <si>
    <t>Exercício Moderado</t>
  </si>
  <si>
    <t>Exercício Intenso</t>
  </si>
  <si>
    <t>Exercício Muito Intenso</t>
  </si>
  <si>
    <t>Exercício Leve</t>
  </si>
  <si>
    <t>kcal</t>
  </si>
  <si>
    <t>Objetivo</t>
  </si>
  <si>
    <t>Ganho de massa</t>
  </si>
  <si>
    <t>Emagrecimento</t>
  </si>
  <si>
    <t>Manutenção</t>
  </si>
  <si>
    <t>Taxa de Metabolismo Total (TMT):</t>
  </si>
  <si>
    <t>Quantidade de Calorias Final (QCF):</t>
  </si>
  <si>
    <t>Ajustes de Dieta</t>
  </si>
  <si>
    <t>Proteína</t>
  </si>
  <si>
    <t>Carboidrato</t>
  </si>
  <si>
    <t>Qtde (g/kg)</t>
  </si>
  <si>
    <t>Unidade de Medida</t>
  </si>
  <si>
    <t>Ovo De Galinha Inteiro Cozido</t>
  </si>
  <si>
    <t>Carne bovina patinho grelhado</t>
  </si>
  <si>
    <t>Arroz branco cozido</t>
  </si>
  <si>
    <t>Unidade</t>
  </si>
  <si>
    <t>Colher de Sopa</t>
  </si>
  <si>
    <t>Dieta 01</t>
  </si>
  <si>
    <t>Calorias (kcal)</t>
  </si>
  <si>
    <t>Carboidratos (g)</t>
  </si>
  <si>
    <t>Proteínas (g)</t>
  </si>
  <si>
    <t>Gorduras totais (g)</t>
  </si>
  <si>
    <t>Fibra alimentar (g)</t>
  </si>
  <si>
    <t>Sódio (mg)</t>
  </si>
  <si>
    <t>Alimentos</t>
  </si>
  <si>
    <t>Gramas (100g)</t>
  </si>
  <si>
    <t>Lanche da tarde</t>
  </si>
  <si>
    <t>Jantar</t>
  </si>
  <si>
    <t>Whey Growth</t>
  </si>
  <si>
    <t>Farelo de Aveia</t>
  </si>
  <si>
    <t>Iogurte Normal Activa</t>
  </si>
  <si>
    <t>Pré/PósTreino</t>
  </si>
  <si>
    <t>Feijão carioca cozido</t>
  </si>
  <si>
    <t>Filé de frango grelhado</t>
  </si>
  <si>
    <t>Doce de leite Aviação</t>
  </si>
  <si>
    <t>Insira Suas informações</t>
  </si>
  <si>
    <t>Informações sobre seu metabolismo</t>
  </si>
  <si>
    <t>Montagem do seu perfil metbólico</t>
  </si>
  <si>
    <t>Azeite extra virgem Gallo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</si>
</sst>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00B050"/>
      <name val="Calibri"/>
      <family val="2"/>
    </font>
    <font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color rgb="FF00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2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5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2" fillId="6" borderId="13" xfId="0" applyFont="1" applyFill="1" applyBorder="1" applyAlignment="1">
      <alignment horizontal="center" vertical="center"/>
    </xf>
    <xf numFmtId="0" fontId="4" fillId="0" borderId="0" xfId="0" applyFont="1"/>
    <xf numFmtId="0" fontId="6" fillId="0" borderId="0" xfId="0" applyFont="1"/>
    <xf numFmtId="0" fontId="6" fillId="3" borderId="6" xfId="0" applyFont="1" applyFill="1" applyBorder="1" applyAlignment="1">
      <alignment horizontal="center" vertical="center"/>
    </xf>
    <xf numFmtId="0" fontId="3" fillId="0" borderId="0" xfId="0" applyFont="1"/>
    <xf numFmtId="0" fontId="5" fillId="4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0" fillId="0" borderId="23" xfId="0" applyBorder="1"/>
    <xf numFmtId="0" fontId="6" fillId="3" borderId="28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9" fillId="0" borderId="0" xfId="0" applyFont="1"/>
    <xf numFmtId="0" fontId="11" fillId="3" borderId="14" xfId="0" applyFont="1" applyFill="1" applyBorder="1" applyAlignment="1">
      <alignment horizontal="center" vertical="center"/>
    </xf>
    <xf numFmtId="0" fontId="11" fillId="0" borderId="0" xfId="0" applyFont="1"/>
    <xf numFmtId="1" fontId="11" fillId="3" borderId="17" xfId="0" applyNumberFormat="1" applyFont="1" applyFill="1" applyBorder="1" applyAlignment="1">
      <alignment horizontal="right" vertical="center"/>
    </xf>
    <xf numFmtId="0" fontId="11" fillId="3" borderId="24" xfId="0" applyFont="1" applyFill="1" applyBorder="1" applyAlignment="1">
      <alignment horizontal="left" vertical="center"/>
    </xf>
    <xf numFmtId="0" fontId="11" fillId="3" borderId="15" xfId="0" applyFont="1" applyFill="1" applyBorder="1" applyAlignment="1">
      <alignment horizontal="center" vertical="center"/>
    </xf>
    <xf numFmtId="1" fontId="11" fillId="3" borderId="21" xfId="0" applyNumberFormat="1" applyFont="1" applyFill="1" applyBorder="1" applyAlignment="1">
      <alignment horizontal="right"/>
    </xf>
    <xf numFmtId="0" fontId="11" fillId="3" borderId="22" xfId="0" applyFont="1" applyFill="1" applyBorder="1"/>
    <xf numFmtId="1" fontId="11" fillId="3" borderId="23" xfId="0" applyNumberFormat="1" applyFont="1" applyFill="1" applyBorder="1" applyAlignment="1">
      <alignment horizontal="right" vertical="center"/>
    </xf>
    <xf numFmtId="0" fontId="11" fillId="3" borderId="25" xfId="0" applyFont="1" applyFill="1" applyBorder="1"/>
    <xf numFmtId="0" fontId="13" fillId="0" borderId="0" xfId="0" applyFont="1"/>
    <xf numFmtId="0" fontId="11" fillId="3" borderId="16" xfId="0" applyFont="1" applyFill="1" applyBorder="1" applyAlignment="1">
      <alignment horizontal="center" vertical="center"/>
    </xf>
    <xf numFmtId="164" fontId="11" fillId="3" borderId="25" xfId="0" applyNumberFormat="1" applyFont="1" applyFill="1" applyBorder="1" applyAlignment="1">
      <alignment horizontal="center"/>
    </xf>
    <xf numFmtId="0" fontId="11" fillId="3" borderId="24" xfId="0" applyFont="1" applyFill="1" applyBorder="1" applyAlignment="1" applyProtection="1">
      <alignment horizontal="center" vertical="center"/>
      <protection locked="0"/>
    </xf>
    <xf numFmtId="0" fontId="11" fillId="3" borderId="22" xfId="0" applyFont="1" applyFill="1" applyBorder="1" applyAlignment="1" applyProtection="1">
      <alignment horizontal="center" vertical="center"/>
      <protection locked="0"/>
    </xf>
    <xf numFmtId="0" fontId="11" fillId="3" borderId="25" xfId="0" applyFont="1" applyFill="1" applyBorder="1" applyAlignment="1" applyProtection="1">
      <alignment horizontal="center" vertical="center"/>
      <protection locked="0"/>
    </xf>
    <xf numFmtId="164" fontId="11" fillId="3" borderId="22" xfId="0" applyNumberFormat="1" applyFont="1" applyFill="1" applyBorder="1" applyAlignment="1" applyProtection="1">
      <alignment horizontal="center"/>
      <protection locked="0"/>
    </xf>
    <xf numFmtId="0" fontId="11" fillId="3" borderId="20" xfId="0" applyFont="1" applyFill="1" applyBorder="1" applyAlignment="1" applyProtection="1">
      <alignment horizontal="center" vertical="center"/>
      <protection locked="0"/>
    </xf>
    <xf numFmtId="0" fontId="11" fillId="3" borderId="5" xfId="0" applyFont="1" applyFill="1" applyBorder="1" applyAlignment="1">
      <alignment horizontal="center" vertical="center"/>
    </xf>
    <xf numFmtId="1" fontId="6" fillId="3" borderId="21" xfId="0" applyNumberFormat="1" applyFont="1" applyFill="1" applyBorder="1" applyAlignment="1">
      <alignment horizontal="center" vertical="center"/>
    </xf>
    <xf numFmtId="1" fontId="6" fillId="3" borderId="22" xfId="0" applyNumberFormat="1" applyFont="1" applyFill="1" applyBorder="1" applyAlignment="1">
      <alignment horizontal="center" vertical="center"/>
    </xf>
    <xf numFmtId="1" fontId="6" fillId="3" borderId="17" xfId="0" applyNumberFormat="1" applyFont="1" applyFill="1" applyBorder="1" applyAlignment="1">
      <alignment horizontal="center" vertical="center"/>
    </xf>
    <xf numFmtId="1" fontId="6" fillId="3" borderId="29" xfId="0" applyNumberFormat="1" applyFont="1" applyFill="1" applyBorder="1" applyAlignment="1">
      <alignment horizontal="center" vertical="center"/>
    </xf>
    <xf numFmtId="1" fontId="6" fillId="3" borderId="30" xfId="0" applyNumberFormat="1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1" fontId="6" fillId="3" borderId="19" xfId="0" applyNumberFormat="1" applyFont="1" applyFill="1" applyBorder="1" applyAlignment="1">
      <alignment horizontal="center" vertical="center"/>
    </xf>
    <xf numFmtId="1" fontId="6" fillId="3" borderId="20" xfId="0" applyNumberFormat="1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 vertical="center"/>
    </xf>
    <xf numFmtId="1" fontId="14" fillId="3" borderId="26" xfId="0" applyNumberFormat="1" applyFont="1" applyFill="1" applyBorder="1" applyAlignment="1">
      <alignment horizontal="center" vertical="center"/>
    </xf>
    <xf numFmtId="0" fontId="14" fillId="3" borderId="25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1" fillId="3" borderId="16" xfId="0" applyFont="1" applyFill="1" applyBorder="1" applyAlignment="1">
      <alignment horizontal="center" vertical="center"/>
    </xf>
    <xf numFmtId="0" fontId="11" fillId="3" borderId="26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20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center" vertical="center"/>
    </xf>
    <xf numFmtId="0" fontId="10" fillId="7" borderId="18" xfId="0" applyFont="1" applyFill="1" applyBorder="1" applyAlignment="1">
      <alignment horizontal="center" vertical="center"/>
    </xf>
    <xf numFmtId="0" fontId="10" fillId="7" borderId="19" xfId="0" applyFont="1" applyFill="1" applyBorder="1" applyAlignment="1">
      <alignment horizontal="center" vertical="center"/>
    </xf>
    <xf numFmtId="0" fontId="10" fillId="7" borderId="20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12" fillId="6" borderId="26" xfId="0" applyFont="1" applyFill="1" applyBorder="1" applyAlignment="1">
      <alignment horizontal="center" vertical="center"/>
    </xf>
    <xf numFmtId="0" fontId="11" fillId="3" borderId="18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3" borderId="3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1" fontId="14" fillId="3" borderId="20" xfId="0" applyNumberFormat="1" applyFont="1" applyFill="1" applyBorder="1" applyAlignment="1">
      <alignment horizontal="center" vertical="center"/>
    </xf>
    <xf numFmtId="0" fontId="14" fillId="3" borderId="18" xfId="0" applyFont="1" applyFill="1" applyBorder="1" applyAlignment="1">
      <alignment horizontal="center" vertical="center"/>
    </xf>
    <xf numFmtId="1" fontId="14" fillId="3" borderId="19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theme="0"/>
      </font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203200</xdr:rowOff>
        </xdr:from>
        <xdr:to>
          <xdr:col>6</xdr:col>
          <xdr:colOff>63500</xdr:colOff>
          <xdr:row>2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Refeição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0</xdr:row>
          <xdr:rowOff>203200</xdr:rowOff>
        </xdr:from>
        <xdr:to>
          <xdr:col>7</xdr:col>
          <xdr:colOff>850900</xdr:colOff>
          <xdr:row>2</xdr:row>
          <xdr:rowOff>25400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Alimento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203200</xdr:rowOff>
        </xdr:from>
        <xdr:to>
          <xdr:col>6</xdr:col>
          <xdr:colOff>63500</xdr:colOff>
          <xdr:row>2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Refeição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0</xdr:row>
          <xdr:rowOff>203200</xdr:rowOff>
        </xdr:from>
        <xdr:to>
          <xdr:col>7</xdr:col>
          <xdr:colOff>850900</xdr:colOff>
          <xdr:row>2</xdr:row>
          <xdr:rowOff>25400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Adicionar Alimento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38932-F248-C246-B8BC-FF0C4A4809DF}">
  <sheetPr codeName="Planilha1"/>
  <dimension ref="A2:L20"/>
  <sheetViews>
    <sheetView tabSelected="1" zoomScale="75" workbookViewId="0">
      <selection activeCell="N21" sqref="N21"/>
    </sheetView>
  </sheetViews>
  <sheetFormatPr baseColWidth="10" defaultRowHeight="17" x14ac:dyDescent="0.2"/>
  <cols>
    <col min="1" max="1" width="32.5" style="11" customWidth="1"/>
    <col min="2" max="2" width="26.6640625" style="11" customWidth="1"/>
    <col min="3" max="3" width="10.83203125" style="11"/>
    <col min="4" max="4" width="13.1640625" style="11" customWidth="1"/>
    <col min="5" max="5" width="10.83203125" style="11"/>
    <col min="6" max="6" width="15.6640625" style="11" customWidth="1"/>
    <col min="7" max="7" width="10.83203125" style="11"/>
    <col min="8" max="8" width="13.5" style="11" customWidth="1"/>
    <col min="9" max="9" width="10.83203125" style="11"/>
    <col min="10" max="10" width="15.1640625" style="11" customWidth="1"/>
    <col min="11" max="11" width="9" style="11" customWidth="1"/>
    <col min="12" max="16384" width="10.83203125" style="11"/>
  </cols>
  <sheetData>
    <row r="2" spans="1:12" ht="18" thickBot="1" x14ac:dyDescent="0.25"/>
    <row r="3" spans="1:12" ht="48" thickBot="1" x14ac:dyDescent="0.25">
      <c r="A3" s="68" t="s">
        <v>65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70"/>
    </row>
    <row r="5" spans="1:12" ht="18" thickBot="1" x14ac:dyDescent="0.25"/>
    <row r="6" spans="1:12" ht="25" thickBot="1" x14ac:dyDescent="0.25">
      <c r="A6" s="65" t="s">
        <v>63</v>
      </c>
      <c r="B6" s="66"/>
      <c r="D6" s="65" t="s">
        <v>35</v>
      </c>
      <c r="E6" s="67"/>
      <c r="F6" s="66"/>
      <c r="H6" s="65" t="s">
        <v>64</v>
      </c>
      <c r="I6" s="67"/>
      <c r="J6" s="67"/>
      <c r="K6" s="67"/>
      <c r="L6" s="66"/>
    </row>
    <row r="7" spans="1:12" ht="21" thickBot="1" x14ac:dyDescent="0.3">
      <c r="A7" s="33" t="s">
        <v>13</v>
      </c>
      <c r="B7" s="45" t="s">
        <v>21</v>
      </c>
      <c r="C7" s="34"/>
      <c r="D7" s="77" t="str" cm="1">
        <f t="array" ref="D7">_xlfn.IFS(B12=Picklists!B2,"% do TMT:",B12=Picklists!B3,"Qtde de Calorias Extras:",B12=Picklists!B4,"Sem Ajuste")</f>
        <v>% do TMT:</v>
      </c>
      <c r="E7" s="78"/>
      <c r="F7" s="49">
        <v>80</v>
      </c>
      <c r="G7" s="34"/>
      <c r="H7" s="71" t="s">
        <v>19</v>
      </c>
      <c r="I7" s="72"/>
      <c r="J7" s="72"/>
      <c r="K7" s="35">
        <f>IF(B7="Masculino",Picklists!J2,IF(B7="Feminino",Picklists!J3,""))</f>
        <v>1782.5</v>
      </c>
      <c r="L7" s="36" t="s">
        <v>28</v>
      </c>
    </row>
    <row r="8" spans="1:12" ht="20" x14ac:dyDescent="0.25">
      <c r="A8" s="37" t="s">
        <v>23</v>
      </c>
      <c r="B8" s="46">
        <v>23</v>
      </c>
      <c r="C8" s="34"/>
      <c r="D8" s="71" t="s">
        <v>7</v>
      </c>
      <c r="E8" s="81"/>
      <c r="F8" s="50" t="s">
        <v>38</v>
      </c>
      <c r="G8" s="34"/>
      <c r="H8" s="73" t="s">
        <v>33</v>
      </c>
      <c r="I8" s="74"/>
      <c r="J8" s="74"/>
      <c r="K8" s="38" cm="1">
        <f t="array" ref="K8">_xlfn.IFS(B11=Picklists!F2,Picklists!G2,B11=Picklists!F3,Picklists!G3,B11=Picklists!F4,Picklists!G4,B11=Picklists!F5,Picklists!G5,B11=Picklists!F6,Picklists!G6)*K7</f>
        <v>2450.9375</v>
      </c>
      <c r="L8" s="39" t="s">
        <v>28</v>
      </c>
    </row>
    <row r="9" spans="1:12" ht="21" thickBot="1" x14ac:dyDescent="0.3">
      <c r="A9" s="37" t="s">
        <v>16</v>
      </c>
      <c r="B9" s="46">
        <v>78</v>
      </c>
      <c r="C9" s="34"/>
      <c r="D9" s="79" t="s">
        <v>3</v>
      </c>
      <c r="E9" s="80"/>
      <c r="F9" s="48">
        <v>2.6</v>
      </c>
      <c r="G9" s="34"/>
      <c r="H9" s="75" t="s">
        <v>34</v>
      </c>
      <c r="I9" s="76"/>
      <c r="J9" s="76"/>
      <c r="K9" s="40" cm="1">
        <f t="array" ref="K9">_xlfn.IFS(B12=Picklists!B2,F7/100*K8,B12=Picklists!B3,F7+K8,B12=Picklists!B4,K8)</f>
        <v>1960.75</v>
      </c>
      <c r="L9" s="41" t="s">
        <v>28</v>
      </c>
    </row>
    <row r="10" spans="1:12" ht="20" x14ac:dyDescent="0.25">
      <c r="A10" s="37" t="s">
        <v>15</v>
      </c>
      <c r="B10" s="46">
        <v>178</v>
      </c>
      <c r="C10" s="34"/>
      <c r="D10" s="79" t="s">
        <v>4</v>
      </c>
      <c r="E10" s="80"/>
      <c r="F10" s="48">
        <v>0.8</v>
      </c>
      <c r="G10" s="34"/>
      <c r="H10" s="42"/>
      <c r="I10" s="42"/>
      <c r="J10" s="42"/>
      <c r="K10" s="42"/>
      <c r="L10" s="42"/>
    </row>
    <row r="11" spans="1:12" ht="21" thickBot="1" x14ac:dyDescent="0.3">
      <c r="A11" s="37" t="s">
        <v>17</v>
      </c>
      <c r="B11" s="46" t="s">
        <v>27</v>
      </c>
      <c r="C11" s="34"/>
      <c r="D11" s="63" t="s">
        <v>37</v>
      </c>
      <c r="E11" s="64"/>
      <c r="F11" s="44">
        <f>((K9-(F9*B9*Picklists!M3+F10*B9*Picklists!M4))/4)/B9</f>
        <v>1.8844551282051276</v>
      </c>
      <c r="G11" s="34"/>
      <c r="H11" s="34"/>
      <c r="I11" s="34"/>
      <c r="J11" s="34"/>
      <c r="K11" s="34"/>
      <c r="L11" s="42"/>
    </row>
    <row r="12" spans="1:12" ht="21" thickBot="1" x14ac:dyDescent="0.3">
      <c r="A12" s="43" t="s">
        <v>29</v>
      </c>
      <c r="B12" s="47" t="s">
        <v>31</v>
      </c>
      <c r="C12" s="34"/>
      <c r="D12" s="34"/>
      <c r="E12" s="34"/>
      <c r="F12" s="34"/>
      <c r="G12" s="34"/>
      <c r="H12" s="34"/>
      <c r="I12" s="34"/>
      <c r="J12" s="34"/>
      <c r="K12" s="34"/>
      <c r="L12" s="42"/>
    </row>
    <row r="13" spans="1:12" x14ac:dyDescent="0.2">
      <c r="L13" s="32"/>
    </row>
    <row r="14" spans="1:12" ht="18" thickBot="1" x14ac:dyDescent="0.25">
      <c r="L14" s="32"/>
    </row>
    <row r="15" spans="1:12" ht="22" thickBot="1" x14ac:dyDescent="0.3">
      <c r="D15" s="20" t="s">
        <v>7</v>
      </c>
      <c r="E15" s="21" t="s">
        <v>8</v>
      </c>
      <c r="F15" s="28" t="s">
        <v>10</v>
      </c>
      <c r="G15"/>
      <c r="L15" s="32"/>
    </row>
    <row r="16" spans="1:12" ht="21" x14ac:dyDescent="0.2">
      <c r="D16" s="23" t="s">
        <v>2</v>
      </c>
      <c r="E16" s="53">
        <f>F11*B9</f>
        <v>146.98749999999995</v>
      </c>
      <c r="F16" s="52">
        <f>E16*Picklists!M2</f>
        <v>587.94999999999982</v>
      </c>
      <c r="G16"/>
      <c r="L16" s="32"/>
    </row>
    <row r="17" spans="4:12" ht="21" x14ac:dyDescent="0.2">
      <c r="D17" s="24" t="s">
        <v>3</v>
      </c>
      <c r="E17" s="51">
        <f>F9*B9</f>
        <v>202.8</v>
      </c>
      <c r="F17" s="92">
        <f>E17*Picklists!M3</f>
        <v>811.2</v>
      </c>
      <c r="G17"/>
      <c r="L17" s="32"/>
    </row>
    <row r="18" spans="4:12" ht="22" thickBot="1" x14ac:dyDescent="0.25">
      <c r="D18" s="30" t="s">
        <v>4</v>
      </c>
      <c r="E18" s="54">
        <f>F10*B9</f>
        <v>62.400000000000006</v>
      </c>
      <c r="F18" s="93">
        <f>E18*Picklists!M4</f>
        <v>561.6</v>
      </c>
      <c r="G18"/>
      <c r="L18" s="32"/>
    </row>
    <row r="19" spans="4:12" ht="22" thickBot="1" x14ac:dyDescent="0.25">
      <c r="D19" s="95" t="s">
        <v>12</v>
      </c>
      <c r="E19" s="96">
        <f>SUM(E16:E18)</f>
        <v>412.1875</v>
      </c>
      <c r="F19" s="94">
        <f>SUM(F16:F18)</f>
        <v>1960.75</v>
      </c>
      <c r="G19"/>
      <c r="L19" s="32"/>
    </row>
    <row r="20" spans="4:12" x14ac:dyDescent="0.2">
      <c r="L20" s="32"/>
    </row>
  </sheetData>
  <mergeCells count="12">
    <mergeCell ref="D11:E11"/>
    <mergeCell ref="A6:B6"/>
    <mergeCell ref="D6:F6"/>
    <mergeCell ref="H6:L6"/>
    <mergeCell ref="A3:L3"/>
    <mergeCell ref="H7:J7"/>
    <mergeCell ref="H8:J8"/>
    <mergeCell ref="H9:J9"/>
    <mergeCell ref="D7:E7"/>
    <mergeCell ref="D9:E9"/>
    <mergeCell ref="D10:E10"/>
    <mergeCell ref="D8:E8"/>
  </mergeCells>
  <conditionalFormatting sqref="F11">
    <cfRule type="cellIs" dxfId="0" priority="1" stopIfTrue="1" operator="lessThan">
      <formula>0</formula>
    </cfRule>
  </conditionalFormatting>
  <dataValidations count="11">
    <dataValidation type="decimal" allowBlank="1" showInputMessage="1" showErrorMessage="1" sqref="B9" xr:uid="{C8DBEC2E-BFE4-6C48-96FD-678F9823696F}">
      <formula1>0</formula1>
      <formula2>200</formula2>
    </dataValidation>
    <dataValidation type="decimal" allowBlank="1" showInputMessage="1" showErrorMessage="1" sqref="B10" xr:uid="{EE985CAA-9C17-184B-A390-5435B54800DE}">
      <formula1>0</formula1>
      <formula2>250</formula2>
    </dataValidation>
    <dataValidation type="whole" operator="greaterThan" showInputMessage="1" showErrorMessage="1" sqref="B8" xr:uid="{2D85C8A8-A5FB-DB4D-BE4B-4460453AA41B}">
      <formula1>0</formula1>
    </dataValidation>
    <dataValidation allowBlank="1" showInputMessage="1" showErrorMessage="1" promptTitle="FÓRMULA MÁGICA" prompt="Se você consumir mais calorias que isso você ENGORDA_x000a_Se você consumir menos calorias que isso você EMAGRECE" sqref="K8" xr:uid="{27434A93-A866-0047-94FE-20A78F56DCC7}"/>
    <dataValidation allowBlank="1" showInputMessage="1" showErrorMessage="1" promptTitle="Explicação" prompt="TMB + Atividade Física" sqref="H8" xr:uid="{9873782C-E59D-EF43-948B-0B989840793A}"/>
    <dataValidation allowBlank="1" showInputMessage="1" showErrorMessage="1" promptTitle="Explicação" prompt="Quantidade de calorias gastas sem qualquer esforço físico" sqref="H7" xr:uid="{D2F7D294-D702-DF46-B000-188EDDC91CEE}"/>
    <dataValidation type="whole" operator="greaterThanOrEqual" allowBlank="1" showInputMessage="1" showErrorMessage="1" sqref="F7" xr:uid="{4D8F8424-5426-9448-9EAD-B82D65F41911}">
      <formula1>0</formula1>
    </dataValidation>
    <dataValidation type="decimal" operator="greaterThanOrEqual" allowBlank="1" showInputMessage="1" showErrorMessage="1" promptTitle="Recomendação" prompt="2,0 até 3,1 g/kg" sqref="F9" xr:uid="{6ADD1454-66C9-DE4C-B8DB-6103F3E7FF7B}">
      <formula1>0</formula1>
    </dataValidation>
    <dataValidation type="decimal" operator="greaterThan" allowBlank="1" showInputMessage="1" showErrorMessage="1" promptTitle="Recomendação" prompt="0,6 até 1,0 g/kg" sqref="F10" xr:uid="{1C9D4290-799A-2340-9AC7-08CF0F8E0EB3}">
      <formula1>0</formula1>
    </dataValidation>
    <dataValidation type="decimal" operator="greaterThanOrEqual" allowBlank="1" showInputMessage="1" showErrorMessage="1" promptTitle="Explicação" prompt="Cálculo é baseado nas calorias restantes" sqref="F11" xr:uid="{C1E99B52-D566-104E-B0D4-3B09A85FB7F1}">
      <formula1>0</formula1>
    </dataValidation>
    <dataValidation allowBlank="1" showInputMessage="1" showErrorMessage="1" prompt="Aqui é você que manda!" sqref="D6" xr:uid="{B27309A5-8A4B-6245-97FA-DBA66959EEFF}"/>
  </dataValidations>
  <pageMargins left="0.511811024" right="0.511811024" top="0.78740157499999996" bottom="0.78740157499999996" header="0.31496062000000002" footer="0.31496062000000002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3493C574-5459-A943-B3A0-B500421A0840}">
          <x14:formula1>
            <xm:f>Picklists!$D$2:$D$3</xm:f>
          </x14:formula1>
          <xm:sqref>B7</xm:sqref>
        </x14:dataValidation>
        <x14:dataValidation type="list" allowBlank="1" showInputMessage="1" showErrorMessage="1" prompt="Sedentário (Exercício mínimo)_x000a_Exercício Leve (1-3 dias por semana)_x000a_Exercício Moderado (3-5 dias por semana)_x000a_Exercício Intenso (6-7 dias por semana)_x000a_Exercicio Muito Intenso (Atleta, 2x por dia)" xr:uid="{DAF49D87-EA18-8E4E-A8D8-04A13232783C}">
          <x14:formula1>
            <xm:f>Picklists!$F$2:$F$6</xm:f>
          </x14:formula1>
          <xm:sqref>B11</xm:sqref>
        </x14:dataValidation>
        <x14:dataValidation type="list" allowBlank="1" showInputMessage="1" showErrorMessage="1" promptTitle="Recomendação" prompt="Emagrecer = 80% da Taxa de metabolismo Total_x000a_Engordar = 200 a 400 kcal + Taxa de metabolismo Total_x000a_Manutenção = Taxa de metabolismo Total" xr:uid="{64AB97F2-4D0F-234E-9012-1186496C39D2}">
          <x14:formula1>
            <xm:f>Picklists!$B$2:$B$4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A90A8-BBB0-EE46-82E8-4F9F61D78AC2}">
  <sheetPr codeName="Planilha2"/>
  <dimension ref="B1:Q6"/>
  <sheetViews>
    <sheetView zoomScale="138" workbookViewId="0">
      <selection activeCell="J2" sqref="J2"/>
    </sheetView>
  </sheetViews>
  <sheetFormatPr baseColWidth="10" defaultRowHeight="16" x14ac:dyDescent="0.2"/>
  <cols>
    <col min="1" max="1" width="4.83203125" customWidth="1"/>
    <col min="2" max="2" width="16.5" customWidth="1"/>
    <col min="3" max="3" width="4.1640625" customWidth="1"/>
    <col min="5" max="5" width="2.83203125" customWidth="1"/>
    <col min="6" max="6" width="21" bestFit="1" customWidth="1"/>
    <col min="7" max="7" width="18.5" customWidth="1"/>
    <col min="8" max="8" width="3.33203125" customWidth="1"/>
    <col min="11" max="11" width="4" customWidth="1"/>
    <col min="14" max="14" width="3.5" customWidth="1"/>
    <col min="15" max="15" width="18.1640625" customWidth="1"/>
    <col min="17" max="17" width="26.6640625" customWidth="1"/>
  </cols>
  <sheetData>
    <row r="1" spans="2:17" ht="17" thickBot="1" x14ac:dyDescent="0.25">
      <c r="B1" s="1" t="s">
        <v>29</v>
      </c>
      <c r="D1" s="1" t="s">
        <v>13</v>
      </c>
      <c r="F1" s="84" t="s">
        <v>17</v>
      </c>
      <c r="G1" s="85"/>
      <c r="I1" s="82" t="s">
        <v>20</v>
      </c>
      <c r="J1" s="83"/>
      <c r="L1" s="4" t="s">
        <v>7</v>
      </c>
      <c r="M1" s="1" t="s">
        <v>28</v>
      </c>
      <c r="O1" s="1" t="s">
        <v>39</v>
      </c>
      <c r="Q1" s="1" t="s">
        <v>52</v>
      </c>
    </row>
    <row r="2" spans="2:17" x14ac:dyDescent="0.2">
      <c r="B2" s="2" t="s">
        <v>31</v>
      </c>
      <c r="D2" s="2" t="s">
        <v>21</v>
      </c>
      <c r="F2" s="5" t="s">
        <v>18</v>
      </c>
      <c r="G2" s="6">
        <v>1.2</v>
      </c>
      <c r="I2" s="5" t="s">
        <v>21</v>
      </c>
      <c r="J2" s="6">
        <f>(10*Home1!B9)+(6.25*Home1!B10)-(5*Home1!B8)+5</f>
        <v>1782.5</v>
      </c>
      <c r="L2" s="5" t="s">
        <v>37</v>
      </c>
      <c r="M2" s="6">
        <v>4</v>
      </c>
      <c r="O2" s="2" t="e" cm="1">
        <f t="array" ref="O2">_xlfn.UNIQUE(#REF!,FALSE,FALSE)</f>
        <v>#REF!</v>
      </c>
      <c r="Q2" s="12" t="e" cm="1">
        <f t="array" ref="Q2">_xlfn.UNIQUE(#REF!)</f>
        <v>#REF!</v>
      </c>
    </row>
    <row r="3" spans="2:17" ht="17" thickBot="1" x14ac:dyDescent="0.25">
      <c r="B3" s="2" t="s">
        <v>30</v>
      </c>
      <c r="D3" s="3" t="s">
        <v>14</v>
      </c>
      <c r="F3" s="9" t="s">
        <v>27</v>
      </c>
      <c r="G3" s="10">
        <v>1.375</v>
      </c>
      <c r="I3" s="7" t="s">
        <v>22</v>
      </c>
      <c r="J3" s="8">
        <f>J2-166</f>
        <v>1616.5</v>
      </c>
      <c r="L3" s="9" t="s">
        <v>36</v>
      </c>
      <c r="M3" s="10">
        <v>4</v>
      </c>
      <c r="O3" s="2"/>
      <c r="Q3" s="12"/>
    </row>
    <row r="4" spans="2:17" ht="17" thickBot="1" x14ac:dyDescent="0.25">
      <c r="B4" s="13" t="s">
        <v>32</v>
      </c>
      <c r="F4" s="9" t="s">
        <v>24</v>
      </c>
      <c r="G4" s="10">
        <v>1.55</v>
      </c>
      <c r="L4" s="7" t="s">
        <v>4</v>
      </c>
      <c r="M4" s="8">
        <v>9</v>
      </c>
      <c r="O4" s="13"/>
      <c r="Q4" s="12"/>
    </row>
    <row r="5" spans="2:17" x14ac:dyDescent="0.2">
      <c r="F5" s="9" t="s">
        <v>25</v>
      </c>
      <c r="G5" s="10">
        <v>1.7250000000000001</v>
      </c>
      <c r="Q5" s="12"/>
    </row>
    <row r="6" spans="2:17" ht="17" thickBot="1" x14ac:dyDescent="0.25">
      <c r="F6" s="7" t="s">
        <v>26</v>
      </c>
      <c r="G6" s="8">
        <v>1.9</v>
      </c>
    </row>
  </sheetData>
  <sheetProtection sheet="1" objects="1" scenarios="1"/>
  <mergeCells count="2">
    <mergeCell ref="I1:J1"/>
    <mergeCell ref="F1:G1"/>
  </mergeCells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81EA7-6FD6-5744-BFCD-CA61E66C4627}">
  <sheetPr codeName="Planilha6"/>
  <dimension ref="A1:M1048508"/>
  <sheetViews>
    <sheetView zoomScale="79" workbookViewId="0">
      <pane xSplit="8" ySplit="10" topLeftCell="I12" activePane="bottomRight" state="frozen"/>
      <selection pane="topRight" activeCell="I1" sqref="I1"/>
      <selection pane="bottomLeft" activeCell="A11" sqref="A11"/>
      <selection pane="bottomRight" activeCell="B5" sqref="B5:H9"/>
    </sheetView>
  </sheetViews>
  <sheetFormatPr baseColWidth="10" defaultRowHeight="16" x14ac:dyDescent="0.2"/>
  <cols>
    <col min="1" max="1" width="36.6640625" customWidth="1"/>
    <col min="2" max="2" width="24.1640625" customWidth="1"/>
    <col min="3" max="3" width="20.1640625" customWidth="1"/>
    <col min="4" max="4" width="20" customWidth="1"/>
    <col min="5" max="5" width="21.6640625" customWidth="1"/>
    <col min="6" max="6" width="18.5" customWidth="1"/>
    <col min="7" max="7" width="23.1640625" customWidth="1"/>
    <col min="8" max="8" width="23.5" customWidth="1"/>
    <col min="9" max="9" width="15.33203125" customWidth="1"/>
    <col min="11" max="11" width="17.33203125" customWidth="1"/>
  </cols>
  <sheetData>
    <row r="1" spans="1:13" ht="17" thickBot="1" x14ac:dyDescent="0.25"/>
    <row r="2" spans="1:13" ht="48" thickBot="1" x14ac:dyDescent="0.25">
      <c r="A2" s="68" t="s">
        <v>45</v>
      </c>
      <c r="B2" s="69"/>
      <c r="C2" s="69"/>
      <c r="D2" s="70"/>
    </row>
    <row r="4" spans="1:13" ht="17" thickBot="1" x14ac:dyDescent="0.25">
      <c r="D4" s="29"/>
    </row>
    <row r="5" spans="1:13" ht="22" thickBot="1" x14ac:dyDescent="0.3">
      <c r="B5" s="20" t="s">
        <v>7</v>
      </c>
      <c r="C5" s="21" t="s">
        <v>8</v>
      </c>
      <c r="D5" s="22" t="s">
        <v>9</v>
      </c>
      <c r="F5" s="26" t="s">
        <v>7</v>
      </c>
      <c r="G5" s="27" t="s">
        <v>10</v>
      </c>
      <c r="H5" s="28" t="s">
        <v>11</v>
      </c>
    </row>
    <row r="6" spans="1:13" ht="21" x14ac:dyDescent="0.2">
      <c r="B6" s="23" t="s">
        <v>2</v>
      </c>
      <c r="C6" s="53">
        <f>Home1!$B$9*Home1!$F$11</f>
        <v>146.98749999999995</v>
      </c>
      <c r="D6" s="52" t="e">
        <f>C6-E22-E36-E50-E64-E78</f>
        <v>#REF!</v>
      </c>
      <c r="F6" s="24" t="s">
        <v>2</v>
      </c>
      <c r="G6" s="51">
        <f>C6*Picklists!M2</f>
        <v>587.94999999999982</v>
      </c>
      <c r="H6" s="52" t="e">
        <f>D6*Picklists!M2</f>
        <v>#REF!</v>
      </c>
    </row>
    <row r="7" spans="1:13" ht="21" x14ac:dyDescent="0.2">
      <c r="B7" s="24" t="s">
        <v>3</v>
      </c>
      <c r="C7" s="51">
        <f>Home1!$F$9*Home1!$B$9</f>
        <v>202.8</v>
      </c>
      <c r="D7" s="52" t="e">
        <f>C7-F22-F36-F50-F64-F78</f>
        <v>#REF!</v>
      </c>
      <c r="F7" s="24" t="s">
        <v>3</v>
      </c>
      <c r="G7" s="25">
        <f>C7*Picklists!M3</f>
        <v>811.2</v>
      </c>
      <c r="H7" s="52" t="e">
        <f>D7*Picklists!M3</f>
        <v>#REF!</v>
      </c>
    </row>
    <row r="8" spans="1:13" ht="22" thickBot="1" x14ac:dyDescent="0.25">
      <c r="B8" s="30" t="s">
        <v>4</v>
      </c>
      <c r="C8" s="54">
        <f>Home1!$F$10*Home1!$B$9</f>
        <v>62.400000000000006</v>
      </c>
      <c r="D8" s="55" t="e">
        <f>C8-G22-G36-G50-G64-G78</f>
        <v>#REF!</v>
      </c>
      <c r="F8" s="30" t="s">
        <v>4</v>
      </c>
      <c r="G8" s="31">
        <f>C8*Picklists!M4</f>
        <v>561.6</v>
      </c>
      <c r="H8" s="55" t="e">
        <f>D8*Picklists!M4</f>
        <v>#REF!</v>
      </c>
    </row>
    <row r="9" spans="1:13" ht="27" customHeight="1" thickBot="1" x14ac:dyDescent="0.25">
      <c r="B9" s="56" t="s">
        <v>12</v>
      </c>
      <c r="C9" s="57">
        <f>SUM(C6:C8)</f>
        <v>412.1875</v>
      </c>
      <c r="D9" s="58" t="e">
        <f>SUM(D6:D8)</f>
        <v>#REF!</v>
      </c>
      <c r="F9" s="56" t="s">
        <v>12</v>
      </c>
      <c r="G9" s="57">
        <f>SUM(G6:G8)</f>
        <v>1960.75</v>
      </c>
      <c r="H9" s="62" t="e">
        <f>SUM(H6:H8)</f>
        <v>#REF!</v>
      </c>
    </row>
    <row r="11" spans="1:13" ht="17" thickBot="1" x14ac:dyDescent="0.25"/>
    <row r="12" spans="1:13" s="14" customFormat="1" ht="26" customHeight="1" thickBot="1" x14ac:dyDescent="0.3">
      <c r="A12" s="86" t="s">
        <v>5</v>
      </c>
      <c r="B12" s="87"/>
      <c r="C12" s="87"/>
      <c r="D12" s="87"/>
      <c r="E12" s="87"/>
      <c r="F12" s="87"/>
      <c r="G12" s="87"/>
      <c r="H12" s="87"/>
      <c r="I12" s="88"/>
    </row>
    <row r="13" spans="1:13" s="15" customFormat="1" ht="21" x14ac:dyDescent="0.25">
      <c r="A13" s="19" t="s">
        <v>1</v>
      </c>
      <c r="B13" s="19" t="s">
        <v>39</v>
      </c>
      <c r="C13" s="19" t="s">
        <v>0</v>
      </c>
      <c r="D13" s="19" t="s">
        <v>46</v>
      </c>
      <c r="E13" s="19" t="s">
        <v>47</v>
      </c>
      <c r="F13" s="19" t="s">
        <v>48</v>
      </c>
      <c r="G13" s="19" t="s">
        <v>49</v>
      </c>
      <c r="H13" s="19" t="s">
        <v>50</v>
      </c>
      <c r="I13" s="19" t="s">
        <v>51</v>
      </c>
    </row>
    <row r="14" spans="1:13" ht="21" x14ac:dyDescent="0.2">
      <c r="A14" s="16" t="s">
        <v>57</v>
      </c>
      <c r="B14" s="16" t="s">
        <v>53</v>
      </c>
      <c r="C14" s="16">
        <v>80</v>
      </c>
      <c r="D14" s="16" t="e">
        <f>_xlfn.XLOOKUP(_xlfn.CONCAT($A14," - ",$B14),#REF!,#REF!,0,,)*$C14/$J14</f>
        <v>#REF!</v>
      </c>
      <c r="E14" s="16" t="e">
        <f>_xlfn.XLOOKUP(_xlfn.CONCAT($A14," - ",$B14),#REF!,#REF!,0,,)*$C14/$J14</f>
        <v>#REF!</v>
      </c>
      <c r="F14" s="16" t="e">
        <f>_xlfn.XLOOKUP(_xlfn.CONCAT($A14," - ",$B14),#REF!,#REF!,0,,)*$C14/$J14</f>
        <v>#REF!</v>
      </c>
      <c r="G14" s="16" t="e">
        <f>_xlfn.XLOOKUP(_xlfn.CONCAT($A14," - ",$B14),#REF!,#REF!,0,,)*$C14/$J14</f>
        <v>#REF!</v>
      </c>
      <c r="H14" s="16" t="e">
        <f>_xlfn.XLOOKUP(_xlfn.CONCAT($A14," - ",$B14),#REF!,#REF!,0,,)*$C14/$J14</f>
        <v>#REF!</v>
      </c>
      <c r="I14" s="16" t="e">
        <f>_xlfn.XLOOKUP(_xlfn.CONCAT($A14," - ",$B14),#REF!,#REF!,0,,)*$C14/$J14</f>
        <v>#REF!</v>
      </c>
      <c r="J14" s="17">
        <f>IF(B14="Gramas (100g)",100,1)</f>
        <v>100</v>
      </c>
    </row>
    <row r="15" spans="1:13" s="15" customFormat="1" ht="21" x14ac:dyDescent="0.25">
      <c r="A15" s="16" t="s">
        <v>40</v>
      </c>
      <c r="B15" s="16" t="s">
        <v>43</v>
      </c>
      <c r="C15" s="16">
        <v>3</v>
      </c>
      <c r="D15" s="16" t="e">
        <f>_xlfn.XLOOKUP(_xlfn.CONCAT($A15," - ",$B15),#REF!,#REF!,0,,)*$C15/$J15</f>
        <v>#REF!</v>
      </c>
      <c r="E15" s="16" t="e">
        <f>_xlfn.XLOOKUP(_xlfn.CONCAT($A15," - ",$B15),#REF!,#REF!,0,,)*$C15/$J15</f>
        <v>#REF!</v>
      </c>
      <c r="F15" s="16" t="e">
        <f>_xlfn.XLOOKUP(_xlfn.CONCAT($A15," - ",$B15),#REF!,#REF!,0,,)*$C15/$J15</f>
        <v>#REF!</v>
      </c>
      <c r="G15" s="16" t="e">
        <f>_xlfn.XLOOKUP(_xlfn.CONCAT($A15," - ",$B15),#REF!,#REF!,0,,)*$C15/$J15</f>
        <v>#REF!</v>
      </c>
      <c r="H15" s="16" t="e">
        <f>_xlfn.XLOOKUP(_xlfn.CONCAT($A15," - ",$B15),#REF!,#REF!,0,,)*$C15/$J15</f>
        <v>#REF!</v>
      </c>
      <c r="I15" s="16" t="e">
        <f>_xlfn.XLOOKUP(_xlfn.CONCAT($A15," - ",$B15),#REF!,#REF!,0,,)*$C15/$J15</f>
        <v>#REF!</v>
      </c>
      <c r="J15" s="17">
        <f>IF(B15="Gramas (100g)",100,1)</f>
        <v>1</v>
      </c>
    </row>
    <row r="16" spans="1:13" ht="21" x14ac:dyDescent="0.25">
      <c r="A16" s="16" t="s">
        <v>56</v>
      </c>
      <c r="B16" s="16" t="s">
        <v>53</v>
      </c>
      <c r="C16" s="16">
        <v>20</v>
      </c>
      <c r="D16" s="16" t="e">
        <f>_xlfn.XLOOKUP(_xlfn.CONCAT($A16," - ",$B16),#REF!,#REF!,0,,)*$C16/$J16</f>
        <v>#REF!</v>
      </c>
      <c r="E16" s="16" t="e">
        <f>_xlfn.XLOOKUP(_xlfn.CONCAT($A16," - ",$B16),#REF!,#REF!,0,,)*$C16/$J16</f>
        <v>#REF!</v>
      </c>
      <c r="F16" s="16" t="e">
        <f>_xlfn.XLOOKUP(_xlfn.CONCAT($A16," - ",$B16),#REF!,#REF!,0,,)*$C16/$J16</f>
        <v>#REF!</v>
      </c>
      <c r="G16" s="16" t="e">
        <f>_xlfn.XLOOKUP(_xlfn.CONCAT($A16," - ",$B16),#REF!,#REF!,0,,)*$C16/$J16</f>
        <v>#REF!</v>
      </c>
      <c r="H16" s="16" t="e">
        <f>_xlfn.XLOOKUP(_xlfn.CONCAT($A16," - ",$B16),#REF!,#REF!,0,,)*$C16/$J16</f>
        <v>#REF!</v>
      </c>
      <c r="I16" s="16" t="e">
        <f>_xlfn.XLOOKUP(_xlfn.CONCAT($A16," - ",$B16),#REF!,#REF!,0,,)*$C16/$J16</f>
        <v>#REF!</v>
      </c>
      <c r="J16" s="17">
        <f t="shared" ref="J16:J21" si="0">IF(B16="Gramas (100g)",100,1)</f>
        <v>100</v>
      </c>
      <c r="K16" s="15"/>
      <c r="L16" s="15"/>
      <c r="M16" s="15"/>
    </row>
    <row r="17" spans="1:10" ht="21" x14ac:dyDescent="0.2">
      <c r="A17" s="16" t="s">
        <v>58</v>
      </c>
      <c r="B17" s="16" t="s">
        <v>53</v>
      </c>
      <c r="C17" s="16">
        <v>200</v>
      </c>
      <c r="D17" s="16" t="e">
        <f>_xlfn.XLOOKUP(_xlfn.CONCAT($A17," - ",$B17),#REF!,#REF!,0,,)*$C17/$J17</f>
        <v>#REF!</v>
      </c>
      <c r="E17" s="16" t="e">
        <f>_xlfn.XLOOKUP(_xlfn.CONCAT($A17," - ",$B17),#REF!,#REF!,0,,)*$C17/$J17</f>
        <v>#REF!</v>
      </c>
      <c r="F17" s="16" t="e">
        <f>_xlfn.XLOOKUP(_xlfn.CONCAT($A17," - ",$B17),#REF!,#REF!,0,,)*$C17/$J17</f>
        <v>#REF!</v>
      </c>
      <c r="G17" s="16" t="e">
        <f>_xlfn.XLOOKUP(_xlfn.CONCAT($A17," - ",$B17),#REF!,#REF!,0,,)*$C17/$J17</f>
        <v>#REF!</v>
      </c>
      <c r="H17" s="16" t="e">
        <f>_xlfn.XLOOKUP(_xlfn.CONCAT($A17," - ",$B17),#REF!,#REF!,0,,)*$C17/$J17</f>
        <v>#REF!</v>
      </c>
      <c r="I17" s="16" t="e">
        <f>_xlfn.XLOOKUP(_xlfn.CONCAT($A17," - ",$B17),#REF!,#REF!,0,,)*$C17/$J17</f>
        <v>#REF!</v>
      </c>
      <c r="J17" s="17">
        <f t="shared" si="0"/>
        <v>100</v>
      </c>
    </row>
    <row r="18" spans="1:10" ht="21" x14ac:dyDescent="0.2">
      <c r="A18" s="16"/>
      <c r="B18" s="16"/>
      <c r="C18" s="16"/>
      <c r="D18" s="16" t="e">
        <f>_xlfn.XLOOKUP(_xlfn.CONCAT($A18," - ",$B18),#REF!,#REF!,0,,)*$C18/$J18</f>
        <v>#REF!</v>
      </c>
      <c r="E18" s="16" t="e">
        <f>_xlfn.XLOOKUP(_xlfn.CONCAT($A18," - ",$B18),#REF!,#REF!,0,,)*$C18/$J18</f>
        <v>#REF!</v>
      </c>
      <c r="F18" s="16" t="e">
        <f>_xlfn.XLOOKUP(_xlfn.CONCAT($A18," - ",$B18),#REF!,#REF!,0,,)*$C18/$J18</f>
        <v>#REF!</v>
      </c>
      <c r="G18" s="16" t="e">
        <f>_xlfn.XLOOKUP(_xlfn.CONCAT($A18," - ",$B18),#REF!,#REF!,0,,)*$C18/$J18</f>
        <v>#REF!</v>
      </c>
      <c r="H18" s="16" t="e">
        <f>_xlfn.XLOOKUP(_xlfn.CONCAT($A18," - ",$B18),#REF!,#REF!,0,,)*$C18/$J18</f>
        <v>#REF!</v>
      </c>
      <c r="I18" s="16" t="e">
        <f>_xlfn.XLOOKUP(_xlfn.CONCAT($A18," - ",$B18),#REF!,#REF!,0,,)*$C18/$J18</f>
        <v>#REF!</v>
      </c>
      <c r="J18" s="17">
        <f t="shared" si="0"/>
        <v>1</v>
      </c>
    </row>
    <row r="19" spans="1:10" ht="21" x14ac:dyDescent="0.2">
      <c r="A19" s="16"/>
      <c r="B19" s="16"/>
      <c r="C19" s="16"/>
      <c r="D19" s="16" t="e">
        <f>_xlfn.XLOOKUP(_xlfn.CONCAT($A19," - ",$B19),#REF!,#REF!,0,,)*$C19/$J19</f>
        <v>#REF!</v>
      </c>
      <c r="E19" s="16" t="e">
        <f>_xlfn.XLOOKUP(_xlfn.CONCAT($A19," - ",$B19),#REF!,#REF!,0,,)*$C19/$J19</f>
        <v>#REF!</v>
      </c>
      <c r="F19" s="16" t="e">
        <f>_xlfn.XLOOKUP(_xlfn.CONCAT($A19," - ",$B19),#REF!,#REF!,0,,)*$C19/$J19</f>
        <v>#REF!</v>
      </c>
      <c r="G19" s="16" t="e">
        <f>_xlfn.XLOOKUP(_xlfn.CONCAT($A19," - ",$B19),#REF!,#REF!,0,,)*$C19/$J19</f>
        <v>#REF!</v>
      </c>
      <c r="H19" s="16" t="e">
        <f>_xlfn.XLOOKUP(_xlfn.CONCAT($A19," - ",$B19),#REF!,#REF!,0,,)*$C19/$J19</f>
        <v>#REF!</v>
      </c>
      <c r="I19" s="16" t="e">
        <f>_xlfn.XLOOKUP(_xlfn.CONCAT($A19," - ",$B19),#REF!,#REF!,0,,)*$C19/$J19</f>
        <v>#REF!</v>
      </c>
      <c r="J19" s="17">
        <f t="shared" si="0"/>
        <v>1</v>
      </c>
    </row>
    <row r="20" spans="1:10" ht="21" x14ac:dyDescent="0.2">
      <c r="A20" s="16"/>
      <c r="B20" s="16"/>
      <c r="C20" s="16"/>
      <c r="D20" s="16" t="e">
        <f>_xlfn.XLOOKUP(_xlfn.CONCAT($A20," - ",$B20),#REF!,#REF!,0,,)*$C20/$J20</f>
        <v>#REF!</v>
      </c>
      <c r="E20" s="16" t="e">
        <f>_xlfn.XLOOKUP(_xlfn.CONCAT($A20," - ",$B20),#REF!,#REF!,0,,)*$C20/$J20</f>
        <v>#REF!</v>
      </c>
      <c r="F20" s="16" t="e">
        <f>_xlfn.XLOOKUP(_xlfn.CONCAT($A20," - ",$B20),#REF!,#REF!,0,,)*$C20/$J20</f>
        <v>#REF!</v>
      </c>
      <c r="G20" s="16" t="e">
        <f>_xlfn.XLOOKUP(_xlfn.CONCAT($A20," - ",$B20),#REF!,#REF!,0,,)*$C20/$J20</f>
        <v>#REF!</v>
      </c>
      <c r="H20" s="16" t="e">
        <f>_xlfn.XLOOKUP(_xlfn.CONCAT($A20," - ",$B20),#REF!,#REF!,0,,)*$C20/$J20</f>
        <v>#REF!</v>
      </c>
      <c r="I20" s="16" t="e">
        <f>_xlfn.XLOOKUP(_xlfn.CONCAT($A20," - ",$B20),#REF!,#REF!,0,,)*$C20/$J20</f>
        <v>#REF!</v>
      </c>
      <c r="J20" s="17">
        <f t="shared" si="0"/>
        <v>1</v>
      </c>
    </row>
    <row r="21" spans="1:10" ht="22" thickBot="1" x14ac:dyDescent="0.25">
      <c r="A21" s="16"/>
      <c r="B21" s="16"/>
      <c r="C21" s="16"/>
      <c r="D21" s="16" t="e">
        <f>_xlfn.XLOOKUP(_xlfn.CONCAT($A21," - ",$B21),#REF!,#REF!,0,,)*$C21/$J21</f>
        <v>#REF!</v>
      </c>
      <c r="E21" s="16" t="e">
        <f>_xlfn.XLOOKUP(_xlfn.CONCAT($A21," - ",$B21),#REF!,#REF!,0,,)*$C21/$J21</f>
        <v>#REF!</v>
      </c>
      <c r="F21" s="16" t="e">
        <f>_xlfn.XLOOKUP(_xlfn.CONCAT($A21," - ",$B21),#REF!,#REF!,0,,)*$C21/$J21</f>
        <v>#REF!</v>
      </c>
      <c r="G21" s="16" t="e">
        <f>_xlfn.XLOOKUP(_xlfn.CONCAT($A21," - ",$B21),#REF!,#REF!,0,,)*$C21/$J21</f>
        <v>#REF!</v>
      </c>
      <c r="H21" s="16" t="e">
        <f>_xlfn.XLOOKUP(_xlfn.CONCAT($A21," - ",$B21),#REF!,#REF!,0,,)*$C21/$J21</f>
        <v>#REF!</v>
      </c>
      <c r="I21" s="16" t="e">
        <f>_xlfn.XLOOKUP(_xlfn.CONCAT($A21," - ",$B21),#REF!,#REF!,0,,)*$C21/$J21</f>
        <v>#REF!</v>
      </c>
      <c r="J21" s="17">
        <f t="shared" si="0"/>
        <v>1</v>
      </c>
    </row>
    <row r="22" spans="1:10" ht="20" thickBot="1" x14ac:dyDescent="0.25">
      <c r="A22" s="89" t="s">
        <v>12</v>
      </c>
      <c r="B22" s="90"/>
      <c r="C22" s="91"/>
      <c r="D22" s="18" t="e">
        <f>SUM(D14:D21)</f>
        <v>#REF!</v>
      </c>
      <c r="E22" s="18" t="e">
        <f t="shared" ref="E22:I22" si="1">SUM(E14:E21)</f>
        <v>#REF!</v>
      </c>
      <c r="F22" s="18" t="e">
        <f t="shared" si="1"/>
        <v>#REF!</v>
      </c>
      <c r="G22" s="18" t="e">
        <f t="shared" si="1"/>
        <v>#REF!</v>
      </c>
      <c r="H22" s="18" t="e">
        <f t="shared" si="1"/>
        <v>#REF!</v>
      </c>
      <c r="I22" s="18" t="e">
        <f t="shared" si="1"/>
        <v>#REF!</v>
      </c>
    </row>
    <row r="25" spans="1:10" ht="17" thickBot="1" x14ac:dyDescent="0.25"/>
    <row r="26" spans="1:10" ht="25" thickBot="1" x14ac:dyDescent="0.3">
      <c r="A26" s="86" t="s">
        <v>6</v>
      </c>
      <c r="B26" s="87"/>
      <c r="C26" s="87"/>
      <c r="D26" s="87"/>
      <c r="E26" s="87"/>
      <c r="F26" s="87"/>
      <c r="G26" s="87"/>
      <c r="H26" s="87"/>
      <c r="I26" s="88"/>
      <c r="J26" s="14"/>
    </row>
    <row r="27" spans="1:10" ht="21" x14ac:dyDescent="0.25">
      <c r="A27" s="19" t="s">
        <v>1</v>
      </c>
      <c r="B27" s="19" t="s">
        <v>39</v>
      </c>
      <c r="C27" s="19" t="s">
        <v>0</v>
      </c>
      <c r="D27" s="19" t="s">
        <v>46</v>
      </c>
      <c r="E27" s="19" t="s">
        <v>47</v>
      </c>
      <c r="F27" s="19" t="s">
        <v>48</v>
      </c>
      <c r="G27" s="19" t="s">
        <v>49</v>
      </c>
      <c r="H27" s="19" t="s">
        <v>50</v>
      </c>
      <c r="I27" s="19" t="s">
        <v>51</v>
      </c>
      <c r="J27" s="15"/>
    </row>
    <row r="28" spans="1:10" ht="21" x14ac:dyDescent="0.2">
      <c r="A28" s="16" t="s">
        <v>42</v>
      </c>
      <c r="B28" s="16" t="s">
        <v>53</v>
      </c>
      <c r="C28" s="16">
        <v>100</v>
      </c>
      <c r="D28" s="16" t="e">
        <f>_xlfn.XLOOKUP(_xlfn.CONCAT($A28," - ",$B28),#REF!,#REF!,0,,)*$C28/$J28</f>
        <v>#REF!</v>
      </c>
      <c r="E28" s="16" t="e">
        <f>_xlfn.XLOOKUP(_xlfn.CONCAT($A28," - ",$B28),#REF!,#REF!,0,,)*$C28/$J28</f>
        <v>#REF!</v>
      </c>
      <c r="F28" s="16" t="e">
        <f>_xlfn.XLOOKUP(_xlfn.CONCAT($A28," - ",$B28),#REF!,#REF!,0,,)*$C28/$J28</f>
        <v>#REF!</v>
      </c>
      <c r="G28" s="16" t="e">
        <f>_xlfn.XLOOKUP(_xlfn.CONCAT($A28," - ",$B28),#REF!,#REF!,0,,)*$C28/$J28</f>
        <v>#REF!</v>
      </c>
      <c r="H28" s="16" t="e">
        <f>_xlfn.XLOOKUP(_xlfn.CONCAT($A28," - ",$B28),#REF!,#REF!,0,,)*$C28/$J28</f>
        <v>#REF!</v>
      </c>
      <c r="I28" s="16" t="e">
        <f>_xlfn.XLOOKUP(_xlfn.CONCAT($A28," - ",$B28),#REF!,#REF!,0,,)*$C28/$J28</f>
        <v>#REF!</v>
      </c>
      <c r="J28" s="17">
        <f>IF(B28="Gramas (100g)",100,1)</f>
        <v>100</v>
      </c>
    </row>
    <row r="29" spans="1:10" ht="21" x14ac:dyDescent="0.2">
      <c r="A29" s="16" t="s">
        <v>60</v>
      </c>
      <c r="B29" s="16" t="s">
        <v>53</v>
      </c>
      <c r="C29" s="16">
        <v>100</v>
      </c>
      <c r="D29" s="16" t="e">
        <f>_xlfn.XLOOKUP(_xlfn.CONCAT($A29," - ",$B29),#REF!,#REF!,0,,)*$C29/$J29</f>
        <v>#REF!</v>
      </c>
      <c r="E29" s="16" t="e">
        <f>_xlfn.XLOOKUP(_xlfn.CONCAT($A29," - ",$B29),#REF!,#REF!,0,,)*$C29/$J29</f>
        <v>#REF!</v>
      </c>
      <c r="F29" s="16" t="e">
        <f>_xlfn.XLOOKUP(_xlfn.CONCAT($A29," - ",$B29),#REF!,#REF!,0,,)*$C29/$J29</f>
        <v>#REF!</v>
      </c>
      <c r="G29" s="16" t="e">
        <f>_xlfn.XLOOKUP(_xlfn.CONCAT($A29," - ",$B29),#REF!,#REF!,0,,)*$C29/$J29</f>
        <v>#REF!</v>
      </c>
      <c r="H29" s="16" t="e">
        <f>_xlfn.XLOOKUP(_xlfn.CONCAT($A29," - ",$B29),#REF!,#REF!,0,,)*$C29/$J29</f>
        <v>#REF!</v>
      </c>
      <c r="I29" s="16" t="e">
        <f>_xlfn.XLOOKUP(_xlfn.CONCAT($A29," - ",$B29),#REF!,#REF!,0,,)*$C29/$J29</f>
        <v>#REF!</v>
      </c>
      <c r="J29" s="17">
        <f>IF(B29="Gramas (100g)",100,1)</f>
        <v>100</v>
      </c>
    </row>
    <row r="30" spans="1:10" ht="21" x14ac:dyDescent="0.2">
      <c r="A30" s="16" t="s">
        <v>61</v>
      </c>
      <c r="B30" s="16" t="s">
        <v>53</v>
      </c>
      <c r="C30" s="16">
        <v>150</v>
      </c>
      <c r="D30" s="16" t="e">
        <f>_xlfn.XLOOKUP(_xlfn.CONCAT($A30," - ",$B30),#REF!,#REF!,0,,)*$C30/$J30</f>
        <v>#REF!</v>
      </c>
      <c r="E30" s="16" t="e">
        <f>_xlfn.XLOOKUP(_xlfn.CONCAT($A30," - ",$B30),#REF!,#REF!,0,,)*$C30/$J30</f>
        <v>#REF!</v>
      </c>
      <c r="F30" s="16" t="e">
        <f>_xlfn.XLOOKUP(_xlfn.CONCAT($A30," - ",$B30),#REF!,#REF!,0,,)*$C30/$J30</f>
        <v>#REF!</v>
      </c>
      <c r="G30" s="16" t="e">
        <f>_xlfn.XLOOKUP(_xlfn.CONCAT($A30," - ",$B30),#REF!,#REF!,0,,)*$C30/$J30</f>
        <v>#REF!</v>
      </c>
      <c r="H30" s="16" t="e">
        <f>_xlfn.XLOOKUP(_xlfn.CONCAT($A30," - ",$B30),#REF!,#REF!,0,,)*$C30/$J30</f>
        <v>#REF!</v>
      </c>
      <c r="I30" s="16" t="e">
        <f>_xlfn.XLOOKUP(_xlfn.CONCAT($A30," - ",$B30),#REF!,#REF!,0,,)*$C30/$J30</f>
        <v>#REF!</v>
      </c>
      <c r="J30" s="17">
        <f t="shared" ref="J30:J35" si="2">IF(B30="Gramas (100g)",100,1)</f>
        <v>100</v>
      </c>
    </row>
    <row r="31" spans="1:10" ht="21" x14ac:dyDescent="0.2">
      <c r="A31" s="16" t="s">
        <v>66</v>
      </c>
      <c r="B31" s="16" t="s">
        <v>44</v>
      </c>
      <c r="C31" s="16">
        <v>1.5</v>
      </c>
      <c r="D31" s="16" t="e">
        <f>_xlfn.XLOOKUP(_xlfn.CONCAT($A31," - ",$B31),#REF!,#REF!,0,,)*$C31/$J31</f>
        <v>#REF!</v>
      </c>
      <c r="E31" s="16" t="e">
        <f>_xlfn.XLOOKUP(_xlfn.CONCAT($A31," - ",$B31),#REF!,#REF!,0,,)*$C31/$J31</f>
        <v>#REF!</v>
      </c>
      <c r="F31" s="16" t="e">
        <f>_xlfn.XLOOKUP(_xlfn.CONCAT($A31," - ",$B31),#REF!,#REF!,0,,)*$C31/$J31</f>
        <v>#REF!</v>
      </c>
      <c r="G31" s="16" t="e">
        <f>_xlfn.XLOOKUP(_xlfn.CONCAT($A31," - ",$B31),#REF!,#REF!,0,,)*$C31/$J31</f>
        <v>#REF!</v>
      </c>
      <c r="H31" s="16" t="e">
        <f>_xlfn.XLOOKUP(_xlfn.CONCAT($A31," - ",$B31),#REF!,#REF!,0,,)*$C31/$J31</f>
        <v>#REF!</v>
      </c>
      <c r="I31" s="16" t="e">
        <f>_xlfn.XLOOKUP(_xlfn.CONCAT($A31," - ",$B31),#REF!,#REF!,0,,)*$C31/$J31</f>
        <v>#REF!</v>
      </c>
      <c r="J31" s="17">
        <f t="shared" si="2"/>
        <v>1</v>
      </c>
    </row>
    <row r="32" spans="1:10" ht="21" x14ac:dyDescent="0.2">
      <c r="A32" s="16"/>
      <c r="B32" s="16"/>
      <c r="C32" s="16"/>
      <c r="D32" s="16" t="e">
        <f>_xlfn.XLOOKUP(_xlfn.CONCAT($A32," - ",$B32),#REF!,#REF!,0,,)*$C32/$J32</f>
        <v>#REF!</v>
      </c>
      <c r="E32" s="16" t="e">
        <f>_xlfn.XLOOKUP(_xlfn.CONCAT($A32," - ",$B32),#REF!,#REF!,0,,)*$C32/$J32</f>
        <v>#REF!</v>
      </c>
      <c r="F32" s="16" t="e">
        <f>_xlfn.XLOOKUP(_xlfn.CONCAT($A32," - ",$B32),#REF!,#REF!,0,,)*$C32/$J32</f>
        <v>#REF!</v>
      </c>
      <c r="G32" s="16" t="e">
        <f>_xlfn.XLOOKUP(_xlfn.CONCAT($A32," - ",$B32),#REF!,#REF!,0,,)*$C32/$J32</f>
        <v>#REF!</v>
      </c>
      <c r="H32" s="16" t="e">
        <f>_xlfn.XLOOKUP(_xlfn.CONCAT($A32," - ",$B32),#REF!,#REF!,0,,)*$C32/$J32</f>
        <v>#REF!</v>
      </c>
      <c r="I32" s="16" t="e">
        <f>_xlfn.XLOOKUP(_xlfn.CONCAT($A32," - ",$B32),#REF!,#REF!,0,,)*$C32/$J32</f>
        <v>#REF!</v>
      </c>
      <c r="J32" s="17">
        <f t="shared" si="2"/>
        <v>1</v>
      </c>
    </row>
    <row r="33" spans="1:10" ht="21" x14ac:dyDescent="0.2">
      <c r="A33" s="16"/>
      <c r="B33" s="16"/>
      <c r="C33" s="16"/>
      <c r="D33" s="16" t="e">
        <f>_xlfn.XLOOKUP(_xlfn.CONCAT($A33," - ",$B33),#REF!,#REF!,0,,)*$C33/$J33</f>
        <v>#REF!</v>
      </c>
      <c r="E33" s="16" t="e">
        <f>_xlfn.XLOOKUP(_xlfn.CONCAT($A33," - ",$B33),#REF!,#REF!,0,,)*$C33/$J33</f>
        <v>#REF!</v>
      </c>
      <c r="F33" s="16" t="e">
        <f>_xlfn.XLOOKUP(_xlfn.CONCAT($A33," - ",$B33),#REF!,#REF!,0,,)*$C33/$J33</f>
        <v>#REF!</v>
      </c>
      <c r="G33" s="16" t="e">
        <f>_xlfn.XLOOKUP(_xlfn.CONCAT($A33," - ",$B33),#REF!,#REF!,0,,)*$C33/$J33</f>
        <v>#REF!</v>
      </c>
      <c r="H33" s="16" t="e">
        <f>_xlfn.XLOOKUP(_xlfn.CONCAT($A33," - ",$B33),#REF!,#REF!,0,,)*$C33/$J33</f>
        <v>#REF!</v>
      </c>
      <c r="I33" s="16" t="e">
        <f>_xlfn.XLOOKUP(_xlfn.CONCAT($A33," - ",$B33),#REF!,#REF!,0,,)*$C33/$J33</f>
        <v>#REF!</v>
      </c>
      <c r="J33" s="17">
        <f t="shared" si="2"/>
        <v>1</v>
      </c>
    </row>
    <row r="34" spans="1:10" ht="21" x14ac:dyDescent="0.2">
      <c r="A34" s="16"/>
      <c r="B34" s="16"/>
      <c r="C34" s="16"/>
      <c r="D34" s="16" t="e">
        <f>_xlfn.XLOOKUP(_xlfn.CONCAT($A34," - ",$B34),#REF!,#REF!,0,,)*$C34/$J34</f>
        <v>#REF!</v>
      </c>
      <c r="E34" s="16" t="e">
        <f>_xlfn.XLOOKUP(_xlfn.CONCAT($A34," - ",$B34),#REF!,#REF!,0,,)*$C34/$J34</f>
        <v>#REF!</v>
      </c>
      <c r="F34" s="16" t="e">
        <f>_xlfn.XLOOKUP(_xlfn.CONCAT($A34," - ",$B34),#REF!,#REF!,0,,)*$C34/$J34</f>
        <v>#REF!</v>
      </c>
      <c r="G34" s="16" t="e">
        <f>_xlfn.XLOOKUP(_xlfn.CONCAT($A34," - ",$B34),#REF!,#REF!,0,,)*$C34/$J34</f>
        <v>#REF!</v>
      </c>
      <c r="H34" s="16" t="e">
        <f>_xlfn.XLOOKUP(_xlfn.CONCAT($A34," - ",$B34),#REF!,#REF!,0,,)*$C34/$J34</f>
        <v>#REF!</v>
      </c>
      <c r="I34" s="16" t="e">
        <f>_xlfn.XLOOKUP(_xlfn.CONCAT($A34," - ",$B34),#REF!,#REF!,0,,)*$C34/$J34</f>
        <v>#REF!</v>
      </c>
      <c r="J34" s="17">
        <f t="shared" si="2"/>
        <v>1</v>
      </c>
    </row>
    <row r="35" spans="1:10" ht="22" thickBot="1" x14ac:dyDescent="0.25">
      <c r="A35" s="16"/>
      <c r="B35" s="16"/>
      <c r="C35" s="16"/>
      <c r="D35" s="16" t="e">
        <f>_xlfn.XLOOKUP(_xlfn.CONCAT($A35," - ",$B35),#REF!,#REF!,0,,)*$C35/$J35</f>
        <v>#REF!</v>
      </c>
      <c r="E35" s="16" t="e">
        <f>_xlfn.XLOOKUP(_xlfn.CONCAT($A35," - ",$B35),#REF!,#REF!,0,,)*$C35/$J35</f>
        <v>#REF!</v>
      </c>
      <c r="F35" s="16" t="e">
        <f>_xlfn.XLOOKUP(_xlfn.CONCAT($A35," - ",$B35),#REF!,#REF!,0,,)*$C35/$J35</f>
        <v>#REF!</v>
      </c>
      <c r="G35" s="16" t="e">
        <f>_xlfn.XLOOKUP(_xlfn.CONCAT($A35," - ",$B35),#REF!,#REF!,0,,)*$C35/$J35</f>
        <v>#REF!</v>
      </c>
      <c r="H35" s="16" t="e">
        <f>_xlfn.XLOOKUP(_xlfn.CONCAT($A35," - ",$B35),#REF!,#REF!,0,,)*$C35/$J35</f>
        <v>#REF!</v>
      </c>
      <c r="I35" s="16" t="e">
        <f>_xlfn.XLOOKUP(_xlfn.CONCAT($A35," - ",$B35),#REF!,#REF!,0,,)*$C35/$J35</f>
        <v>#REF!</v>
      </c>
      <c r="J35" s="17">
        <f t="shared" si="2"/>
        <v>1</v>
      </c>
    </row>
    <row r="36" spans="1:10" ht="20" thickBot="1" x14ac:dyDescent="0.25">
      <c r="A36" s="89" t="s">
        <v>12</v>
      </c>
      <c r="B36" s="90"/>
      <c r="C36" s="91"/>
      <c r="D36" s="18" t="e">
        <f>SUM(D28:D35)</f>
        <v>#REF!</v>
      </c>
      <c r="E36" s="18" t="e">
        <f t="shared" ref="E36:I36" si="3">SUM(E28:E35)</f>
        <v>#REF!</v>
      </c>
      <c r="F36" s="18" t="e">
        <f t="shared" si="3"/>
        <v>#REF!</v>
      </c>
      <c r="G36" s="18" t="e">
        <f t="shared" si="3"/>
        <v>#REF!</v>
      </c>
      <c r="H36" s="18" t="e">
        <f t="shared" si="3"/>
        <v>#REF!</v>
      </c>
      <c r="I36" s="18" t="e">
        <f t="shared" si="3"/>
        <v>#REF!</v>
      </c>
    </row>
    <row r="39" spans="1:10" ht="17" thickBot="1" x14ac:dyDescent="0.25"/>
    <row r="40" spans="1:10" ht="25" thickBot="1" x14ac:dyDescent="0.3">
      <c r="A40" s="86" t="s">
        <v>54</v>
      </c>
      <c r="B40" s="87"/>
      <c r="C40" s="87"/>
      <c r="D40" s="87"/>
      <c r="E40" s="87"/>
      <c r="F40" s="87"/>
      <c r="G40" s="87"/>
      <c r="H40" s="87"/>
      <c r="I40" s="88"/>
      <c r="J40" s="14"/>
    </row>
    <row r="41" spans="1:10" ht="21" x14ac:dyDescent="0.25">
      <c r="A41" s="19" t="s">
        <v>1</v>
      </c>
      <c r="B41" s="19" t="s">
        <v>39</v>
      </c>
      <c r="C41" s="19" t="s">
        <v>0</v>
      </c>
      <c r="D41" s="19" t="s">
        <v>46</v>
      </c>
      <c r="E41" s="19" t="s">
        <v>47</v>
      </c>
      <c r="F41" s="19" t="s">
        <v>48</v>
      </c>
      <c r="G41" s="19" t="s">
        <v>49</v>
      </c>
      <c r="H41" s="19" t="s">
        <v>50</v>
      </c>
      <c r="I41" s="19" t="s">
        <v>51</v>
      </c>
      <c r="J41" s="15"/>
    </row>
    <row r="42" spans="1:10" ht="21" x14ac:dyDescent="0.2">
      <c r="A42" s="16" t="s">
        <v>42</v>
      </c>
      <c r="B42" s="16" t="s">
        <v>53</v>
      </c>
      <c r="C42" s="16">
        <v>80</v>
      </c>
      <c r="D42" s="16" t="e">
        <f>_xlfn.XLOOKUP(_xlfn.CONCAT($A42," - ",$B42),#REF!,#REF!,0,,)*$C42/$J42</f>
        <v>#REF!</v>
      </c>
      <c r="E42" s="16" t="e">
        <f>_xlfn.XLOOKUP(_xlfn.CONCAT($A42," - ",$B42),#REF!,#REF!,0,,)*$C42/$J42</f>
        <v>#REF!</v>
      </c>
      <c r="F42" s="16" t="e">
        <f>_xlfn.XLOOKUP(_xlfn.CONCAT($A42," - ",$B42),#REF!,#REF!,0,,)*$C42/$J42</f>
        <v>#REF!</v>
      </c>
      <c r="G42" s="16" t="e">
        <f>_xlfn.XLOOKUP(_xlfn.CONCAT($A42," - ",$B42),#REF!,#REF!,0,,)*$C42/$J42</f>
        <v>#REF!</v>
      </c>
      <c r="H42" s="16" t="e">
        <f>_xlfn.XLOOKUP(_xlfn.CONCAT($A42," - ",$B42),#REF!,#REF!,0,,)*$C42/$J42</f>
        <v>#REF!</v>
      </c>
      <c r="I42" s="16" t="e">
        <f>_xlfn.XLOOKUP(_xlfn.CONCAT($A42," - ",$B42),#REF!,#REF!,0,,)*$C42/$J42</f>
        <v>#REF!</v>
      </c>
      <c r="J42" s="17">
        <f>IF(B42="Gramas (100g)",100,1)</f>
        <v>100</v>
      </c>
    </row>
    <row r="43" spans="1:10" ht="21" x14ac:dyDescent="0.2">
      <c r="A43" s="16" t="s">
        <v>61</v>
      </c>
      <c r="B43" s="16" t="s">
        <v>53</v>
      </c>
      <c r="C43" s="16">
        <v>100</v>
      </c>
      <c r="D43" s="16" t="e">
        <f>_xlfn.XLOOKUP(_xlfn.CONCAT($A43," - ",$B43),#REF!,#REF!,0,,)*$C43/$J43</f>
        <v>#REF!</v>
      </c>
      <c r="E43" s="16" t="e">
        <f>_xlfn.XLOOKUP(_xlfn.CONCAT($A43," - ",$B43),#REF!,#REF!,0,,)*$C43/$J43</f>
        <v>#REF!</v>
      </c>
      <c r="F43" s="16" t="e">
        <f>_xlfn.XLOOKUP(_xlfn.CONCAT($A43," - ",$B43),#REF!,#REF!,0,,)*$C43/$J43</f>
        <v>#REF!</v>
      </c>
      <c r="G43" s="16" t="e">
        <f>_xlfn.XLOOKUP(_xlfn.CONCAT($A43," - ",$B43),#REF!,#REF!,0,,)*$C43/$J43</f>
        <v>#REF!</v>
      </c>
      <c r="H43" s="16" t="e">
        <f>_xlfn.XLOOKUP(_xlfn.CONCAT($A43," - ",$B43),#REF!,#REF!,0,,)*$C43/$J43</f>
        <v>#REF!</v>
      </c>
      <c r="I43" s="16" t="e">
        <f>_xlfn.XLOOKUP(_xlfn.CONCAT($A43," - ",$B43),#REF!,#REF!,0,,)*$C43/$J43</f>
        <v>#REF!</v>
      </c>
      <c r="J43" s="17">
        <f>IF(B43="Gramas (100g)",100,1)</f>
        <v>100</v>
      </c>
    </row>
    <row r="44" spans="1:10" ht="21" x14ac:dyDescent="0.2">
      <c r="A44" s="16" t="s">
        <v>62</v>
      </c>
      <c r="B44" s="16" t="s">
        <v>53</v>
      </c>
      <c r="C44" s="16">
        <v>15</v>
      </c>
      <c r="D44" s="16" t="e">
        <f>_xlfn.XLOOKUP(_xlfn.CONCAT($A44," - ",$B44),#REF!,#REF!,0,,)*$C44/$J44</f>
        <v>#REF!</v>
      </c>
      <c r="E44" s="16" t="e">
        <f>_xlfn.XLOOKUP(_xlfn.CONCAT($A44," - ",$B44),#REF!,#REF!,0,,)*$C44/$J44</f>
        <v>#REF!</v>
      </c>
      <c r="F44" s="16" t="e">
        <f>_xlfn.XLOOKUP(_xlfn.CONCAT($A44," - ",$B44),#REF!,#REF!,0,,)*$C44/$J44</f>
        <v>#REF!</v>
      </c>
      <c r="G44" s="16" t="e">
        <f>_xlfn.XLOOKUP(_xlfn.CONCAT($A44," - ",$B44),#REF!,#REF!,0,,)*$C44/$J44</f>
        <v>#REF!</v>
      </c>
      <c r="H44" s="16" t="e">
        <f>_xlfn.XLOOKUP(_xlfn.CONCAT($A44," - ",$B44),#REF!,#REF!,0,,)*$C44/$J44</f>
        <v>#REF!</v>
      </c>
      <c r="I44" s="16" t="e">
        <f>_xlfn.XLOOKUP(_xlfn.CONCAT($A44," - ",$B44),#REF!,#REF!,0,,)*$C44/$J44</f>
        <v>#REF!</v>
      </c>
      <c r="J44" s="17">
        <f t="shared" ref="J44:J49" si="4">IF(B44="Gramas (100g)",100,1)</f>
        <v>100</v>
      </c>
    </row>
    <row r="45" spans="1:10" ht="21" x14ac:dyDescent="0.2">
      <c r="A45" s="16"/>
      <c r="B45" s="16"/>
      <c r="C45" s="16"/>
      <c r="D45" s="16" t="e">
        <f>_xlfn.XLOOKUP(_xlfn.CONCAT($A45," - ",$B45),#REF!,#REF!,0,,)*$C45/$J45</f>
        <v>#REF!</v>
      </c>
      <c r="E45" s="16" t="e">
        <f>_xlfn.XLOOKUP(_xlfn.CONCAT($A45," - ",$B45),#REF!,#REF!,0,,)*$C45/$J45</f>
        <v>#REF!</v>
      </c>
      <c r="F45" s="16" t="e">
        <f>_xlfn.XLOOKUP(_xlfn.CONCAT($A45," - ",$B45),#REF!,#REF!,0,,)*$C45/$J45</f>
        <v>#REF!</v>
      </c>
      <c r="G45" s="16" t="e">
        <f>_xlfn.XLOOKUP(_xlfn.CONCAT($A45," - ",$B45),#REF!,#REF!,0,,)*$C45/$J45</f>
        <v>#REF!</v>
      </c>
      <c r="H45" s="16" t="e">
        <f>_xlfn.XLOOKUP(_xlfn.CONCAT($A45," - ",$B45),#REF!,#REF!,0,,)*$C45/$J45</f>
        <v>#REF!</v>
      </c>
      <c r="I45" s="16" t="e">
        <f>_xlfn.XLOOKUP(_xlfn.CONCAT($A45," - ",$B45),#REF!,#REF!,0,,)*$C45/$J45</f>
        <v>#REF!</v>
      </c>
      <c r="J45" s="17">
        <f t="shared" si="4"/>
        <v>1</v>
      </c>
    </row>
    <row r="46" spans="1:10" ht="21" x14ac:dyDescent="0.2">
      <c r="A46" s="16"/>
      <c r="B46" s="16"/>
      <c r="C46" s="16"/>
      <c r="D46" s="16" t="e">
        <f>_xlfn.XLOOKUP(_xlfn.CONCAT($A46," - ",$B46),#REF!,#REF!,0,,)*$C46/$J46</f>
        <v>#REF!</v>
      </c>
      <c r="E46" s="16" t="e">
        <f>_xlfn.XLOOKUP(_xlfn.CONCAT($A46," - ",$B46),#REF!,#REF!,0,,)*$C46/$J46</f>
        <v>#REF!</v>
      </c>
      <c r="F46" s="16" t="e">
        <f>_xlfn.XLOOKUP(_xlfn.CONCAT($A46," - ",$B46),#REF!,#REF!,0,,)*$C46/$J46</f>
        <v>#REF!</v>
      </c>
      <c r="G46" s="16" t="e">
        <f>_xlfn.XLOOKUP(_xlfn.CONCAT($A46," - ",$B46),#REF!,#REF!,0,,)*$C46/$J46</f>
        <v>#REF!</v>
      </c>
      <c r="H46" s="16" t="e">
        <f>_xlfn.XLOOKUP(_xlfn.CONCAT($A46," - ",$B46),#REF!,#REF!,0,,)*$C46/$J46</f>
        <v>#REF!</v>
      </c>
      <c r="I46" s="16" t="e">
        <f>_xlfn.XLOOKUP(_xlfn.CONCAT($A46," - ",$B46),#REF!,#REF!,0,,)*$C46/$J46</f>
        <v>#REF!</v>
      </c>
      <c r="J46" s="17">
        <f t="shared" si="4"/>
        <v>1</v>
      </c>
    </row>
    <row r="47" spans="1:10" ht="21" x14ac:dyDescent="0.2">
      <c r="A47" s="16"/>
      <c r="B47" s="16"/>
      <c r="C47" s="16"/>
      <c r="D47" s="16" t="e">
        <f>_xlfn.XLOOKUP(_xlfn.CONCAT($A47," - ",$B47),#REF!,#REF!,0,,)*$C47/$J47</f>
        <v>#REF!</v>
      </c>
      <c r="E47" s="16" t="e">
        <f>_xlfn.XLOOKUP(_xlfn.CONCAT($A47," - ",$B47),#REF!,#REF!,0,,)*$C47/$J47</f>
        <v>#REF!</v>
      </c>
      <c r="F47" s="16" t="e">
        <f>_xlfn.XLOOKUP(_xlfn.CONCAT($A47," - ",$B47),#REF!,#REF!,0,,)*$C47/$J47</f>
        <v>#REF!</v>
      </c>
      <c r="G47" s="16" t="e">
        <f>_xlfn.XLOOKUP(_xlfn.CONCAT($A47," - ",$B47),#REF!,#REF!,0,,)*$C47/$J47</f>
        <v>#REF!</v>
      </c>
      <c r="H47" s="16" t="e">
        <f>_xlfn.XLOOKUP(_xlfn.CONCAT($A47," - ",$B47),#REF!,#REF!,0,,)*$C47/$J47</f>
        <v>#REF!</v>
      </c>
      <c r="I47" s="16" t="e">
        <f>_xlfn.XLOOKUP(_xlfn.CONCAT($A47," - ",$B47),#REF!,#REF!,0,,)*$C47/$J47</f>
        <v>#REF!</v>
      </c>
      <c r="J47" s="17">
        <f t="shared" si="4"/>
        <v>1</v>
      </c>
    </row>
    <row r="48" spans="1:10" ht="21" x14ac:dyDescent="0.2">
      <c r="A48" s="16"/>
      <c r="B48" s="16"/>
      <c r="C48" s="16"/>
      <c r="D48" s="16" t="e">
        <f>_xlfn.XLOOKUP(_xlfn.CONCAT($A48," - ",$B48),#REF!,#REF!,0,,)*$C48/$J48</f>
        <v>#REF!</v>
      </c>
      <c r="E48" s="16" t="e">
        <f>_xlfn.XLOOKUP(_xlfn.CONCAT($A48," - ",$B48),#REF!,#REF!,0,,)*$C48/$J48</f>
        <v>#REF!</v>
      </c>
      <c r="F48" s="16" t="e">
        <f>_xlfn.XLOOKUP(_xlfn.CONCAT($A48," - ",$B48),#REF!,#REF!,0,,)*$C48/$J48</f>
        <v>#REF!</v>
      </c>
      <c r="G48" s="16" t="e">
        <f>_xlfn.XLOOKUP(_xlfn.CONCAT($A48," - ",$B48),#REF!,#REF!,0,,)*$C48/$J48</f>
        <v>#REF!</v>
      </c>
      <c r="H48" s="16" t="e">
        <f>_xlfn.XLOOKUP(_xlfn.CONCAT($A48," - ",$B48),#REF!,#REF!,0,,)*$C48/$J48</f>
        <v>#REF!</v>
      </c>
      <c r="I48" s="16" t="e">
        <f>_xlfn.XLOOKUP(_xlfn.CONCAT($A48," - ",$B48),#REF!,#REF!,0,,)*$C48/$J48</f>
        <v>#REF!</v>
      </c>
      <c r="J48" s="17">
        <f t="shared" si="4"/>
        <v>1</v>
      </c>
    </row>
    <row r="49" spans="1:10" ht="22" thickBot="1" x14ac:dyDescent="0.25">
      <c r="A49" s="16"/>
      <c r="B49" s="16"/>
      <c r="C49" s="16"/>
      <c r="D49" s="16" t="e">
        <f>_xlfn.XLOOKUP(_xlfn.CONCAT($A49," - ",$B49),#REF!,#REF!,0,,)*$C49/$J49</f>
        <v>#REF!</v>
      </c>
      <c r="E49" s="16" t="e">
        <f>_xlfn.XLOOKUP(_xlfn.CONCAT($A49," - ",$B49),#REF!,#REF!,0,,)*$C49/$J49</f>
        <v>#REF!</v>
      </c>
      <c r="F49" s="16" t="e">
        <f>_xlfn.XLOOKUP(_xlfn.CONCAT($A49," - ",$B49),#REF!,#REF!,0,,)*$C49/$J49</f>
        <v>#REF!</v>
      </c>
      <c r="G49" s="16" t="e">
        <f>_xlfn.XLOOKUP(_xlfn.CONCAT($A49," - ",$B49),#REF!,#REF!,0,,)*$C49/$J49</f>
        <v>#REF!</v>
      </c>
      <c r="H49" s="16" t="e">
        <f>_xlfn.XLOOKUP(_xlfn.CONCAT($A49," - ",$B49),#REF!,#REF!,0,,)*$C49/$J49</f>
        <v>#REF!</v>
      </c>
      <c r="I49" s="16" t="e">
        <f>_xlfn.XLOOKUP(_xlfn.CONCAT($A49," - ",$B49),#REF!,#REF!,0,,)*$C49/$J49</f>
        <v>#REF!</v>
      </c>
      <c r="J49" s="17">
        <f t="shared" si="4"/>
        <v>1</v>
      </c>
    </row>
    <row r="50" spans="1:10" ht="20" thickBot="1" x14ac:dyDescent="0.25">
      <c r="A50" s="89" t="s">
        <v>12</v>
      </c>
      <c r="B50" s="90"/>
      <c r="C50" s="91"/>
      <c r="D50" s="18" t="e">
        <f>SUM(D42:D49)</f>
        <v>#REF!</v>
      </c>
      <c r="E50" s="18" t="e">
        <f t="shared" ref="E50:I50" si="5">SUM(E42:E49)</f>
        <v>#REF!</v>
      </c>
      <c r="F50" s="18" t="e">
        <f t="shared" si="5"/>
        <v>#REF!</v>
      </c>
      <c r="G50" s="18" t="e">
        <f t="shared" si="5"/>
        <v>#REF!</v>
      </c>
      <c r="H50" s="18" t="e">
        <f t="shared" si="5"/>
        <v>#REF!</v>
      </c>
      <c r="I50" s="18" t="e">
        <f t="shared" si="5"/>
        <v>#REF!</v>
      </c>
    </row>
    <row r="53" spans="1:10" ht="17" thickBot="1" x14ac:dyDescent="0.25"/>
    <row r="54" spans="1:10" ht="25" thickBot="1" x14ac:dyDescent="0.3">
      <c r="A54" s="86" t="s">
        <v>59</v>
      </c>
      <c r="B54" s="87"/>
      <c r="C54" s="87"/>
      <c r="D54" s="87"/>
      <c r="E54" s="87"/>
      <c r="F54" s="87"/>
      <c r="G54" s="87"/>
      <c r="H54" s="87"/>
      <c r="I54" s="88"/>
      <c r="J54" s="14"/>
    </row>
    <row r="55" spans="1:10" ht="21" x14ac:dyDescent="0.25">
      <c r="A55" s="19" t="s">
        <v>1</v>
      </c>
      <c r="B55" s="19" t="s">
        <v>39</v>
      </c>
      <c r="C55" s="19" t="s">
        <v>0</v>
      </c>
      <c r="D55" s="19" t="s">
        <v>46</v>
      </c>
      <c r="E55" s="19" t="s">
        <v>47</v>
      </c>
      <c r="F55" s="19" t="s">
        <v>48</v>
      </c>
      <c r="G55" s="19" t="s">
        <v>49</v>
      </c>
      <c r="H55" s="19" t="s">
        <v>50</v>
      </c>
      <c r="I55" s="19" t="s">
        <v>51</v>
      </c>
      <c r="J55" s="15"/>
    </row>
    <row r="56" spans="1:10" ht="21" x14ac:dyDescent="0.2">
      <c r="A56" s="16"/>
      <c r="B56" s="16"/>
      <c r="C56" s="16"/>
      <c r="D56" s="16" t="e">
        <f>_xlfn.XLOOKUP(_xlfn.CONCAT($A56," - ",$B56),#REF!,#REF!,0,,)*$C56/$J56</f>
        <v>#REF!</v>
      </c>
      <c r="E56" s="16" t="e">
        <f>_xlfn.XLOOKUP(_xlfn.CONCAT($A56," - ",$B56),#REF!,#REF!,0,,)*$C56/$J56</f>
        <v>#REF!</v>
      </c>
      <c r="F56" s="16" t="e">
        <f>_xlfn.XLOOKUP(_xlfn.CONCAT($A56," - ",$B56),#REF!,#REF!,0,,)*$C56/$J56</f>
        <v>#REF!</v>
      </c>
      <c r="G56" s="16" t="e">
        <f>_xlfn.XLOOKUP(_xlfn.CONCAT($A56," - ",$B56),#REF!,#REF!,0,,)*$C56/$J56</f>
        <v>#REF!</v>
      </c>
      <c r="H56" s="16" t="e">
        <f>_xlfn.XLOOKUP(_xlfn.CONCAT($A56," - ",$B56),#REF!,#REF!,0,,)*$C56/$J56</f>
        <v>#REF!</v>
      </c>
      <c r="I56" s="16" t="e">
        <f>_xlfn.XLOOKUP(_xlfn.CONCAT($A56," - ",$B56),#REF!,#REF!,0,,)*$C56/$J56</f>
        <v>#REF!</v>
      </c>
      <c r="J56" s="17">
        <f t="shared" ref="J56" si="6">IF(B56="Gramas (100g)",100,1)</f>
        <v>1</v>
      </c>
    </row>
    <row r="57" spans="1:10" ht="21" x14ac:dyDescent="0.2">
      <c r="A57" s="16"/>
      <c r="B57" s="16"/>
      <c r="C57" s="16"/>
      <c r="D57" s="16" t="e">
        <f>_xlfn.XLOOKUP(_xlfn.CONCAT($A57," - ",$B57),#REF!,#REF!,0,,)*$C57/$J57</f>
        <v>#REF!</v>
      </c>
      <c r="E57" s="16" t="e">
        <f>_xlfn.XLOOKUP(_xlfn.CONCAT($A57," - ",$B57),#REF!,#REF!,0,,)*$C57/$J57</f>
        <v>#REF!</v>
      </c>
      <c r="F57" s="16" t="e">
        <f>_xlfn.XLOOKUP(_xlfn.CONCAT($A57," - ",$B57),#REF!,#REF!,0,,)*$C57/$J57</f>
        <v>#REF!</v>
      </c>
      <c r="G57" s="16" t="e">
        <f>_xlfn.XLOOKUP(_xlfn.CONCAT($A57," - ",$B57),#REF!,#REF!,0,,)*$C57/$J57</f>
        <v>#REF!</v>
      </c>
      <c r="H57" s="16" t="e">
        <f>_xlfn.XLOOKUP(_xlfn.CONCAT($A57," - ",$B57),#REF!,#REF!,0,,)*$C57/$J57</f>
        <v>#REF!</v>
      </c>
      <c r="I57" s="16" t="e">
        <f>_xlfn.XLOOKUP(_xlfn.CONCAT($A57," - ",$B57),#REF!,#REF!,0,,)*$C57/$J57</f>
        <v>#REF!</v>
      </c>
      <c r="J57" s="17">
        <f>IF(B57="Gramas (100g)",100,1)</f>
        <v>1</v>
      </c>
    </row>
    <row r="58" spans="1:10" ht="21" x14ac:dyDescent="0.2">
      <c r="A58" s="16"/>
      <c r="B58" s="16"/>
      <c r="C58" s="16"/>
      <c r="D58" s="16" t="e">
        <f>_xlfn.XLOOKUP(_xlfn.CONCAT($A58," - ",$B58),#REF!,#REF!,0,,)*$C58/$J58</f>
        <v>#REF!</v>
      </c>
      <c r="E58" s="16" t="e">
        <f>_xlfn.XLOOKUP(_xlfn.CONCAT($A58," - ",$B58),#REF!,#REF!,0,,)*$C58/$J58</f>
        <v>#REF!</v>
      </c>
      <c r="F58" s="16" t="e">
        <f>_xlfn.XLOOKUP(_xlfn.CONCAT($A58," - ",$B58),#REF!,#REF!,0,,)*$C58/$J58</f>
        <v>#REF!</v>
      </c>
      <c r="G58" s="16" t="e">
        <f>_xlfn.XLOOKUP(_xlfn.CONCAT($A58," - ",$B58),#REF!,#REF!,0,,)*$C58/$J58</f>
        <v>#REF!</v>
      </c>
      <c r="H58" s="16" t="e">
        <f>_xlfn.XLOOKUP(_xlfn.CONCAT($A58," - ",$B58),#REF!,#REF!,0,,)*$C58/$J58</f>
        <v>#REF!</v>
      </c>
      <c r="I58" s="16" t="e">
        <f>_xlfn.XLOOKUP(_xlfn.CONCAT($A58," - ",$B58),#REF!,#REF!,0,,)*$C58/$J58</f>
        <v>#REF!</v>
      </c>
      <c r="J58" s="17">
        <f t="shared" ref="J58:J63" si="7">IF(B58="Gramas (100g)",100,1)</f>
        <v>1</v>
      </c>
    </row>
    <row r="59" spans="1:10" ht="21" x14ac:dyDescent="0.2">
      <c r="A59" s="16"/>
      <c r="B59" s="16"/>
      <c r="C59" s="16"/>
      <c r="D59" s="16" t="e">
        <f>_xlfn.XLOOKUP(_xlfn.CONCAT($A59," - ",$B59),#REF!,#REF!,0,,)*$C59/$J59</f>
        <v>#REF!</v>
      </c>
      <c r="E59" s="16" t="e">
        <f>_xlfn.XLOOKUP(_xlfn.CONCAT($A59," - ",$B59),#REF!,#REF!,0,,)*$C59/$J59</f>
        <v>#REF!</v>
      </c>
      <c r="F59" s="16" t="e">
        <f>_xlfn.XLOOKUP(_xlfn.CONCAT($A59," - ",$B59),#REF!,#REF!,0,,)*$C59/$J59</f>
        <v>#REF!</v>
      </c>
      <c r="G59" s="16" t="e">
        <f>_xlfn.XLOOKUP(_xlfn.CONCAT($A59," - ",$B59),#REF!,#REF!,0,,)*$C59/$J59</f>
        <v>#REF!</v>
      </c>
      <c r="H59" s="16" t="e">
        <f>_xlfn.XLOOKUP(_xlfn.CONCAT($A59," - ",$B59),#REF!,#REF!,0,,)*$C59/$J59</f>
        <v>#REF!</v>
      </c>
      <c r="I59" s="16" t="e">
        <f>_xlfn.XLOOKUP(_xlfn.CONCAT($A59," - ",$B59),#REF!,#REF!,0,,)*$C59/$J59</f>
        <v>#REF!</v>
      </c>
      <c r="J59" s="17">
        <f t="shared" si="7"/>
        <v>1</v>
      </c>
    </row>
    <row r="60" spans="1:10" ht="21" x14ac:dyDescent="0.2">
      <c r="A60" s="16"/>
      <c r="B60" s="16"/>
      <c r="C60" s="16"/>
      <c r="D60" s="16" t="e">
        <f>_xlfn.XLOOKUP(_xlfn.CONCAT($A60," - ",$B60),#REF!,#REF!,0,,)*$C60/$J60</f>
        <v>#REF!</v>
      </c>
      <c r="E60" s="16" t="e">
        <f>_xlfn.XLOOKUP(_xlfn.CONCAT($A60," - ",$B60),#REF!,#REF!,0,,)*$C60/$J60</f>
        <v>#REF!</v>
      </c>
      <c r="F60" s="16" t="e">
        <f>_xlfn.XLOOKUP(_xlfn.CONCAT($A60," - ",$B60),#REF!,#REF!,0,,)*$C60/$J60</f>
        <v>#REF!</v>
      </c>
      <c r="G60" s="16" t="e">
        <f>_xlfn.XLOOKUP(_xlfn.CONCAT($A60," - ",$B60),#REF!,#REF!,0,,)*$C60/$J60</f>
        <v>#REF!</v>
      </c>
      <c r="H60" s="16" t="e">
        <f>_xlfn.XLOOKUP(_xlfn.CONCAT($A60," - ",$B60),#REF!,#REF!,0,,)*$C60/$J60</f>
        <v>#REF!</v>
      </c>
      <c r="I60" s="16" t="e">
        <f>_xlfn.XLOOKUP(_xlfn.CONCAT($A60," - ",$B60),#REF!,#REF!,0,,)*$C60/$J60</f>
        <v>#REF!</v>
      </c>
      <c r="J60" s="17">
        <f t="shared" si="7"/>
        <v>1</v>
      </c>
    </row>
    <row r="61" spans="1:10" ht="21" x14ac:dyDescent="0.2">
      <c r="A61" s="16"/>
      <c r="B61" s="16"/>
      <c r="C61" s="16"/>
      <c r="D61" s="16" t="e">
        <f>_xlfn.XLOOKUP(_xlfn.CONCAT($A61," - ",$B61),#REF!,#REF!,0,,)*$C61/$J61</f>
        <v>#REF!</v>
      </c>
      <c r="E61" s="16" t="e">
        <f>_xlfn.XLOOKUP(_xlfn.CONCAT($A61," - ",$B61),#REF!,#REF!,0,,)*$C61/$J61</f>
        <v>#REF!</v>
      </c>
      <c r="F61" s="16" t="e">
        <f>_xlfn.XLOOKUP(_xlfn.CONCAT($A61," - ",$B61),#REF!,#REF!,0,,)*$C61/$J61</f>
        <v>#REF!</v>
      </c>
      <c r="G61" s="16" t="e">
        <f>_xlfn.XLOOKUP(_xlfn.CONCAT($A61," - ",$B61),#REF!,#REF!,0,,)*$C61/$J61</f>
        <v>#REF!</v>
      </c>
      <c r="H61" s="16" t="e">
        <f>_xlfn.XLOOKUP(_xlfn.CONCAT($A61," - ",$B61),#REF!,#REF!,0,,)*$C61/$J61</f>
        <v>#REF!</v>
      </c>
      <c r="I61" s="16" t="e">
        <f>_xlfn.XLOOKUP(_xlfn.CONCAT($A61," - ",$B61),#REF!,#REF!,0,,)*$C61/$J61</f>
        <v>#REF!</v>
      </c>
      <c r="J61" s="17">
        <f t="shared" si="7"/>
        <v>1</v>
      </c>
    </row>
    <row r="62" spans="1:10" ht="21" x14ac:dyDescent="0.2">
      <c r="A62" s="16"/>
      <c r="B62" s="16"/>
      <c r="C62" s="16"/>
      <c r="D62" s="16" t="e">
        <f>_xlfn.XLOOKUP(_xlfn.CONCAT($A62," - ",$B62),#REF!,#REF!,0,,)*$C62/$J62</f>
        <v>#REF!</v>
      </c>
      <c r="E62" s="16" t="e">
        <f>_xlfn.XLOOKUP(_xlfn.CONCAT($A62," - ",$B62),#REF!,#REF!,0,,)*$C62/$J62</f>
        <v>#REF!</v>
      </c>
      <c r="F62" s="16" t="e">
        <f>_xlfn.XLOOKUP(_xlfn.CONCAT($A62," - ",$B62),#REF!,#REF!,0,,)*$C62/$J62</f>
        <v>#REF!</v>
      </c>
      <c r="G62" s="16" t="e">
        <f>_xlfn.XLOOKUP(_xlfn.CONCAT($A62," - ",$B62),#REF!,#REF!,0,,)*$C62/$J62</f>
        <v>#REF!</v>
      </c>
      <c r="H62" s="16" t="e">
        <f>_xlfn.XLOOKUP(_xlfn.CONCAT($A62," - ",$B62),#REF!,#REF!,0,,)*$C62/$J62</f>
        <v>#REF!</v>
      </c>
      <c r="I62" s="16" t="e">
        <f>_xlfn.XLOOKUP(_xlfn.CONCAT($A62," - ",$B62),#REF!,#REF!,0,,)*$C62/$J62</f>
        <v>#REF!</v>
      </c>
      <c r="J62" s="17">
        <f t="shared" si="7"/>
        <v>1</v>
      </c>
    </row>
    <row r="63" spans="1:10" ht="22" thickBot="1" x14ac:dyDescent="0.25">
      <c r="A63" s="16"/>
      <c r="B63" s="16"/>
      <c r="C63" s="16"/>
      <c r="D63" s="16" t="e">
        <f>_xlfn.XLOOKUP(_xlfn.CONCAT($A63," - ",$B63),#REF!,#REF!,0,,)*$C63/$J63</f>
        <v>#REF!</v>
      </c>
      <c r="E63" s="16" t="e">
        <f>_xlfn.XLOOKUP(_xlfn.CONCAT($A63," - ",$B63),#REF!,#REF!,0,,)*$C63/$J63</f>
        <v>#REF!</v>
      </c>
      <c r="F63" s="16" t="e">
        <f>_xlfn.XLOOKUP(_xlfn.CONCAT($A63," - ",$B63),#REF!,#REF!,0,,)*$C63/$J63</f>
        <v>#REF!</v>
      </c>
      <c r="G63" s="16" t="e">
        <f>_xlfn.XLOOKUP(_xlfn.CONCAT($A63," - ",$B63),#REF!,#REF!,0,,)*$C63/$J63</f>
        <v>#REF!</v>
      </c>
      <c r="H63" s="16" t="e">
        <f>_xlfn.XLOOKUP(_xlfn.CONCAT($A63," - ",$B63),#REF!,#REF!,0,,)*$C63/$J63</f>
        <v>#REF!</v>
      </c>
      <c r="I63" s="16" t="e">
        <f>_xlfn.XLOOKUP(_xlfn.CONCAT($A63," - ",$B63),#REF!,#REF!,0,,)*$C63/$J63</f>
        <v>#REF!</v>
      </c>
      <c r="J63" s="17">
        <f t="shared" si="7"/>
        <v>1</v>
      </c>
    </row>
    <row r="64" spans="1:10" ht="20" thickBot="1" x14ac:dyDescent="0.25">
      <c r="A64" s="89" t="s">
        <v>12</v>
      </c>
      <c r="B64" s="90"/>
      <c r="C64" s="91"/>
      <c r="D64" s="18" t="e">
        <f>SUM(D56:D63)</f>
        <v>#REF!</v>
      </c>
      <c r="E64" s="18" t="e">
        <f t="shared" ref="E64:I64" si="8">SUM(E56:E63)</f>
        <v>#REF!</v>
      </c>
      <c r="F64" s="18" t="e">
        <f t="shared" si="8"/>
        <v>#REF!</v>
      </c>
      <c r="G64" s="18" t="e">
        <f t="shared" si="8"/>
        <v>#REF!</v>
      </c>
      <c r="H64" s="18" t="e">
        <f t="shared" si="8"/>
        <v>#REF!</v>
      </c>
      <c r="I64" s="18" t="e">
        <f t="shared" si="8"/>
        <v>#REF!</v>
      </c>
    </row>
    <row r="67" spans="1:10" ht="17" thickBot="1" x14ac:dyDescent="0.25"/>
    <row r="68" spans="1:10" ht="25" thickBot="1" x14ac:dyDescent="0.3">
      <c r="A68" s="86" t="s">
        <v>55</v>
      </c>
      <c r="B68" s="87"/>
      <c r="C68" s="87"/>
      <c r="D68" s="87"/>
      <c r="E68" s="87"/>
      <c r="F68" s="87"/>
      <c r="G68" s="87"/>
      <c r="H68" s="87"/>
      <c r="I68" s="88"/>
      <c r="J68" s="14"/>
    </row>
    <row r="69" spans="1:10" ht="21" x14ac:dyDescent="0.25">
      <c r="A69" s="19" t="s">
        <v>1</v>
      </c>
      <c r="B69" s="19" t="s">
        <v>39</v>
      </c>
      <c r="C69" s="19" t="s">
        <v>0</v>
      </c>
      <c r="D69" s="19" t="s">
        <v>46</v>
      </c>
      <c r="E69" s="19" t="s">
        <v>47</v>
      </c>
      <c r="F69" s="19" t="s">
        <v>48</v>
      </c>
      <c r="G69" s="19" t="s">
        <v>49</v>
      </c>
      <c r="H69" s="19" t="s">
        <v>50</v>
      </c>
      <c r="I69" s="19" t="s">
        <v>51</v>
      </c>
      <c r="J69" s="15"/>
    </row>
    <row r="70" spans="1:10" ht="21" x14ac:dyDescent="0.2">
      <c r="A70" s="16" t="s">
        <v>42</v>
      </c>
      <c r="B70" s="16" t="s">
        <v>53</v>
      </c>
      <c r="C70" s="16">
        <v>100</v>
      </c>
      <c r="D70" s="16" t="e">
        <f>_xlfn.XLOOKUP(_xlfn.CONCAT($A70," - ",$B70),#REF!,#REF!,0,,)*$C70/$J70</f>
        <v>#REF!</v>
      </c>
      <c r="E70" s="16" t="e">
        <f>_xlfn.XLOOKUP(_xlfn.CONCAT($A70," - ",$B70),#REF!,#REF!,0,,)*$C70/$J70</f>
        <v>#REF!</v>
      </c>
      <c r="F70" s="16" t="e">
        <f>_xlfn.XLOOKUP(_xlfn.CONCAT($A70," - ",$B70),#REF!,#REF!,0,,)*$C70/$J70</f>
        <v>#REF!</v>
      </c>
      <c r="G70" s="16" t="e">
        <f>_xlfn.XLOOKUP(_xlfn.CONCAT($A70," - ",$B70),#REF!,#REF!,0,,)*$C70/$J70</f>
        <v>#REF!</v>
      </c>
      <c r="H70" s="16" t="e">
        <f>_xlfn.XLOOKUP(_xlfn.CONCAT($A70," - ",$B70),#REF!,#REF!,0,,)*$C70/$J70</f>
        <v>#REF!</v>
      </c>
      <c r="I70" s="16" t="e">
        <f>_xlfn.XLOOKUP(_xlfn.CONCAT($A70," - ",$B70),#REF!,#REF!,0,,)*$C70/$J70</f>
        <v>#REF!</v>
      </c>
      <c r="J70" s="17">
        <f t="shared" ref="J70" si="9">IF(B70="Gramas (100g)",100,1)</f>
        <v>100</v>
      </c>
    </row>
    <row r="71" spans="1:10" ht="21" x14ac:dyDescent="0.2">
      <c r="A71" s="16" t="s">
        <v>60</v>
      </c>
      <c r="B71" s="16" t="s">
        <v>53</v>
      </c>
      <c r="C71" s="16">
        <v>70</v>
      </c>
      <c r="D71" s="16" t="e">
        <f>_xlfn.XLOOKUP(_xlfn.CONCAT($A71," - ",$B71),#REF!,#REF!,0,,)*$C71/$J71</f>
        <v>#REF!</v>
      </c>
      <c r="E71" s="16" t="e">
        <f>_xlfn.XLOOKUP(_xlfn.CONCAT($A71," - ",$B71),#REF!,#REF!,0,,)*$C71/$J71</f>
        <v>#REF!</v>
      </c>
      <c r="F71" s="16" t="e">
        <f>_xlfn.XLOOKUP(_xlfn.CONCAT($A71," - ",$B71),#REF!,#REF!,0,,)*$C71/$J71</f>
        <v>#REF!</v>
      </c>
      <c r="G71" s="16" t="e">
        <f>_xlfn.XLOOKUP(_xlfn.CONCAT($A71," - ",$B71),#REF!,#REF!,0,,)*$C71/$J71</f>
        <v>#REF!</v>
      </c>
      <c r="H71" s="16" t="e">
        <f>_xlfn.XLOOKUP(_xlfn.CONCAT($A71," - ",$B71),#REF!,#REF!,0,,)*$C71/$J71</f>
        <v>#REF!</v>
      </c>
      <c r="I71" s="16" t="e">
        <f>_xlfn.XLOOKUP(_xlfn.CONCAT($A71," - ",$B71),#REF!,#REF!,0,,)*$C71/$J71</f>
        <v>#REF!</v>
      </c>
      <c r="J71" s="17">
        <f>IF(B71="Gramas (100g)",100,1)</f>
        <v>100</v>
      </c>
    </row>
    <row r="72" spans="1:10" ht="21" x14ac:dyDescent="0.2">
      <c r="A72" s="16" t="s">
        <v>41</v>
      </c>
      <c r="B72" s="16" t="s">
        <v>53</v>
      </c>
      <c r="C72" s="16">
        <v>110</v>
      </c>
      <c r="D72" s="16" t="e">
        <f>_xlfn.XLOOKUP(_xlfn.CONCAT($A72," - ",$B72),#REF!,#REF!,0,,)*$C72/$J72</f>
        <v>#REF!</v>
      </c>
      <c r="E72" s="16" t="e">
        <f>_xlfn.XLOOKUP(_xlfn.CONCAT($A72," - ",$B72),#REF!,#REF!,0,,)*$C72/$J72</f>
        <v>#REF!</v>
      </c>
      <c r="F72" s="16" t="e">
        <f>_xlfn.XLOOKUP(_xlfn.CONCAT($A72," - ",$B72),#REF!,#REF!,0,,)*$C72/$J72</f>
        <v>#REF!</v>
      </c>
      <c r="G72" s="16" t="e">
        <f>_xlfn.XLOOKUP(_xlfn.CONCAT($A72," - ",$B72),#REF!,#REF!,0,,)*$C72/$J72</f>
        <v>#REF!</v>
      </c>
      <c r="H72" s="16" t="e">
        <f>_xlfn.XLOOKUP(_xlfn.CONCAT($A72," - ",$B72),#REF!,#REF!,0,,)*$C72/$J72</f>
        <v>#REF!</v>
      </c>
      <c r="I72" s="16" t="e">
        <f>_xlfn.XLOOKUP(_xlfn.CONCAT($A72," - ",$B72),#REF!,#REF!,0,,)*$C72/$J72</f>
        <v>#REF!</v>
      </c>
      <c r="J72" s="17">
        <f t="shared" ref="J72:J77" si="10">IF(B72="Gramas (100g)",100,1)</f>
        <v>100</v>
      </c>
    </row>
    <row r="73" spans="1:10" ht="21" x14ac:dyDescent="0.2">
      <c r="A73" s="16"/>
      <c r="B73" s="16"/>
      <c r="C73" s="16"/>
      <c r="D73" s="16" t="e">
        <f>_xlfn.XLOOKUP(_xlfn.CONCAT($A73," - ",$B73),#REF!,#REF!,0,,)*$C73/$J73</f>
        <v>#REF!</v>
      </c>
      <c r="E73" s="16" t="e">
        <f>_xlfn.XLOOKUP(_xlfn.CONCAT($A73," - ",$B73),#REF!,#REF!,0,,)*$C73/$J73</f>
        <v>#REF!</v>
      </c>
      <c r="F73" s="16" t="e">
        <f>_xlfn.XLOOKUP(_xlfn.CONCAT($A73," - ",$B73),#REF!,#REF!,0,,)*$C73/$J73</f>
        <v>#REF!</v>
      </c>
      <c r="G73" s="16" t="e">
        <f>_xlfn.XLOOKUP(_xlfn.CONCAT($A73," - ",$B73),#REF!,#REF!,0,,)*$C73/$J73</f>
        <v>#REF!</v>
      </c>
      <c r="H73" s="16" t="e">
        <f>_xlfn.XLOOKUP(_xlfn.CONCAT($A73," - ",$B73),#REF!,#REF!,0,,)*$C73/$J73</f>
        <v>#REF!</v>
      </c>
      <c r="I73" s="16" t="e">
        <f>_xlfn.XLOOKUP(_xlfn.CONCAT($A73," - ",$B73),#REF!,#REF!,0,,)*$C73/$J73</f>
        <v>#REF!</v>
      </c>
      <c r="J73" s="17">
        <f t="shared" si="10"/>
        <v>1</v>
      </c>
    </row>
    <row r="74" spans="1:10" ht="21" x14ac:dyDescent="0.2">
      <c r="A74" s="16"/>
      <c r="B74" s="16"/>
      <c r="C74" s="16"/>
      <c r="D74" s="16" t="e">
        <f>_xlfn.XLOOKUP(_xlfn.CONCAT($A74," - ",$B74),#REF!,#REF!,0,,)*$C74/$J74</f>
        <v>#REF!</v>
      </c>
      <c r="E74" s="16" t="e">
        <f>_xlfn.XLOOKUP(_xlfn.CONCAT($A74," - ",$B74),#REF!,#REF!,0,,)*$C74/$J74</f>
        <v>#REF!</v>
      </c>
      <c r="F74" s="16" t="e">
        <f>_xlfn.XLOOKUP(_xlfn.CONCAT($A74," - ",$B74),#REF!,#REF!,0,,)*$C74/$J74</f>
        <v>#REF!</v>
      </c>
      <c r="G74" s="16" t="e">
        <f>_xlfn.XLOOKUP(_xlfn.CONCAT($A74," - ",$B74),#REF!,#REF!,0,,)*$C74/$J74</f>
        <v>#REF!</v>
      </c>
      <c r="H74" s="16" t="e">
        <f>_xlfn.XLOOKUP(_xlfn.CONCAT($A74," - ",$B74),#REF!,#REF!,0,,)*$C74/$J74</f>
        <v>#REF!</v>
      </c>
      <c r="I74" s="16" t="e">
        <f>_xlfn.XLOOKUP(_xlfn.CONCAT($A74," - ",$B74),#REF!,#REF!,0,,)*$C74/$J74</f>
        <v>#REF!</v>
      </c>
      <c r="J74" s="17">
        <f t="shared" si="10"/>
        <v>1</v>
      </c>
    </row>
    <row r="75" spans="1:10" ht="21" x14ac:dyDescent="0.2">
      <c r="A75" s="16"/>
      <c r="B75" s="16"/>
      <c r="C75" s="16"/>
      <c r="D75" s="16" t="e">
        <f>_xlfn.XLOOKUP(_xlfn.CONCAT($A75," - ",$B75),#REF!,#REF!,0,,)*$C75/$J75</f>
        <v>#REF!</v>
      </c>
      <c r="E75" s="16" t="e">
        <f>_xlfn.XLOOKUP(_xlfn.CONCAT($A75," - ",$B75),#REF!,#REF!,0,,)*$C75/$J75</f>
        <v>#REF!</v>
      </c>
      <c r="F75" s="16" t="e">
        <f>_xlfn.XLOOKUP(_xlfn.CONCAT($A75," - ",$B75),#REF!,#REF!,0,,)*$C75/$J75</f>
        <v>#REF!</v>
      </c>
      <c r="G75" s="16" t="e">
        <f>_xlfn.XLOOKUP(_xlfn.CONCAT($A75," - ",$B75),#REF!,#REF!,0,,)*$C75/$J75</f>
        <v>#REF!</v>
      </c>
      <c r="H75" s="16" t="e">
        <f>_xlfn.XLOOKUP(_xlfn.CONCAT($A75," - ",$B75),#REF!,#REF!,0,,)*$C75/$J75</f>
        <v>#REF!</v>
      </c>
      <c r="I75" s="16" t="e">
        <f>_xlfn.XLOOKUP(_xlfn.CONCAT($A75," - ",$B75),#REF!,#REF!,0,,)*$C75/$J75</f>
        <v>#REF!</v>
      </c>
      <c r="J75" s="17">
        <f t="shared" si="10"/>
        <v>1</v>
      </c>
    </row>
    <row r="76" spans="1:10" ht="21" x14ac:dyDescent="0.2">
      <c r="A76" s="16"/>
      <c r="B76" s="16"/>
      <c r="C76" s="16"/>
      <c r="D76" s="16" t="e">
        <f>_xlfn.XLOOKUP(_xlfn.CONCAT($A76," - ",$B76),#REF!,#REF!,0,,)*$C76/$J76</f>
        <v>#REF!</v>
      </c>
      <c r="E76" s="16" t="e">
        <f>_xlfn.XLOOKUP(_xlfn.CONCAT($A76," - ",$B76),#REF!,#REF!,0,,)*$C76/$J76</f>
        <v>#REF!</v>
      </c>
      <c r="F76" s="16" t="e">
        <f>_xlfn.XLOOKUP(_xlfn.CONCAT($A76," - ",$B76),#REF!,#REF!,0,,)*$C76/$J76</f>
        <v>#REF!</v>
      </c>
      <c r="G76" s="16" t="e">
        <f>_xlfn.XLOOKUP(_xlfn.CONCAT($A76," - ",$B76),#REF!,#REF!,0,,)*$C76/$J76</f>
        <v>#REF!</v>
      </c>
      <c r="H76" s="16" t="e">
        <f>_xlfn.XLOOKUP(_xlfn.CONCAT($A76," - ",$B76),#REF!,#REF!,0,,)*$C76/$J76</f>
        <v>#REF!</v>
      </c>
      <c r="I76" s="16" t="e">
        <f>_xlfn.XLOOKUP(_xlfn.CONCAT($A76," - ",$B76),#REF!,#REF!,0,,)*$C76/$J76</f>
        <v>#REF!</v>
      </c>
      <c r="J76" s="17">
        <f t="shared" si="10"/>
        <v>1</v>
      </c>
    </row>
    <row r="77" spans="1:10" ht="22" thickBot="1" x14ac:dyDescent="0.25">
      <c r="A77" s="16"/>
      <c r="B77" s="16"/>
      <c r="C77" s="16"/>
      <c r="D77" s="16" t="e">
        <f>_xlfn.XLOOKUP(_xlfn.CONCAT($A77," - ",$B77),#REF!,#REF!,0,,)*$C77/$J77</f>
        <v>#REF!</v>
      </c>
      <c r="E77" s="16" t="e">
        <f>_xlfn.XLOOKUP(_xlfn.CONCAT($A77," - ",$B77),#REF!,#REF!,0,,)*$C77/$J77</f>
        <v>#REF!</v>
      </c>
      <c r="F77" s="16" t="e">
        <f>_xlfn.XLOOKUP(_xlfn.CONCAT($A77," - ",$B77),#REF!,#REF!,0,,)*$C77/$J77</f>
        <v>#REF!</v>
      </c>
      <c r="G77" s="16" t="e">
        <f>_xlfn.XLOOKUP(_xlfn.CONCAT($A77," - ",$B77),#REF!,#REF!,0,,)*$C77/$J77</f>
        <v>#REF!</v>
      </c>
      <c r="H77" s="16" t="e">
        <f>_xlfn.XLOOKUP(_xlfn.CONCAT($A77," - ",$B77),#REF!,#REF!,0,,)*$C77/$J77</f>
        <v>#REF!</v>
      </c>
      <c r="I77" s="16" t="e">
        <f>_xlfn.XLOOKUP(_xlfn.CONCAT($A77," - ",$B77),#REF!,#REF!,0,,)*$C77/$J77</f>
        <v>#REF!</v>
      </c>
      <c r="J77" s="17">
        <f t="shared" si="10"/>
        <v>1</v>
      </c>
    </row>
    <row r="78" spans="1:10" ht="20" thickBot="1" x14ac:dyDescent="0.25">
      <c r="A78" s="89" t="s">
        <v>12</v>
      </c>
      <c r="B78" s="90"/>
      <c r="C78" s="91"/>
      <c r="D78" s="18" t="e">
        <f>SUM(D70:D77)</f>
        <v>#REF!</v>
      </c>
      <c r="E78" s="18" t="e">
        <f t="shared" ref="E78:I78" si="11">SUM(E70:E77)</f>
        <v>#REF!</v>
      </c>
      <c r="F78" s="18" t="e">
        <f t="shared" si="11"/>
        <v>#REF!</v>
      </c>
      <c r="G78" s="18" t="e">
        <f t="shared" si="11"/>
        <v>#REF!</v>
      </c>
      <c r="H78" s="18" t="e">
        <f t="shared" si="11"/>
        <v>#REF!</v>
      </c>
      <c r="I78" s="18" t="e">
        <f t="shared" si="11"/>
        <v>#REF!</v>
      </c>
    </row>
    <row r="1048508" spans="2:2" x14ac:dyDescent="0.2">
      <c r="B1048508" t="e" cm="1">
        <f t="array" ref="B1048508">A</f>
        <v>#NAME?</v>
      </c>
    </row>
  </sheetData>
  <mergeCells count="11">
    <mergeCell ref="A50:C50"/>
    <mergeCell ref="A54:I54"/>
    <mergeCell ref="A64:C64"/>
    <mergeCell ref="A68:I68"/>
    <mergeCell ref="A78:C78"/>
    <mergeCell ref="A40:I40"/>
    <mergeCell ref="A2:D2"/>
    <mergeCell ref="A12:I12"/>
    <mergeCell ref="A22:C22"/>
    <mergeCell ref="A26:I26"/>
    <mergeCell ref="A36:C36"/>
  </mergeCells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icinarRefeicao">
                <anchor moveWithCells="1" sizeWithCells="1">
                  <from>
                    <xdr:col>4</xdr:col>
                    <xdr:colOff>381000</xdr:colOff>
                    <xdr:row>0</xdr:row>
                    <xdr:rowOff>203200</xdr:rowOff>
                  </from>
                  <to>
                    <xdr:col>6</xdr:col>
                    <xdr:colOff>63500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adastrarRefeicao">
                <anchor moveWithCells="1" sizeWithCells="1">
                  <from>
                    <xdr:col>6</xdr:col>
                    <xdr:colOff>139700</xdr:colOff>
                    <xdr:row>0</xdr:row>
                    <xdr:rowOff>203200</xdr:rowOff>
                  </from>
                  <to>
                    <xdr:col>7</xdr:col>
                    <xdr:colOff>850900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544A42-B04B-134B-9DD3-CE3012A583FE}">
          <x14:formula1>
            <xm:f>Picklists!$Q$2:$Q$500</xm:f>
          </x14:formula1>
          <xm:sqref>A14:A21 A28:A35 A70:A77 A56:A63 A42:A49</xm:sqref>
        </x14:dataValidation>
        <x14:dataValidation type="list" allowBlank="1" showInputMessage="1" showErrorMessage="1" xr:uid="{A62D28F0-1D9C-6346-9B8D-FCE70C51DDA6}">
          <x14:formula1>
            <xm:f>Picklists!$O$2:$O$5</xm:f>
          </x14:formula1>
          <xm:sqref>B70:B77 B28:B35 B56:B63 B14:B21 B42:B49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2F741-B0EA-D04E-A8BC-FD1D40A034BD}">
  <sheetPr codeName="Planilha7"/>
  <dimension ref="A1:M1048508"/>
  <sheetViews>
    <sheetView zoomScale="79" workbookViewId="0">
      <selection activeCell="B5" sqref="B5:H9"/>
    </sheetView>
  </sheetViews>
  <sheetFormatPr baseColWidth="10" defaultRowHeight="16" x14ac:dyDescent="0.2"/>
  <cols>
    <col min="1" max="1" width="36.6640625" customWidth="1"/>
    <col min="2" max="2" width="24.1640625" customWidth="1"/>
    <col min="3" max="3" width="20.1640625" customWidth="1"/>
    <col min="4" max="4" width="20" customWidth="1"/>
    <col min="5" max="5" width="21.6640625" customWidth="1"/>
    <col min="6" max="6" width="18.5" customWidth="1"/>
    <col min="7" max="7" width="23.1640625" customWidth="1"/>
    <col min="8" max="8" width="23.5" customWidth="1"/>
    <col min="9" max="9" width="15.33203125" customWidth="1"/>
    <col min="11" max="11" width="17.33203125" customWidth="1"/>
  </cols>
  <sheetData>
    <row r="1" spans="1:13" ht="17" thickBot="1" x14ac:dyDescent="0.25"/>
    <row r="2" spans="1:13" ht="48" thickBot="1" x14ac:dyDescent="0.25">
      <c r="A2" s="68" t="s">
        <v>45</v>
      </c>
      <c r="B2" s="69"/>
      <c r="C2" s="69"/>
      <c r="D2" s="70"/>
    </row>
    <row r="4" spans="1:13" ht="17" thickBot="1" x14ac:dyDescent="0.25">
      <c r="D4" s="29"/>
    </row>
    <row r="5" spans="1:13" ht="22" thickBot="1" x14ac:dyDescent="0.3">
      <c r="B5" s="20" t="s">
        <v>7</v>
      </c>
      <c r="C5" s="21" t="s">
        <v>8</v>
      </c>
      <c r="D5" s="22" t="s">
        <v>9</v>
      </c>
      <c r="F5" s="26" t="s">
        <v>7</v>
      </c>
      <c r="G5" s="27" t="s">
        <v>10</v>
      </c>
      <c r="H5" s="28" t="s">
        <v>11</v>
      </c>
    </row>
    <row r="6" spans="1:13" ht="21" x14ac:dyDescent="0.2">
      <c r="B6" s="23" t="s">
        <v>2</v>
      </c>
      <c r="C6" s="53">
        <f>Home1!$B$9*Home1!$F$11</f>
        <v>146.98749999999995</v>
      </c>
      <c r="D6" s="52" t="e">
        <f>C6-E22-E36-E50-E64-E78</f>
        <v>#REF!</v>
      </c>
      <c r="F6" s="24" t="s">
        <v>2</v>
      </c>
      <c r="G6" s="51">
        <f>C6*Picklists!M2</f>
        <v>587.94999999999982</v>
      </c>
      <c r="H6" s="52" t="e">
        <f>D6*Picklists!M2</f>
        <v>#REF!</v>
      </c>
    </row>
    <row r="7" spans="1:13" ht="21" x14ac:dyDescent="0.2">
      <c r="B7" s="24" t="s">
        <v>3</v>
      </c>
      <c r="C7" s="51">
        <f>Home1!$F$9*Home1!$B$9</f>
        <v>202.8</v>
      </c>
      <c r="D7" s="52" t="e">
        <f>C7-F22-F36-F50-F64-F78</f>
        <v>#REF!</v>
      </c>
      <c r="F7" s="24" t="s">
        <v>3</v>
      </c>
      <c r="G7" s="25">
        <f>C7*Picklists!M3</f>
        <v>811.2</v>
      </c>
      <c r="H7" s="52" t="e">
        <f>D7*Picklists!M3</f>
        <v>#REF!</v>
      </c>
    </row>
    <row r="8" spans="1:13" ht="22" thickBot="1" x14ac:dyDescent="0.25">
      <c r="B8" s="30" t="s">
        <v>4</v>
      </c>
      <c r="C8" s="54">
        <f>Home1!$F$10*Home1!$B$9</f>
        <v>62.400000000000006</v>
      </c>
      <c r="D8" s="55" t="e">
        <f>C8-G22-G36-G50-G64-G78</f>
        <v>#REF!</v>
      </c>
      <c r="F8" s="24" t="s">
        <v>4</v>
      </c>
      <c r="G8" s="25">
        <f>C8*Picklists!M4</f>
        <v>561.6</v>
      </c>
      <c r="H8" s="52" t="e">
        <f>D8*Picklists!M4</f>
        <v>#REF!</v>
      </c>
    </row>
    <row r="9" spans="1:13" ht="22" thickBot="1" x14ac:dyDescent="0.25">
      <c r="B9" s="56" t="s">
        <v>12</v>
      </c>
      <c r="C9" s="57">
        <f>SUM(C6:C8)</f>
        <v>412.1875</v>
      </c>
      <c r="D9" s="58" t="e">
        <f>SUM(D6:D8)</f>
        <v>#REF!</v>
      </c>
      <c r="F9" s="59" t="s">
        <v>12</v>
      </c>
      <c r="G9" s="60">
        <f>SUM(G6:G8)</f>
        <v>1960.75</v>
      </c>
      <c r="H9" s="61" t="e">
        <f>SUM(H6:H8)</f>
        <v>#REF!</v>
      </c>
    </row>
    <row r="11" spans="1:13" ht="17" thickBot="1" x14ac:dyDescent="0.25"/>
    <row r="12" spans="1:13" s="14" customFormat="1" ht="26" customHeight="1" thickBot="1" x14ac:dyDescent="0.3">
      <c r="A12" s="86" t="s">
        <v>5</v>
      </c>
      <c r="B12" s="87"/>
      <c r="C12" s="87"/>
      <c r="D12" s="87"/>
      <c r="E12" s="87"/>
      <c r="F12" s="87"/>
      <c r="G12" s="87"/>
      <c r="H12" s="87"/>
      <c r="I12" s="88"/>
    </row>
    <row r="13" spans="1:13" s="15" customFormat="1" ht="21" x14ac:dyDescent="0.25">
      <c r="A13" s="19" t="s">
        <v>1</v>
      </c>
      <c r="B13" s="19" t="s">
        <v>39</v>
      </c>
      <c r="C13" s="19" t="s">
        <v>0</v>
      </c>
      <c r="D13" s="19" t="s">
        <v>46</v>
      </c>
      <c r="E13" s="19" t="s">
        <v>47</v>
      </c>
      <c r="F13" s="19" t="s">
        <v>48</v>
      </c>
      <c r="G13" s="19" t="s">
        <v>49</v>
      </c>
      <c r="H13" s="19" t="s">
        <v>50</v>
      </c>
      <c r="I13" s="19" t="s">
        <v>51</v>
      </c>
    </row>
    <row r="14" spans="1:13" ht="21" x14ac:dyDescent="0.2">
      <c r="A14" s="16"/>
      <c r="B14" s="16"/>
      <c r="C14" s="16"/>
      <c r="D14" s="16" t="e">
        <f>_xlfn.XLOOKUP(_xlfn.CONCAT($A14," - ",$B14),#REF!,#REF!,0,,)*$C14/$J14</f>
        <v>#REF!</v>
      </c>
      <c r="E14" s="16" t="e">
        <f>_xlfn.XLOOKUP(_xlfn.CONCAT($A14," - ",$B14),#REF!,#REF!,0,,)*$C14/$J14</f>
        <v>#REF!</v>
      </c>
      <c r="F14" s="16" t="e">
        <f>_xlfn.XLOOKUP(_xlfn.CONCAT($A14," - ",$B14),#REF!,#REF!,0,,)*$C14/$J14</f>
        <v>#REF!</v>
      </c>
      <c r="G14" s="16" t="e">
        <f>_xlfn.XLOOKUP(_xlfn.CONCAT($A14," - ",$B14),#REF!,#REF!,0,,)*$C14/$J14</f>
        <v>#REF!</v>
      </c>
      <c r="H14" s="16" t="e">
        <f>_xlfn.XLOOKUP(_xlfn.CONCAT($A14," - ",$B14),#REF!,#REF!,0,,)*$C14/$J14</f>
        <v>#REF!</v>
      </c>
      <c r="I14" s="16" t="e">
        <f>_xlfn.XLOOKUP(_xlfn.CONCAT($A14," - ",$B14),#REF!,#REF!,0,,)*$C14/$J14</f>
        <v>#REF!</v>
      </c>
      <c r="J14" s="17">
        <f>IF(B14="Gramas (100g)",100,1)</f>
        <v>1</v>
      </c>
    </row>
    <row r="15" spans="1:13" s="15" customFormat="1" ht="21" x14ac:dyDescent="0.25">
      <c r="A15" s="16"/>
      <c r="B15" s="16"/>
      <c r="C15" s="16"/>
      <c r="D15" s="16" t="e">
        <f>_xlfn.XLOOKUP(_xlfn.CONCAT($A15," - ",$B15),#REF!,#REF!,0,,)*$C15/$J15</f>
        <v>#REF!</v>
      </c>
      <c r="E15" s="16" t="e">
        <f>_xlfn.XLOOKUP(_xlfn.CONCAT($A15," - ",$B15),#REF!,#REF!,0,,)*$C15/$J15</f>
        <v>#REF!</v>
      </c>
      <c r="F15" s="16" t="e">
        <f>_xlfn.XLOOKUP(_xlfn.CONCAT($A15," - ",$B15),#REF!,#REF!,0,,)*$C15/$J15</f>
        <v>#REF!</v>
      </c>
      <c r="G15" s="16" t="e">
        <f>_xlfn.XLOOKUP(_xlfn.CONCAT($A15," - ",$B15),#REF!,#REF!,0,,)*$C15/$J15</f>
        <v>#REF!</v>
      </c>
      <c r="H15" s="16" t="e">
        <f>_xlfn.XLOOKUP(_xlfn.CONCAT($A15," - ",$B15),#REF!,#REF!,0,,)*$C15/$J15</f>
        <v>#REF!</v>
      </c>
      <c r="I15" s="16" t="e">
        <f>_xlfn.XLOOKUP(_xlfn.CONCAT($A15," - ",$B15),#REF!,#REF!,0,,)*$C15/$J15</f>
        <v>#REF!</v>
      </c>
      <c r="J15" s="17">
        <f>IF(B15="Gramas (100g)",100,1)</f>
        <v>1</v>
      </c>
    </row>
    <row r="16" spans="1:13" ht="21" x14ac:dyDescent="0.25">
      <c r="A16" s="16"/>
      <c r="B16" s="16"/>
      <c r="C16" s="16"/>
      <c r="D16" s="16" t="e">
        <f>_xlfn.XLOOKUP(_xlfn.CONCAT($A16," - ",$B16),#REF!,#REF!,0,,)*$C16/$J16</f>
        <v>#REF!</v>
      </c>
      <c r="E16" s="16" t="e">
        <f>_xlfn.XLOOKUP(_xlfn.CONCAT($A16," - ",$B16),#REF!,#REF!,0,,)*$C16/$J16</f>
        <v>#REF!</v>
      </c>
      <c r="F16" s="16" t="e">
        <f>_xlfn.XLOOKUP(_xlfn.CONCAT($A16," - ",$B16),#REF!,#REF!,0,,)*$C16/$J16</f>
        <v>#REF!</v>
      </c>
      <c r="G16" s="16" t="e">
        <f>_xlfn.XLOOKUP(_xlfn.CONCAT($A16," - ",$B16),#REF!,#REF!,0,,)*$C16/$J16</f>
        <v>#REF!</v>
      </c>
      <c r="H16" s="16" t="e">
        <f>_xlfn.XLOOKUP(_xlfn.CONCAT($A16," - ",$B16),#REF!,#REF!,0,,)*$C16/$J16</f>
        <v>#REF!</v>
      </c>
      <c r="I16" s="16" t="e">
        <f>_xlfn.XLOOKUP(_xlfn.CONCAT($A16," - ",$B16),#REF!,#REF!,0,,)*$C16/$J16</f>
        <v>#REF!</v>
      </c>
      <c r="J16" s="17">
        <f t="shared" ref="J16:J21" si="0">IF(B16="Gramas (100g)",100,1)</f>
        <v>1</v>
      </c>
      <c r="K16" s="15"/>
      <c r="L16" s="15"/>
      <c r="M16" s="15"/>
    </row>
    <row r="17" spans="1:10" ht="21" x14ac:dyDescent="0.2">
      <c r="A17" s="16"/>
      <c r="B17" s="16"/>
      <c r="C17" s="16"/>
      <c r="D17" s="16" t="e">
        <f>_xlfn.XLOOKUP(_xlfn.CONCAT($A17," - ",$B17),#REF!,#REF!,0,,)*$C17/$J17</f>
        <v>#REF!</v>
      </c>
      <c r="E17" s="16" t="e">
        <f>_xlfn.XLOOKUP(_xlfn.CONCAT($A17," - ",$B17),#REF!,#REF!,0,,)*$C17/$J17</f>
        <v>#REF!</v>
      </c>
      <c r="F17" s="16" t="e">
        <f>_xlfn.XLOOKUP(_xlfn.CONCAT($A17," - ",$B17),#REF!,#REF!,0,,)*$C17/$J17</f>
        <v>#REF!</v>
      </c>
      <c r="G17" s="16" t="e">
        <f>_xlfn.XLOOKUP(_xlfn.CONCAT($A17," - ",$B17),#REF!,#REF!,0,,)*$C17/$J17</f>
        <v>#REF!</v>
      </c>
      <c r="H17" s="16" t="e">
        <f>_xlfn.XLOOKUP(_xlfn.CONCAT($A17," - ",$B17),#REF!,#REF!,0,,)*$C17/$J17</f>
        <v>#REF!</v>
      </c>
      <c r="I17" s="16" t="e">
        <f>_xlfn.XLOOKUP(_xlfn.CONCAT($A17," - ",$B17),#REF!,#REF!,0,,)*$C17/$J17</f>
        <v>#REF!</v>
      </c>
      <c r="J17" s="17">
        <f t="shared" si="0"/>
        <v>1</v>
      </c>
    </row>
    <row r="18" spans="1:10" ht="21" x14ac:dyDescent="0.2">
      <c r="A18" s="16"/>
      <c r="B18" s="16"/>
      <c r="C18" s="16"/>
      <c r="D18" s="16" t="e">
        <f>_xlfn.XLOOKUP(_xlfn.CONCAT($A18," - ",$B18),#REF!,#REF!,0,,)*$C18/$J18</f>
        <v>#REF!</v>
      </c>
      <c r="E18" s="16" t="e">
        <f>_xlfn.XLOOKUP(_xlfn.CONCAT($A18," - ",$B18),#REF!,#REF!,0,,)*$C18/$J18</f>
        <v>#REF!</v>
      </c>
      <c r="F18" s="16" t="e">
        <f>_xlfn.XLOOKUP(_xlfn.CONCAT($A18," - ",$B18),#REF!,#REF!,0,,)*$C18/$J18</f>
        <v>#REF!</v>
      </c>
      <c r="G18" s="16" t="e">
        <f>_xlfn.XLOOKUP(_xlfn.CONCAT($A18," - ",$B18),#REF!,#REF!,0,,)*$C18/$J18</f>
        <v>#REF!</v>
      </c>
      <c r="H18" s="16" t="e">
        <f>_xlfn.XLOOKUP(_xlfn.CONCAT($A18," - ",$B18),#REF!,#REF!,0,,)*$C18/$J18</f>
        <v>#REF!</v>
      </c>
      <c r="I18" s="16" t="e">
        <f>_xlfn.XLOOKUP(_xlfn.CONCAT($A18," - ",$B18),#REF!,#REF!,0,,)*$C18/$J18</f>
        <v>#REF!</v>
      </c>
      <c r="J18" s="17">
        <f t="shared" si="0"/>
        <v>1</v>
      </c>
    </row>
    <row r="19" spans="1:10" ht="21" x14ac:dyDescent="0.2">
      <c r="A19" s="16"/>
      <c r="B19" s="16"/>
      <c r="C19" s="16"/>
      <c r="D19" s="16" t="e">
        <f>_xlfn.XLOOKUP(_xlfn.CONCAT($A19," - ",$B19),#REF!,#REF!,0,,)*$C19/$J19</f>
        <v>#REF!</v>
      </c>
      <c r="E19" s="16" t="e">
        <f>_xlfn.XLOOKUP(_xlfn.CONCAT($A19," - ",$B19),#REF!,#REF!,0,,)*$C19/$J19</f>
        <v>#REF!</v>
      </c>
      <c r="F19" s="16" t="e">
        <f>_xlfn.XLOOKUP(_xlfn.CONCAT($A19," - ",$B19),#REF!,#REF!,0,,)*$C19/$J19</f>
        <v>#REF!</v>
      </c>
      <c r="G19" s="16" t="e">
        <f>_xlfn.XLOOKUP(_xlfn.CONCAT($A19," - ",$B19),#REF!,#REF!,0,,)*$C19/$J19</f>
        <v>#REF!</v>
      </c>
      <c r="H19" s="16" t="e">
        <f>_xlfn.XLOOKUP(_xlfn.CONCAT($A19," - ",$B19),#REF!,#REF!,0,,)*$C19/$J19</f>
        <v>#REF!</v>
      </c>
      <c r="I19" s="16" t="e">
        <f>_xlfn.XLOOKUP(_xlfn.CONCAT($A19," - ",$B19),#REF!,#REF!,0,,)*$C19/$J19</f>
        <v>#REF!</v>
      </c>
      <c r="J19" s="17">
        <f t="shared" si="0"/>
        <v>1</v>
      </c>
    </row>
    <row r="20" spans="1:10" ht="21" x14ac:dyDescent="0.2">
      <c r="A20" s="16"/>
      <c r="B20" s="16"/>
      <c r="C20" s="16"/>
      <c r="D20" s="16" t="e">
        <f>_xlfn.XLOOKUP(_xlfn.CONCAT($A20," - ",$B20),#REF!,#REF!,0,,)*$C20/$J20</f>
        <v>#REF!</v>
      </c>
      <c r="E20" s="16" t="e">
        <f>_xlfn.XLOOKUP(_xlfn.CONCAT($A20," - ",$B20),#REF!,#REF!,0,,)*$C20/$J20</f>
        <v>#REF!</v>
      </c>
      <c r="F20" s="16" t="e">
        <f>_xlfn.XLOOKUP(_xlfn.CONCAT($A20," - ",$B20),#REF!,#REF!,0,,)*$C20/$J20</f>
        <v>#REF!</v>
      </c>
      <c r="G20" s="16" t="e">
        <f>_xlfn.XLOOKUP(_xlfn.CONCAT($A20," - ",$B20),#REF!,#REF!,0,,)*$C20/$J20</f>
        <v>#REF!</v>
      </c>
      <c r="H20" s="16" t="e">
        <f>_xlfn.XLOOKUP(_xlfn.CONCAT($A20," - ",$B20),#REF!,#REF!,0,,)*$C20/$J20</f>
        <v>#REF!</v>
      </c>
      <c r="I20" s="16" t="e">
        <f>_xlfn.XLOOKUP(_xlfn.CONCAT($A20," - ",$B20),#REF!,#REF!,0,,)*$C20/$J20</f>
        <v>#REF!</v>
      </c>
      <c r="J20" s="17">
        <f t="shared" si="0"/>
        <v>1</v>
      </c>
    </row>
    <row r="21" spans="1:10" ht="22" thickBot="1" x14ac:dyDescent="0.25">
      <c r="A21" s="16"/>
      <c r="B21" s="16"/>
      <c r="C21" s="16"/>
      <c r="D21" s="16" t="e">
        <f>_xlfn.XLOOKUP(_xlfn.CONCAT($A21," - ",$B21),#REF!,#REF!,0,,)*$C21/$J21</f>
        <v>#REF!</v>
      </c>
      <c r="E21" s="16" t="e">
        <f>_xlfn.XLOOKUP(_xlfn.CONCAT($A21," - ",$B21),#REF!,#REF!,0,,)*$C21/$J21</f>
        <v>#REF!</v>
      </c>
      <c r="F21" s="16" t="e">
        <f>_xlfn.XLOOKUP(_xlfn.CONCAT($A21," - ",$B21),#REF!,#REF!,0,,)*$C21/$J21</f>
        <v>#REF!</v>
      </c>
      <c r="G21" s="16" t="e">
        <f>_xlfn.XLOOKUP(_xlfn.CONCAT($A21," - ",$B21),#REF!,#REF!,0,,)*$C21/$J21</f>
        <v>#REF!</v>
      </c>
      <c r="H21" s="16" t="e">
        <f>_xlfn.XLOOKUP(_xlfn.CONCAT($A21," - ",$B21),#REF!,#REF!,0,,)*$C21/$J21</f>
        <v>#REF!</v>
      </c>
      <c r="I21" s="16" t="e">
        <f>_xlfn.XLOOKUP(_xlfn.CONCAT($A21," - ",$B21),#REF!,#REF!,0,,)*$C21/$J21</f>
        <v>#REF!</v>
      </c>
      <c r="J21" s="17">
        <f t="shared" si="0"/>
        <v>1</v>
      </c>
    </row>
    <row r="22" spans="1:10" ht="20" thickBot="1" x14ac:dyDescent="0.25">
      <c r="A22" s="89" t="s">
        <v>12</v>
      </c>
      <c r="B22" s="90"/>
      <c r="C22" s="91"/>
      <c r="D22" s="18" t="e">
        <f>SUM(D14:D21)</f>
        <v>#REF!</v>
      </c>
      <c r="E22" s="18" t="e">
        <f t="shared" ref="E22:I22" si="1">SUM(E14:E21)</f>
        <v>#REF!</v>
      </c>
      <c r="F22" s="18" t="e">
        <f t="shared" si="1"/>
        <v>#REF!</v>
      </c>
      <c r="G22" s="18" t="e">
        <f t="shared" si="1"/>
        <v>#REF!</v>
      </c>
      <c r="H22" s="18" t="e">
        <f t="shared" si="1"/>
        <v>#REF!</v>
      </c>
      <c r="I22" s="18" t="e">
        <f t="shared" si="1"/>
        <v>#REF!</v>
      </c>
    </row>
    <row r="25" spans="1:10" ht="17" thickBot="1" x14ac:dyDescent="0.25"/>
    <row r="26" spans="1:10" ht="25" thickBot="1" x14ac:dyDescent="0.3">
      <c r="A26" s="86" t="s">
        <v>6</v>
      </c>
      <c r="B26" s="87"/>
      <c r="C26" s="87"/>
      <c r="D26" s="87"/>
      <c r="E26" s="87"/>
      <c r="F26" s="87"/>
      <c r="G26" s="87"/>
      <c r="H26" s="87"/>
      <c r="I26" s="88"/>
      <c r="J26" s="14"/>
    </row>
    <row r="27" spans="1:10" ht="21" x14ac:dyDescent="0.25">
      <c r="A27" s="19" t="s">
        <v>1</v>
      </c>
      <c r="B27" s="19" t="s">
        <v>39</v>
      </c>
      <c r="C27" s="19" t="s">
        <v>0</v>
      </c>
      <c r="D27" s="19" t="s">
        <v>46</v>
      </c>
      <c r="E27" s="19" t="s">
        <v>47</v>
      </c>
      <c r="F27" s="19" t="s">
        <v>48</v>
      </c>
      <c r="G27" s="19" t="s">
        <v>49</v>
      </c>
      <c r="H27" s="19" t="s">
        <v>50</v>
      </c>
      <c r="I27" s="19" t="s">
        <v>51</v>
      </c>
      <c r="J27" s="15"/>
    </row>
    <row r="28" spans="1:10" ht="21" x14ac:dyDescent="0.2">
      <c r="A28" s="16"/>
      <c r="B28" s="16"/>
      <c r="C28" s="16"/>
      <c r="D28" s="16" t="e">
        <f>_xlfn.XLOOKUP(_xlfn.CONCAT($A28," - ",$B28),#REF!,#REF!,0,,)*$C28/$J28</f>
        <v>#REF!</v>
      </c>
      <c r="E28" s="16" t="e">
        <f>_xlfn.XLOOKUP(_xlfn.CONCAT($A28," - ",$B28),#REF!,#REF!,0,,)*$C28/$J28</f>
        <v>#REF!</v>
      </c>
      <c r="F28" s="16" t="e">
        <f>_xlfn.XLOOKUP(_xlfn.CONCAT($A28," - ",$B28),#REF!,#REF!,0,,)*$C28/$J28</f>
        <v>#REF!</v>
      </c>
      <c r="G28" s="16" t="e">
        <f>_xlfn.XLOOKUP(_xlfn.CONCAT($A28," - ",$B28),#REF!,#REF!,0,,)*$C28/$J28</f>
        <v>#REF!</v>
      </c>
      <c r="H28" s="16" t="e">
        <f>_xlfn.XLOOKUP(_xlfn.CONCAT($A28," - ",$B28),#REF!,#REF!,0,,)*$C28/$J28</f>
        <v>#REF!</v>
      </c>
      <c r="I28" s="16" t="e">
        <f>_xlfn.XLOOKUP(_xlfn.CONCAT($A28," - ",$B28),#REF!,#REF!,0,,)*$C28/$J28</f>
        <v>#REF!</v>
      </c>
      <c r="J28" s="17">
        <f>IF(B28="Gramas (100g)",100,1)</f>
        <v>1</v>
      </c>
    </row>
    <row r="29" spans="1:10" ht="21" x14ac:dyDescent="0.2">
      <c r="A29" s="16"/>
      <c r="B29" s="16"/>
      <c r="C29" s="16"/>
      <c r="D29" s="16" t="e">
        <f>_xlfn.XLOOKUP(_xlfn.CONCAT($A29," - ",$B29),#REF!,#REF!,0,,)*$C29/$J29</f>
        <v>#REF!</v>
      </c>
      <c r="E29" s="16" t="e">
        <f>_xlfn.XLOOKUP(_xlfn.CONCAT($A29," - ",$B29),#REF!,#REF!,0,,)*$C29/$J29</f>
        <v>#REF!</v>
      </c>
      <c r="F29" s="16" t="e">
        <f>_xlfn.XLOOKUP(_xlfn.CONCAT($A29," - ",$B29),#REF!,#REF!,0,,)*$C29/$J29</f>
        <v>#REF!</v>
      </c>
      <c r="G29" s="16" t="e">
        <f>_xlfn.XLOOKUP(_xlfn.CONCAT($A29," - ",$B29),#REF!,#REF!,0,,)*$C29/$J29</f>
        <v>#REF!</v>
      </c>
      <c r="H29" s="16" t="e">
        <f>_xlfn.XLOOKUP(_xlfn.CONCAT($A29," - ",$B29),#REF!,#REF!,0,,)*$C29/$J29</f>
        <v>#REF!</v>
      </c>
      <c r="I29" s="16" t="e">
        <f>_xlfn.XLOOKUP(_xlfn.CONCAT($A29," - ",$B29),#REF!,#REF!,0,,)*$C29/$J29</f>
        <v>#REF!</v>
      </c>
      <c r="J29" s="17">
        <f>IF(B29="Gramas (100g)",100,1)</f>
        <v>1</v>
      </c>
    </row>
    <row r="30" spans="1:10" ht="21" x14ac:dyDescent="0.2">
      <c r="A30" s="16"/>
      <c r="B30" s="16"/>
      <c r="C30" s="16"/>
      <c r="D30" s="16" t="e">
        <f>_xlfn.XLOOKUP(_xlfn.CONCAT($A30," - ",$B30),#REF!,#REF!,0,,)*$C30/$J30</f>
        <v>#REF!</v>
      </c>
      <c r="E30" s="16" t="e">
        <f>_xlfn.XLOOKUP(_xlfn.CONCAT($A30," - ",$B30),#REF!,#REF!,0,,)*$C30/$J30</f>
        <v>#REF!</v>
      </c>
      <c r="F30" s="16" t="e">
        <f>_xlfn.XLOOKUP(_xlfn.CONCAT($A30," - ",$B30),#REF!,#REF!,0,,)*$C30/$J30</f>
        <v>#REF!</v>
      </c>
      <c r="G30" s="16" t="e">
        <f>_xlfn.XLOOKUP(_xlfn.CONCAT($A30," - ",$B30),#REF!,#REF!,0,,)*$C30/$J30</f>
        <v>#REF!</v>
      </c>
      <c r="H30" s="16" t="e">
        <f>_xlfn.XLOOKUP(_xlfn.CONCAT($A30," - ",$B30),#REF!,#REF!,0,,)*$C30/$J30</f>
        <v>#REF!</v>
      </c>
      <c r="I30" s="16" t="e">
        <f>_xlfn.XLOOKUP(_xlfn.CONCAT($A30," - ",$B30),#REF!,#REF!,0,,)*$C30/$J30</f>
        <v>#REF!</v>
      </c>
      <c r="J30" s="17">
        <f t="shared" ref="J30:J35" si="2">IF(B30="Gramas (100g)",100,1)</f>
        <v>1</v>
      </c>
    </row>
    <row r="31" spans="1:10" ht="21" x14ac:dyDescent="0.2">
      <c r="A31" s="16"/>
      <c r="B31" s="16"/>
      <c r="C31" s="16"/>
      <c r="D31" s="16" t="e">
        <f>_xlfn.XLOOKUP(_xlfn.CONCAT($A31," - ",$B31),#REF!,#REF!,0,,)*$C31/$J31</f>
        <v>#REF!</v>
      </c>
      <c r="E31" s="16" t="e">
        <f>_xlfn.XLOOKUP(_xlfn.CONCAT($A31," - ",$B31),#REF!,#REF!,0,,)*$C31/$J31</f>
        <v>#REF!</v>
      </c>
      <c r="F31" s="16" t="e">
        <f>_xlfn.XLOOKUP(_xlfn.CONCAT($A31," - ",$B31),#REF!,#REF!,0,,)*$C31/$J31</f>
        <v>#REF!</v>
      </c>
      <c r="G31" s="16" t="e">
        <f>_xlfn.XLOOKUP(_xlfn.CONCAT($A31," - ",$B31),#REF!,#REF!,0,,)*$C31/$J31</f>
        <v>#REF!</v>
      </c>
      <c r="H31" s="16" t="e">
        <f>_xlfn.XLOOKUP(_xlfn.CONCAT($A31," - ",$B31),#REF!,#REF!,0,,)*$C31/$J31</f>
        <v>#REF!</v>
      </c>
      <c r="I31" s="16" t="e">
        <f>_xlfn.XLOOKUP(_xlfn.CONCAT($A31," - ",$B31),#REF!,#REF!,0,,)*$C31/$J31</f>
        <v>#REF!</v>
      </c>
      <c r="J31" s="17">
        <f t="shared" si="2"/>
        <v>1</v>
      </c>
    </row>
    <row r="32" spans="1:10" ht="21" x14ac:dyDescent="0.2">
      <c r="A32" s="16"/>
      <c r="B32" s="16"/>
      <c r="C32" s="16"/>
      <c r="D32" s="16" t="e">
        <f>_xlfn.XLOOKUP(_xlfn.CONCAT($A32," - ",$B32),#REF!,#REF!,0,,)*$C32/$J32</f>
        <v>#REF!</v>
      </c>
      <c r="E32" s="16" t="e">
        <f>_xlfn.XLOOKUP(_xlfn.CONCAT($A32," - ",$B32),#REF!,#REF!,0,,)*$C32/$J32</f>
        <v>#REF!</v>
      </c>
      <c r="F32" s="16" t="e">
        <f>_xlfn.XLOOKUP(_xlfn.CONCAT($A32," - ",$B32),#REF!,#REF!,0,,)*$C32/$J32</f>
        <v>#REF!</v>
      </c>
      <c r="G32" s="16" t="e">
        <f>_xlfn.XLOOKUP(_xlfn.CONCAT($A32," - ",$B32),#REF!,#REF!,0,,)*$C32/$J32</f>
        <v>#REF!</v>
      </c>
      <c r="H32" s="16" t="e">
        <f>_xlfn.XLOOKUP(_xlfn.CONCAT($A32," - ",$B32),#REF!,#REF!,0,,)*$C32/$J32</f>
        <v>#REF!</v>
      </c>
      <c r="I32" s="16" t="e">
        <f>_xlfn.XLOOKUP(_xlfn.CONCAT($A32," - ",$B32),#REF!,#REF!,0,,)*$C32/$J32</f>
        <v>#REF!</v>
      </c>
      <c r="J32" s="17">
        <f t="shared" si="2"/>
        <v>1</v>
      </c>
    </row>
    <row r="33" spans="1:10" ht="21" x14ac:dyDescent="0.2">
      <c r="A33" s="16"/>
      <c r="B33" s="16"/>
      <c r="C33" s="16"/>
      <c r="D33" s="16" t="e">
        <f>_xlfn.XLOOKUP(_xlfn.CONCAT($A33," - ",$B33),#REF!,#REF!,0,,)*$C33/$J33</f>
        <v>#REF!</v>
      </c>
      <c r="E33" s="16" t="e">
        <f>_xlfn.XLOOKUP(_xlfn.CONCAT($A33," - ",$B33),#REF!,#REF!,0,,)*$C33/$J33</f>
        <v>#REF!</v>
      </c>
      <c r="F33" s="16" t="e">
        <f>_xlfn.XLOOKUP(_xlfn.CONCAT($A33," - ",$B33),#REF!,#REF!,0,,)*$C33/$J33</f>
        <v>#REF!</v>
      </c>
      <c r="G33" s="16" t="e">
        <f>_xlfn.XLOOKUP(_xlfn.CONCAT($A33," - ",$B33),#REF!,#REF!,0,,)*$C33/$J33</f>
        <v>#REF!</v>
      </c>
      <c r="H33" s="16" t="e">
        <f>_xlfn.XLOOKUP(_xlfn.CONCAT($A33," - ",$B33),#REF!,#REF!,0,,)*$C33/$J33</f>
        <v>#REF!</v>
      </c>
      <c r="I33" s="16" t="e">
        <f>_xlfn.XLOOKUP(_xlfn.CONCAT($A33," - ",$B33),#REF!,#REF!,0,,)*$C33/$J33</f>
        <v>#REF!</v>
      </c>
      <c r="J33" s="17">
        <f t="shared" si="2"/>
        <v>1</v>
      </c>
    </row>
    <row r="34" spans="1:10" ht="21" x14ac:dyDescent="0.2">
      <c r="A34" s="16"/>
      <c r="B34" s="16"/>
      <c r="C34" s="16"/>
      <c r="D34" s="16" t="e">
        <f>_xlfn.XLOOKUP(_xlfn.CONCAT($A34," - ",$B34),#REF!,#REF!,0,,)*$C34/$J34</f>
        <v>#REF!</v>
      </c>
      <c r="E34" s="16" t="e">
        <f>_xlfn.XLOOKUP(_xlfn.CONCAT($A34," - ",$B34),#REF!,#REF!,0,,)*$C34/$J34</f>
        <v>#REF!</v>
      </c>
      <c r="F34" s="16" t="e">
        <f>_xlfn.XLOOKUP(_xlfn.CONCAT($A34," - ",$B34),#REF!,#REF!,0,,)*$C34/$J34</f>
        <v>#REF!</v>
      </c>
      <c r="G34" s="16" t="e">
        <f>_xlfn.XLOOKUP(_xlfn.CONCAT($A34," - ",$B34),#REF!,#REF!,0,,)*$C34/$J34</f>
        <v>#REF!</v>
      </c>
      <c r="H34" s="16" t="e">
        <f>_xlfn.XLOOKUP(_xlfn.CONCAT($A34," - ",$B34),#REF!,#REF!,0,,)*$C34/$J34</f>
        <v>#REF!</v>
      </c>
      <c r="I34" s="16" t="e">
        <f>_xlfn.XLOOKUP(_xlfn.CONCAT($A34," - ",$B34),#REF!,#REF!,0,,)*$C34/$J34</f>
        <v>#REF!</v>
      </c>
      <c r="J34" s="17">
        <f t="shared" si="2"/>
        <v>1</v>
      </c>
    </row>
    <row r="35" spans="1:10" ht="22" thickBot="1" x14ac:dyDescent="0.25">
      <c r="A35" s="16"/>
      <c r="B35" s="16"/>
      <c r="C35" s="16"/>
      <c r="D35" s="16" t="e">
        <f>_xlfn.XLOOKUP(_xlfn.CONCAT($A35," - ",$B35),#REF!,#REF!,0,,)*$C35/$J35</f>
        <v>#REF!</v>
      </c>
      <c r="E35" s="16" t="e">
        <f>_xlfn.XLOOKUP(_xlfn.CONCAT($A35," - ",$B35),#REF!,#REF!,0,,)*$C35/$J35</f>
        <v>#REF!</v>
      </c>
      <c r="F35" s="16" t="e">
        <f>_xlfn.XLOOKUP(_xlfn.CONCAT($A35," - ",$B35),#REF!,#REF!,0,,)*$C35/$J35</f>
        <v>#REF!</v>
      </c>
      <c r="G35" s="16" t="e">
        <f>_xlfn.XLOOKUP(_xlfn.CONCAT($A35," - ",$B35),#REF!,#REF!,0,,)*$C35/$J35</f>
        <v>#REF!</v>
      </c>
      <c r="H35" s="16" t="e">
        <f>_xlfn.XLOOKUP(_xlfn.CONCAT($A35," - ",$B35),#REF!,#REF!,0,,)*$C35/$J35</f>
        <v>#REF!</v>
      </c>
      <c r="I35" s="16" t="e">
        <f>_xlfn.XLOOKUP(_xlfn.CONCAT($A35," - ",$B35),#REF!,#REF!,0,,)*$C35/$J35</f>
        <v>#REF!</v>
      </c>
      <c r="J35" s="17">
        <f t="shared" si="2"/>
        <v>1</v>
      </c>
    </row>
    <row r="36" spans="1:10" ht="20" thickBot="1" x14ac:dyDescent="0.25">
      <c r="A36" s="89" t="s">
        <v>12</v>
      </c>
      <c r="B36" s="90"/>
      <c r="C36" s="91"/>
      <c r="D36" s="18" t="e">
        <f>SUM(D28:D35)</f>
        <v>#REF!</v>
      </c>
      <c r="E36" s="18" t="e">
        <f t="shared" ref="E36:I36" si="3">SUM(E28:E35)</f>
        <v>#REF!</v>
      </c>
      <c r="F36" s="18" t="e">
        <f t="shared" si="3"/>
        <v>#REF!</v>
      </c>
      <c r="G36" s="18" t="e">
        <f t="shared" si="3"/>
        <v>#REF!</v>
      </c>
      <c r="H36" s="18" t="e">
        <f t="shared" si="3"/>
        <v>#REF!</v>
      </c>
      <c r="I36" s="18" t="e">
        <f t="shared" si="3"/>
        <v>#REF!</v>
      </c>
    </row>
    <row r="39" spans="1:10" ht="17" thickBot="1" x14ac:dyDescent="0.25"/>
    <row r="40" spans="1:10" ht="25" thickBot="1" x14ac:dyDescent="0.3">
      <c r="A40" s="86" t="s">
        <v>54</v>
      </c>
      <c r="B40" s="87"/>
      <c r="C40" s="87"/>
      <c r="D40" s="87"/>
      <c r="E40" s="87"/>
      <c r="F40" s="87"/>
      <c r="G40" s="87"/>
      <c r="H40" s="87"/>
      <c r="I40" s="88"/>
      <c r="J40" s="14"/>
    </row>
    <row r="41" spans="1:10" ht="21" x14ac:dyDescent="0.25">
      <c r="A41" s="19" t="s">
        <v>1</v>
      </c>
      <c r="B41" s="19" t="s">
        <v>39</v>
      </c>
      <c r="C41" s="19" t="s">
        <v>0</v>
      </c>
      <c r="D41" s="19" t="s">
        <v>46</v>
      </c>
      <c r="E41" s="19" t="s">
        <v>47</v>
      </c>
      <c r="F41" s="19" t="s">
        <v>48</v>
      </c>
      <c r="G41" s="19" t="s">
        <v>49</v>
      </c>
      <c r="H41" s="19" t="s">
        <v>50</v>
      </c>
      <c r="I41" s="19" t="s">
        <v>51</v>
      </c>
      <c r="J41" s="15"/>
    </row>
    <row r="42" spans="1:10" ht="21" x14ac:dyDescent="0.2">
      <c r="A42" s="16"/>
      <c r="B42" s="16"/>
      <c r="C42" s="16"/>
      <c r="D42" s="16" t="e">
        <f>_xlfn.XLOOKUP(_xlfn.CONCAT($A42," - ",$B42),#REF!,#REF!,0,,)*$C42/$J42</f>
        <v>#REF!</v>
      </c>
      <c r="E42" s="16" t="e">
        <f>_xlfn.XLOOKUP(_xlfn.CONCAT($A42," - ",$B42),#REF!,#REF!,0,,)*$C42/$J42</f>
        <v>#REF!</v>
      </c>
      <c r="F42" s="16" t="e">
        <f>_xlfn.XLOOKUP(_xlfn.CONCAT($A42," - ",$B42),#REF!,#REF!,0,,)*$C42/$J42</f>
        <v>#REF!</v>
      </c>
      <c r="G42" s="16" t="e">
        <f>_xlfn.XLOOKUP(_xlfn.CONCAT($A42," - ",$B42),#REF!,#REF!,0,,)*$C42/$J42</f>
        <v>#REF!</v>
      </c>
      <c r="H42" s="16" t="e">
        <f>_xlfn.XLOOKUP(_xlfn.CONCAT($A42," - ",$B42),#REF!,#REF!,0,,)*$C42/$J42</f>
        <v>#REF!</v>
      </c>
      <c r="I42" s="16" t="e">
        <f>_xlfn.XLOOKUP(_xlfn.CONCAT($A42," - ",$B42),#REF!,#REF!,0,,)*$C42/$J42</f>
        <v>#REF!</v>
      </c>
      <c r="J42" s="17">
        <f>IF(B42="Gramas (100g)",100,1)</f>
        <v>1</v>
      </c>
    </row>
    <row r="43" spans="1:10" ht="21" x14ac:dyDescent="0.2">
      <c r="A43" s="16"/>
      <c r="B43" s="16"/>
      <c r="C43" s="16"/>
      <c r="D43" s="16" t="e">
        <f>_xlfn.XLOOKUP(_xlfn.CONCAT($A43," - ",$B43),#REF!,#REF!,0,,)*$C43/$J43</f>
        <v>#REF!</v>
      </c>
      <c r="E43" s="16" t="e">
        <f>_xlfn.XLOOKUP(_xlfn.CONCAT($A43," - ",$B43),#REF!,#REF!,0,,)*$C43/$J43</f>
        <v>#REF!</v>
      </c>
      <c r="F43" s="16" t="e">
        <f>_xlfn.XLOOKUP(_xlfn.CONCAT($A43," - ",$B43),#REF!,#REF!,0,,)*$C43/$J43</f>
        <v>#REF!</v>
      </c>
      <c r="G43" s="16" t="e">
        <f>_xlfn.XLOOKUP(_xlfn.CONCAT($A43," - ",$B43),#REF!,#REF!,0,,)*$C43/$J43</f>
        <v>#REF!</v>
      </c>
      <c r="H43" s="16" t="e">
        <f>_xlfn.XLOOKUP(_xlfn.CONCAT($A43," - ",$B43),#REF!,#REF!,0,,)*$C43/$J43</f>
        <v>#REF!</v>
      </c>
      <c r="I43" s="16" t="e">
        <f>_xlfn.XLOOKUP(_xlfn.CONCAT($A43," - ",$B43),#REF!,#REF!,0,,)*$C43/$J43</f>
        <v>#REF!</v>
      </c>
      <c r="J43" s="17">
        <f>IF(B43="Gramas (100g)",100,1)</f>
        <v>1</v>
      </c>
    </row>
    <row r="44" spans="1:10" ht="21" x14ac:dyDescent="0.2">
      <c r="A44" s="16"/>
      <c r="B44" s="16"/>
      <c r="C44" s="16"/>
      <c r="D44" s="16" t="e">
        <f>_xlfn.XLOOKUP(_xlfn.CONCAT($A44," - ",$B44),#REF!,#REF!,0,,)*$C44/$J44</f>
        <v>#REF!</v>
      </c>
      <c r="E44" s="16" t="e">
        <f>_xlfn.XLOOKUP(_xlfn.CONCAT($A44," - ",$B44),#REF!,#REF!,0,,)*$C44/$J44</f>
        <v>#REF!</v>
      </c>
      <c r="F44" s="16" t="e">
        <f>_xlfn.XLOOKUP(_xlfn.CONCAT($A44," - ",$B44),#REF!,#REF!,0,,)*$C44/$J44</f>
        <v>#REF!</v>
      </c>
      <c r="G44" s="16" t="e">
        <f>_xlfn.XLOOKUP(_xlfn.CONCAT($A44," - ",$B44),#REF!,#REF!,0,,)*$C44/$J44</f>
        <v>#REF!</v>
      </c>
      <c r="H44" s="16" t="e">
        <f>_xlfn.XLOOKUP(_xlfn.CONCAT($A44," - ",$B44),#REF!,#REF!,0,,)*$C44/$J44</f>
        <v>#REF!</v>
      </c>
      <c r="I44" s="16" t="e">
        <f>_xlfn.XLOOKUP(_xlfn.CONCAT($A44," - ",$B44),#REF!,#REF!,0,,)*$C44/$J44</f>
        <v>#REF!</v>
      </c>
      <c r="J44" s="17">
        <f t="shared" ref="J44:J49" si="4">IF(B44="Gramas (100g)",100,1)</f>
        <v>1</v>
      </c>
    </row>
    <row r="45" spans="1:10" ht="21" x14ac:dyDescent="0.2">
      <c r="A45" s="16"/>
      <c r="B45" s="16"/>
      <c r="C45" s="16"/>
      <c r="D45" s="16" t="e">
        <f>_xlfn.XLOOKUP(_xlfn.CONCAT($A45," - ",$B45),#REF!,#REF!,0,,)*$C45/$J45</f>
        <v>#REF!</v>
      </c>
      <c r="E45" s="16" t="e">
        <f>_xlfn.XLOOKUP(_xlfn.CONCAT($A45," - ",$B45),#REF!,#REF!,0,,)*$C45/$J45</f>
        <v>#REF!</v>
      </c>
      <c r="F45" s="16" t="e">
        <f>_xlfn.XLOOKUP(_xlfn.CONCAT($A45," - ",$B45),#REF!,#REF!,0,,)*$C45/$J45</f>
        <v>#REF!</v>
      </c>
      <c r="G45" s="16" t="e">
        <f>_xlfn.XLOOKUP(_xlfn.CONCAT($A45," - ",$B45),#REF!,#REF!,0,,)*$C45/$J45</f>
        <v>#REF!</v>
      </c>
      <c r="H45" s="16" t="e">
        <f>_xlfn.XLOOKUP(_xlfn.CONCAT($A45," - ",$B45),#REF!,#REF!,0,,)*$C45/$J45</f>
        <v>#REF!</v>
      </c>
      <c r="I45" s="16" t="e">
        <f>_xlfn.XLOOKUP(_xlfn.CONCAT($A45," - ",$B45),#REF!,#REF!,0,,)*$C45/$J45</f>
        <v>#REF!</v>
      </c>
      <c r="J45" s="17">
        <f t="shared" si="4"/>
        <v>1</v>
      </c>
    </row>
    <row r="46" spans="1:10" ht="21" x14ac:dyDescent="0.2">
      <c r="A46" s="16"/>
      <c r="B46" s="16"/>
      <c r="C46" s="16"/>
      <c r="D46" s="16" t="e">
        <f>_xlfn.XLOOKUP(_xlfn.CONCAT($A46," - ",$B46),#REF!,#REF!,0,,)*$C46/$J46</f>
        <v>#REF!</v>
      </c>
      <c r="E46" s="16" t="e">
        <f>_xlfn.XLOOKUP(_xlfn.CONCAT($A46," - ",$B46),#REF!,#REF!,0,,)*$C46/$J46</f>
        <v>#REF!</v>
      </c>
      <c r="F46" s="16" t="e">
        <f>_xlfn.XLOOKUP(_xlfn.CONCAT($A46," - ",$B46),#REF!,#REF!,0,,)*$C46/$J46</f>
        <v>#REF!</v>
      </c>
      <c r="G46" s="16" t="e">
        <f>_xlfn.XLOOKUP(_xlfn.CONCAT($A46," - ",$B46),#REF!,#REF!,0,,)*$C46/$J46</f>
        <v>#REF!</v>
      </c>
      <c r="H46" s="16" t="e">
        <f>_xlfn.XLOOKUP(_xlfn.CONCAT($A46," - ",$B46),#REF!,#REF!,0,,)*$C46/$J46</f>
        <v>#REF!</v>
      </c>
      <c r="I46" s="16" t="e">
        <f>_xlfn.XLOOKUP(_xlfn.CONCAT($A46," - ",$B46),#REF!,#REF!,0,,)*$C46/$J46</f>
        <v>#REF!</v>
      </c>
      <c r="J46" s="17">
        <f t="shared" si="4"/>
        <v>1</v>
      </c>
    </row>
    <row r="47" spans="1:10" ht="21" x14ac:dyDescent="0.2">
      <c r="A47" s="16"/>
      <c r="B47" s="16"/>
      <c r="C47" s="16"/>
      <c r="D47" s="16" t="e">
        <f>_xlfn.XLOOKUP(_xlfn.CONCAT($A47," - ",$B47),#REF!,#REF!,0,,)*$C47/$J47</f>
        <v>#REF!</v>
      </c>
      <c r="E47" s="16" t="e">
        <f>_xlfn.XLOOKUP(_xlfn.CONCAT($A47," - ",$B47),#REF!,#REF!,0,,)*$C47/$J47</f>
        <v>#REF!</v>
      </c>
      <c r="F47" s="16" t="e">
        <f>_xlfn.XLOOKUP(_xlfn.CONCAT($A47," - ",$B47),#REF!,#REF!,0,,)*$C47/$J47</f>
        <v>#REF!</v>
      </c>
      <c r="G47" s="16" t="e">
        <f>_xlfn.XLOOKUP(_xlfn.CONCAT($A47," - ",$B47),#REF!,#REF!,0,,)*$C47/$J47</f>
        <v>#REF!</v>
      </c>
      <c r="H47" s="16" t="e">
        <f>_xlfn.XLOOKUP(_xlfn.CONCAT($A47," - ",$B47),#REF!,#REF!,0,,)*$C47/$J47</f>
        <v>#REF!</v>
      </c>
      <c r="I47" s="16" t="e">
        <f>_xlfn.XLOOKUP(_xlfn.CONCAT($A47," - ",$B47),#REF!,#REF!,0,,)*$C47/$J47</f>
        <v>#REF!</v>
      </c>
      <c r="J47" s="17">
        <f t="shared" si="4"/>
        <v>1</v>
      </c>
    </row>
    <row r="48" spans="1:10" ht="21" x14ac:dyDescent="0.2">
      <c r="A48" s="16"/>
      <c r="B48" s="16"/>
      <c r="C48" s="16"/>
      <c r="D48" s="16" t="e">
        <f>_xlfn.XLOOKUP(_xlfn.CONCAT($A48," - ",$B48),#REF!,#REF!,0,,)*$C48/$J48</f>
        <v>#REF!</v>
      </c>
      <c r="E48" s="16" t="e">
        <f>_xlfn.XLOOKUP(_xlfn.CONCAT($A48," - ",$B48),#REF!,#REF!,0,,)*$C48/$J48</f>
        <v>#REF!</v>
      </c>
      <c r="F48" s="16" t="e">
        <f>_xlfn.XLOOKUP(_xlfn.CONCAT($A48," - ",$B48),#REF!,#REF!,0,,)*$C48/$J48</f>
        <v>#REF!</v>
      </c>
      <c r="G48" s="16" t="e">
        <f>_xlfn.XLOOKUP(_xlfn.CONCAT($A48," - ",$B48),#REF!,#REF!,0,,)*$C48/$J48</f>
        <v>#REF!</v>
      </c>
      <c r="H48" s="16" t="e">
        <f>_xlfn.XLOOKUP(_xlfn.CONCAT($A48," - ",$B48),#REF!,#REF!,0,,)*$C48/$J48</f>
        <v>#REF!</v>
      </c>
      <c r="I48" s="16" t="e">
        <f>_xlfn.XLOOKUP(_xlfn.CONCAT($A48," - ",$B48),#REF!,#REF!,0,,)*$C48/$J48</f>
        <v>#REF!</v>
      </c>
      <c r="J48" s="17">
        <f t="shared" si="4"/>
        <v>1</v>
      </c>
    </row>
    <row r="49" spans="1:10" ht="22" thickBot="1" x14ac:dyDescent="0.25">
      <c r="A49" s="16"/>
      <c r="B49" s="16"/>
      <c r="C49" s="16"/>
      <c r="D49" s="16" t="e">
        <f>_xlfn.XLOOKUP(_xlfn.CONCAT($A49," - ",$B49),#REF!,#REF!,0,,)*$C49/$J49</f>
        <v>#REF!</v>
      </c>
      <c r="E49" s="16" t="e">
        <f>_xlfn.XLOOKUP(_xlfn.CONCAT($A49," - ",$B49),#REF!,#REF!,0,,)*$C49/$J49</f>
        <v>#REF!</v>
      </c>
      <c r="F49" s="16" t="e">
        <f>_xlfn.XLOOKUP(_xlfn.CONCAT($A49," - ",$B49),#REF!,#REF!,0,,)*$C49/$J49</f>
        <v>#REF!</v>
      </c>
      <c r="G49" s="16" t="e">
        <f>_xlfn.XLOOKUP(_xlfn.CONCAT($A49," - ",$B49),#REF!,#REF!,0,,)*$C49/$J49</f>
        <v>#REF!</v>
      </c>
      <c r="H49" s="16" t="e">
        <f>_xlfn.XLOOKUP(_xlfn.CONCAT($A49," - ",$B49),#REF!,#REF!,0,,)*$C49/$J49</f>
        <v>#REF!</v>
      </c>
      <c r="I49" s="16" t="e">
        <f>_xlfn.XLOOKUP(_xlfn.CONCAT($A49," - ",$B49),#REF!,#REF!,0,,)*$C49/$J49</f>
        <v>#REF!</v>
      </c>
      <c r="J49" s="17">
        <f t="shared" si="4"/>
        <v>1</v>
      </c>
    </row>
    <row r="50" spans="1:10" ht="20" thickBot="1" x14ac:dyDescent="0.25">
      <c r="A50" s="89" t="s">
        <v>12</v>
      </c>
      <c r="B50" s="90"/>
      <c r="C50" s="91"/>
      <c r="D50" s="18" t="e">
        <f>SUM(D42:D49)</f>
        <v>#REF!</v>
      </c>
      <c r="E50" s="18" t="e">
        <f t="shared" ref="E50:I50" si="5">SUM(E42:E49)</f>
        <v>#REF!</v>
      </c>
      <c r="F50" s="18" t="e">
        <f t="shared" si="5"/>
        <v>#REF!</v>
      </c>
      <c r="G50" s="18" t="e">
        <f t="shared" si="5"/>
        <v>#REF!</v>
      </c>
      <c r="H50" s="18" t="e">
        <f t="shared" si="5"/>
        <v>#REF!</v>
      </c>
      <c r="I50" s="18" t="e">
        <f t="shared" si="5"/>
        <v>#REF!</v>
      </c>
    </row>
    <row r="53" spans="1:10" ht="17" thickBot="1" x14ac:dyDescent="0.25"/>
    <row r="54" spans="1:10" ht="25" thickBot="1" x14ac:dyDescent="0.3">
      <c r="A54" s="86" t="s">
        <v>59</v>
      </c>
      <c r="B54" s="87"/>
      <c r="C54" s="87"/>
      <c r="D54" s="87"/>
      <c r="E54" s="87"/>
      <c r="F54" s="87"/>
      <c r="G54" s="87"/>
      <c r="H54" s="87"/>
      <c r="I54" s="88"/>
      <c r="J54" s="14"/>
    </row>
    <row r="55" spans="1:10" ht="21" x14ac:dyDescent="0.25">
      <c r="A55" s="19" t="s">
        <v>1</v>
      </c>
      <c r="B55" s="19" t="s">
        <v>39</v>
      </c>
      <c r="C55" s="19" t="s">
        <v>0</v>
      </c>
      <c r="D55" s="19" t="s">
        <v>46</v>
      </c>
      <c r="E55" s="19" t="s">
        <v>47</v>
      </c>
      <c r="F55" s="19" t="s">
        <v>48</v>
      </c>
      <c r="G55" s="19" t="s">
        <v>49</v>
      </c>
      <c r="H55" s="19" t="s">
        <v>50</v>
      </c>
      <c r="I55" s="19" t="s">
        <v>51</v>
      </c>
      <c r="J55" s="15"/>
    </row>
    <row r="56" spans="1:10" ht="21" x14ac:dyDescent="0.2">
      <c r="A56" s="16"/>
      <c r="B56" s="16"/>
      <c r="C56" s="16"/>
      <c r="D56" s="16" t="e">
        <f>_xlfn.XLOOKUP(_xlfn.CONCAT($A56," - ",$B56),#REF!,#REF!,0,,)*$C56/$J56</f>
        <v>#REF!</v>
      </c>
      <c r="E56" s="16" t="e">
        <f>_xlfn.XLOOKUP(_xlfn.CONCAT($A56," - ",$B56),#REF!,#REF!,0,,)*$C56/$J56</f>
        <v>#REF!</v>
      </c>
      <c r="F56" s="16" t="e">
        <f>_xlfn.XLOOKUP(_xlfn.CONCAT($A56," - ",$B56),#REF!,#REF!,0,,)*$C56/$J56</f>
        <v>#REF!</v>
      </c>
      <c r="G56" s="16" t="e">
        <f>_xlfn.XLOOKUP(_xlfn.CONCAT($A56," - ",$B56),#REF!,#REF!,0,,)*$C56/$J56</f>
        <v>#REF!</v>
      </c>
      <c r="H56" s="16" t="e">
        <f>_xlfn.XLOOKUP(_xlfn.CONCAT($A56," - ",$B56),#REF!,#REF!,0,,)*$C56/$J56</f>
        <v>#REF!</v>
      </c>
      <c r="I56" s="16" t="e">
        <f>_xlfn.XLOOKUP(_xlfn.CONCAT($A56," - ",$B56),#REF!,#REF!,0,,)*$C56/$J56</f>
        <v>#REF!</v>
      </c>
      <c r="J56" s="17">
        <f t="shared" ref="J56" si="6">IF(B56="Gramas (100g)",100,1)</f>
        <v>1</v>
      </c>
    </row>
    <row r="57" spans="1:10" ht="21" x14ac:dyDescent="0.2">
      <c r="A57" s="16"/>
      <c r="B57" s="16"/>
      <c r="C57" s="16"/>
      <c r="D57" s="16" t="e">
        <f>_xlfn.XLOOKUP(_xlfn.CONCAT($A57," - ",$B57),#REF!,#REF!,0,,)*$C57/$J57</f>
        <v>#REF!</v>
      </c>
      <c r="E57" s="16" t="e">
        <f>_xlfn.XLOOKUP(_xlfn.CONCAT($A57," - ",$B57),#REF!,#REF!,0,,)*$C57/$J57</f>
        <v>#REF!</v>
      </c>
      <c r="F57" s="16" t="e">
        <f>_xlfn.XLOOKUP(_xlfn.CONCAT($A57," - ",$B57),#REF!,#REF!,0,,)*$C57/$J57</f>
        <v>#REF!</v>
      </c>
      <c r="G57" s="16" t="e">
        <f>_xlfn.XLOOKUP(_xlfn.CONCAT($A57," - ",$B57),#REF!,#REF!,0,,)*$C57/$J57</f>
        <v>#REF!</v>
      </c>
      <c r="H57" s="16" t="e">
        <f>_xlfn.XLOOKUP(_xlfn.CONCAT($A57," - ",$B57),#REF!,#REF!,0,,)*$C57/$J57</f>
        <v>#REF!</v>
      </c>
      <c r="I57" s="16" t="e">
        <f>_xlfn.XLOOKUP(_xlfn.CONCAT($A57," - ",$B57),#REF!,#REF!,0,,)*$C57/$J57</f>
        <v>#REF!</v>
      </c>
      <c r="J57" s="17">
        <f>IF(B57="Gramas (100g)",100,1)</f>
        <v>1</v>
      </c>
    </row>
    <row r="58" spans="1:10" ht="21" x14ac:dyDescent="0.2">
      <c r="A58" s="16"/>
      <c r="B58" s="16"/>
      <c r="C58" s="16"/>
      <c r="D58" s="16" t="e">
        <f>_xlfn.XLOOKUP(_xlfn.CONCAT($A58," - ",$B58),#REF!,#REF!,0,,)*$C58/$J58</f>
        <v>#REF!</v>
      </c>
      <c r="E58" s="16" t="e">
        <f>_xlfn.XLOOKUP(_xlfn.CONCAT($A58," - ",$B58),#REF!,#REF!,0,,)*$C58/$J58</f>
        <v>#REF!</v>
      </c>
      <c r="F58" s="16" t="e">
        <f>_xlfn.XLOOKUP(_xlfn.CONCAT($A58," - ",$B58),#REF!,#REF!,0,,)*$C58/$J58</f>
        <v>#REF!</v>
      </c>
      <c r="G58" s="16" t="e">
        <f>_xlfn.XLOOKUP(_xlfn.CONCAT($A58," - ",$B58),#REF!,#REF!,0,,)*$C58/$J58</f>
        <v>#REF!</v>
      </c>
      <c r="H58" s="16" t="e">
        <f>_xlfn.XLOOKUP(_xlfn.CONCAT($A58," - ",$B58),#REF!,#REF!,0,,)*$C58/$J58</f>
        <v>#REF!</v>
      </c>
      <c r="I58" s="16" t="e">
        <f>_xlfn.XLOOKUP(_xlfn.CONCAT($A58," - ",$B58),#REF!,#REF!,0,,)*$C58/$J58</f>
        <v>#REF!</v>
      </c>
      <c r="J58" s="17">
        <f t="shared" ref="J58:J63" si="7">IF(B58="Gramas (100g)",100,1)</f>
        <v>1</v>
      </c>
    </row>
    <row r="59" spans="1:10" ht="21" x14ac:dyDescent="0.2">
      <c r="A59" s="16"/>
      <c r="B59" s="16"/>
      <c r="C59" s="16"/>
      <c r="D59" s="16" t="e">
        <f>_xlfn.XLOOKUP(_xlfn.CONCAT($A59," - ",$B59),#REF!,#REF!,0,,)*$C59/$J59</f>
        <v>#REF!</v>
      </c>
      <c r="E59" s="16" t="e">
        <f>_xlfn.XLOOKUP(_xlfn.CONCAT($A59," - ",$B59),#REF!,#REF!,0,,)*$C59/$J59</f>
        <v>#REF!</v>
      </c>
      <c r="F59" s="16" t="e">
        <f>_xlfn.XLOOKUP(_xlfn.CONCAT($A59," - ",$B59),#REF!,#REF!,0,,)*$C59/$J59</f>
        <v>#REF!</v>
      </c>
      <c r="G59" s="16" t="e">
        <f>_xlfn.XLOOKUP(_xlfn.CONCAT($A59," - ",$B59),#REF!,#REF!,0,,)*$C59/$J59</f>
        <v>#REF!</v>
      </c>
      <c r="H59" s="16" t="e">
        <f>_xlfn.XLOOKUP(_xlfn.CONCAT($A59," - ",$B59),#REF!,#REF!,0,,)*$C59/$J59</f>
        <v>#REF!</v>
      </c>
      <c r="I59" s="16" t="e">
        <f>_xlfn.XLOOKUP(_xlfn.CONCAT($A59," - ",$B59),#REF!,#REF!,0,,)*$C59/$J59</f>
        <v>#REF!</v>
      </c>
      <c r="J59" s="17">
        <f t="shared" si="7"/>
        <v>1</v>
      </c>
    </row>
    <row r="60" spans="1:10" ht="21" x14ac:dyDescent="0.2">
      <c r="A60" s="16"/>
      <c r="B60" s="16"/>
      <c r="C60" s="16"/>
      <c r="D60" s="16" t="e">
        <f>_xlfn.XLOOKUP(_xlfn.CONCAT($A60," - ",$B60),#REF!,#REF!,0,,)*$C60/$J60</f>
        <v>#REF!</v>
      </c>
      <c r="E60" s="16" t="e">
        <f>_xlfn.XLOOKUP(_xlfn.CONCAT($A60," - ",$B60),#REF!,#REF!,0,,)*$C60/$J60</f>
        <v>#REF!</v>
      </c>
      <c r="F60" s="16" t="e">
        <f>_xlfn.XLOOKUP(_xlfn.CONCAT($A60," - ",$B60),#REF!,#REF!,0,,)*$C60/$J60</f>
        <v>#REF!</v>
      </c>
      <c r="G60" s="16" t="e">
        <f>_xlfn.XLOOKUP(_xlfn.CONCAT($A60," - ",$B60),#REF!,#REF!,0,,)*$C60/$J60</f>
        <v>#REF!</v>
      </c>
      <c r="H60" s="16" t="e">
        <f>_xlfn.XLOOKUP(_xlfn.CONCAT($A60," - ",$B60),#REF!,#REF!,0,,)*$C60/$J60</f>
        <v>#REF!</v>
      </c>
      <c r="I60" s="16" t="e">
        <f>_xlfn.XLOOKUP(_xlfn.CONCAT($A60," - ",$B60),#REF!,#REF!,0,,)*$C60/$J60</f>
        <v>#REF!</v>
      </c>
      <c r="J60" s="17">
        <f t="shared" si="7"/>
        <v>1</v>
      </c>
    </row>
    <row r="61" spans="1:10" ht="21" x14ac:dyDescent="0.2">
      <c r="A61" s="16"/>
      <c r="B61" s="16"/>
      <c r="C61" s="16"/>
      <c r="D61" s="16" t="e">
        <f>_xlfn.XLOOKUP(_xlfn.CONCAT($A61," - ",$B61),#REF!,#REF!,0,,)*$C61/$J61</f>
        <v>#REF!</v>
      </c>
      <c r="E61" s="16" t="e">
        <f>_xlfn.XLOOKUP(_xlfn.CONCAT($A61," - ",$B61),#REF!,#REF!,0,,)*$C61/$J61</f>
        <v>#REF!</v>
      </c>
      <c r="F61" s="16" t="e">
        <f>_xlfn.XLOOKUP(_xlfn.CONCAT($A61," - ",$B61),#REF!,#REF!,0,,)*$C61/$J61</f>
        <v>#REF!</v>
      </c>
      <c r="G61" s="16" t="e">
        <f>_xlfn.XLOOKUP(_xlfn.CONCAT($A61," - ",$B61),#REF!,#REF!,0,,)*$C61/$J61</f>
        <v>#REF!</v>
      </c>
      <c r="H61" s="16" t="e">
        <f>_xlfn.XLOOKUP(_xlfn.CONCAT($A61," - ",$B61),#REF!,#REF!,0,,)*$C61/$J61</f>
        <v>#REF!</v>
      </c>
      <c r="I61" s="16" t="e">
        <f>_xlfn.XLOOKUP(_xlfn.CONCAT($A61," - ",$B61),#REF!,#REF!,0,,)*$C61/$J61</f>
        <v>#REF!</v>
      </c>
      <c r="J61" s="17">
        <f t="shared" si="7"/>
        <v>1</v>
      </c>
    </row>
    <row r="62" spans="1:10" ht="21" x14ac:dyDescent="0.2">
      <c r="A62" s="16"/>
      <c r="B62" s="16"/>
      <c r="C62" s="16"/>
      <c r="D62" s="16" t="e">
        <f>_xlfn.XLOOKUP(_xlfn.CONCAT($A62," - ",$B62),#REF!,#REF!,0,,)*$C62/$J62</f>
        <v>#REF!</v>
      </c>
      <c r="E62" s="16" t="e">
        <f>_xlfn.XLOOKUP(_xlfn.CONCAT($A62," - ",$B62),#REF!,#REF!,0,,)*$C62/$J62</f>
        <v>#REF!</v>
      </c>
      <c r="F62" s="16" t="e">
        <f>_xlfn.XLOOKUP(_xlfn.CONCAT($A62," - ",$B62),#REF!,#REF!,0,,)*$C62/$J62</f>
        <v>#REF!</v>
      </c>
      <c r="G62" s="16" t="e">
        <f>_xlfn.XLOOKUP(_xlfn.CONCAT($A62," - ",$B62),#REF!,#REF!,0,,)*$C62/$J62</f>
        <v>#REF!</v>
      </c>
      <c r="H62" s="16" t="e">
        <f>_xlfn.XLOOKUP(_xlfn.CONCAT($A62," - ",$B62),#REF!,#REF!,0,,)*$C62/$J62</f>
        <v>#REF!</v>
      </c>
      <c r="I62" s="16" t="e">
        <f>_xlfn.XLOOKUP(_xlfn.CONCAT($A62," - ",$B62),#REF!,#REF!,0,,)*$C62/$J62</f>
        <v>#REF!</v>
      </c>
      <c r="J62" s="17">
        <f t="shared" si="7"/>
        <v>1</v>
      </c>
    </row>
    <row r="63" spans="1:10" ht="22" thickBot="1" x14ac:dyDescent="0.25">
      <c r="A63" s="16"/>
      <c r="B63" s="16"/>
      <c r="C63" s="16"/>
      <c r="D63" s="16" t="e">
        <f>_xlfn.XLOOKUP(_xlfn.CONCAT($A63," - ",$B63),#REF!,#REF!,0,,)*$C63/$J63</f>
        <v>#REF!</v>
      </c>
      <c r="E63" s="16" t="e">
        <f>_xlfn.XLOOKUP(_xlfn.CONCAT($A63," - ",$B63),#REF!,#REF!,0,,)*$C63/$J63</f>
        <v>#REF!</v>
      </c>
      <c r="F63" s="16" t="e">
        <f>_xlfn.XLOOKUP(_xlfn.CONCAT($A63," - ",$B63),#REF!,#REF!,0,,)*$C63/$J63</f>
        <v>#REF!</v>
      </c>
      <c r="G63" s="16" t="e">
        <f>_xlfn.XLOOKUP(_xlfn.CONCAT($A63," - ",$B63),#REF!,#REF!,0,,)*$C63/$J63</f>
        <v>#REF!</v>
      </c>
      <c r="H63" s="16" t="e">
        <f>_xlfn.XLOOKUP(_xlfn.CONCAT($A63," - ",$B63),#REF!,#REF!,0,,)*$C63/$J63</f>
        <v>#REF!</v>
      </c>
      <c r="I63" s="16" t="e">
        <f>_xlfn.XLOOKUP(_xlfn.CONCAT($A63," - ",$B63),#REF!,#REF!,0,,)*$C63/$J63</f>
        <v>#REF!</v>
      </c>
      <c r="J63" s="17">
        <f t="shared" si="7"/>
        <v>1</v>
      </c>
    </row>
    <row r="64" spans="1:10" ht="20" thickBot="1" x14ac:dyDescent="0.25">
      <c r="A64" s="89" t="s">
        <v>12</v>
      </c>
      <c r="B64" s="90"/>
      <c r="C64" s="91"/>
      <c r="D64" s="18" t="e">
        <f>SUM(D56:D63)</f>
        <v>#REF!</v>
      </c>
      <c r="E64" s="18" t="e">
        <f t="shared" ref="E64:I64" si="8">SUM(E56:E63)</f>
        <v>#REF!</v>
      </c>
      <c r="F64" s="18" t="e">
        <f t="shared" si="8"/>
        <v>#REF!</v>
      </c>
      <c r="G64" s="18" t="e">
        <f t="shared" si="8"/>
        <v>#REF!</v>
      </c>
      <c r="H64" s="18" t="e">
        <f t="shared" si="8"/>
        <v>#REF!</v>
      </c>
      <c r="I64" s="18" t="e">
        <f t="shared" si="8"/>
        <v>#REF!</v>
      </c>
    </row>
    <row r="67" spans="1:10" ht="17" thickBot="1" x14ac:dyDescent="0.25"/>
    <row r="68" spans="1:10" ht="25" thickBot="1" x14ac:dyDescent="0.3">
      <c r="A68" s="86" t="s">
        <v>55</v>
      </c>
      <c r="B68" s="87"/>
      <c r="C68" s="87"/>
      <c r="D68" s="87"/>
      <c r="E68" s="87"/>
      <c r="F68" s="87"/>
      <c r="G68" s="87"/>
      <c r="H68" s="87"/>
      <c r="I68" s="88"/>
      <c r="J68" s="14"/>
    </row>
    <row r="69" spans="1:10" ht="21" x14ac:dyDescent="0.25">
      <c r="A69" s="19" t="s">
        <v>1</v>
      </c>
      <c r="B69" s="19" t="s">
        <v>39</v>
      </c>
      <c r="C69" s="19" t="s">
        <v>0</v>
      </c>
      <c r="D69" s="19" t="s">
        <v>46</v>
      </c>
      <c r="E69" s="19" t="s">
        <v>47</v>
      </c>
      <c r="F69" s="19" t="s">
        <v>48</v>
      </c>
      <c r="G69" s="19" t="s">
        <v>49</v>
      </c>
      <c r="H69" s="19" t="s">
        <v>50</v>
      </c>
      <c r="I69" s="19" t="s">
        <v>51</v>
      </c>
      <c r="J69" s="15"/>
    </row>
    <row r="70" spans="1:10" ht="21" x14ac:dyDescent="0.2">
      <c r="A70" s="16"/>
      <c r="B70" s="16"/>
      <c r="C70" s="16"/>
      <c r="D70" s="16" t="e">
        <f>_xlfn.XLOOKUP(_xlfn.CONCAT($A70," - ",$B70),#REF!,#REF!,0,,)*$C70/$J70</f>
        <v>#REF!</v>
      </c>
      <c r="E70" s="16" t="e">
        <f>_xlfn.XLOOKUP(_xlfn.CONCAT($A70," - ",$B70),#REF!,#REF!,0,,)*$C70/$J70</f>
        <v>#REF!</v>
      </c>
      <c r="F70" s="16" t="e">
        <f>_xlfn.XLOOKUP(_xlfn.CONCAT($A70," - ",$B70),#REF!,#REF!,0,,)*$C70/$J70</f>
        <v>#REF!</v>
      </c>
      <c r="G70" s="16" t="e">
        <f>_xlfn.XLOOKUP(_xlfn.CONCAT($A70," - ",$B70),#REF!,#REF!,0,,)*$C70/$J70</f>
        <v>#REF!</v>
      </c>
      <c r="H70" s="16" t="e">
        <f>_xlfn.XLOOKUP(_xlfn.CONCAT($A70," - ",$B70),#REF!,#REF!,0,,)*$C70/$J70</f>
        <v>#REF!</v>
      </c>
      <c r="I70" s="16" t="e">
        <f>_xlfn.XLOOKUP(_xlfn.CONCAT($A70," - ",$B70),#REF!,#REF!,0,,)*$C70/$J70</f>
        <v>#REF!</v>
      </c>
      <c r="J70" s="17">
        <f t="shared" ref="J70" si="9">IF(B70="Gramas (100g)",100,1)</f>
        <v>1</v>
      </c>
    </row>
    <row r="71" spans="1:10" ht="21" x14ac:dyDescent="0.2">
      <c r="A71" s="16"/>
      <c r="B71" s="16"/>
      <c r="C71" s="16"/>
      <c r="D71" s="16" t="e">
        <f>_xlfn.XLOOKUP(_xlfn.CONCAT($A71," - ",$B71),#REF!,#REF!,0,,)*$C71/$J71</f>
        <v>#REF!</v>
      </c>
      <c r="E71" s="16" t="e">
        <f>_xlfn.XLOOKUP(_xlfn.CONCAT($A71," - ",$B71),#REF!,#REF!,0,,)*$C71/$J71</f>
        <v>#REF!</v>
      </c>
      <c r="F71" s="16" t="e">
        <f>_xlfn.XLOOKUP(_xlfn.CONCAT($A71," - ",$B71),#REF!,#REF!,0,,)*$C71/$J71</f>
        <v>#REF!</v>
      </c>
      <c r="G71" s="16" t="e">
        <f>_xlfn.XLOOKUP(_xlfn.CONCAT($A71," - ",$B71),#REF!,#REF!,0,,)*$C71/$J71</f>
        <v>#REF!</v>
      </c>
      <c r="H71" s="16" t="e">
        <f>_xlfn.XLOOKUP(_xlfn.CONCAT($A71," - ",$B71),#REF!,#REF!,0,,)*$C71/$J71</f>
        <v>#REF!</v>
      </c>
      <c r="I71" s="16" t="e">
        <f>_xlfn.XLOOKUP(_xlfn.CONCAT($A71," - ",$B71),#REF!,#REF!,0,,)*$C71/$J71</f>
        <v>#REF!</v>
      </c>
      <c r="J71" s="17">
        <f>IF(B71="Gramas (100g)",100,1)</f>
        <v>1</v>
      </c>
    </row>
    <row r="72" spans="1:10" ht="21" x14ac:dyDescent="0.2">
      <c r="A72" s="16"/>
      <c r="B72" s="16"/>
      <c r="C72" s="16"/>
      <c r="D72" s="16" t="e">
        <f>_xlfn.XLOOKUP(_xlfn.CONCAT($A72," - ",$B72),#REF!,#REF!,0,,)*$C72/$J72</f>
        <v>#REF!</v>
      </c>
      <c r="E72" s="16" t="e">
        <f>_xlfn.XLOOKUP(_xlfn.CONCAT($A72," - ",$B72),#REF!,#REF!,0,,)*$C72/$J72</f>
        <v>#REF!</v>
      </c>
      <c r="F72" s="16" t="e">
        <f>_xlfn.XLOOKUP(_xlfn.CONCAT($A72," - ",$B72),#REF!,#REF!,0,,)*$C72/$J72</f>
        <v>#REF!</v>
      </c>
      <c r="G72" s="16" t="e">
        <f>_xlfn.XLOOKUP(_xlfn.CONCAT($A72," - ",$B72),#REF!,#REF!,0,,)*$C72/$J72</f>
        <v>#REF!</v>
      </c>
      <c r="H72" s="16" t="e">
        <f>_xlfn.XLOOKUP(_xlfn.CONCAT($A72," - ",$B72),#REF!,#REF!,0,,)*$C72/$J72</f>
        <v>#REF!</v>
      </c>
      <c r="I72" s="16" t="e">
        <f>_xlfn.XLOOKUP(_xlfn.CONCAT($A72," - ",$B72),#REF!,#REF!,0,,)*$C72/$J72</f>
        <v>#REF!</v>
      </c>
      <c r="J72" s="17">
        <f t="shared" ref="J72:J77" si="10">IF(B72="Gramas (100g)",100,1)</f>
        <v>1</v>
      </c>
    </row>
    <row r="73" spans="1:10" ht="21" x14ac:dyDescent="0.2">
      <c r="A73" s="16"/>
      <c r="B73" s="16"/>
      <c r="C73" s="16"/>
      <c r="D73" s="16" t="e">
        <f>_xlfn.XLOOKUP(_xlfn.CONCAT($A73," - ",$B73),#REF!,#REF!,0,,)*$C73/$J73</f>
        <v>#REF!</v>
      </c>
      <c r="E73" s="16" t="e">
        <f>_xlfn.XLOOKUP(_xlfn.CONCAT($A73," - ",$B73),#REF!,#REF!,0,,)*$C73/$J73</f>
        <v>#REF!</v>
      </c>
      <c r="F73" s="16" t="e">
        <f>_xlfn.XLOOKUP(_xlfn.CONCAT($A73," - ",$B73),#REF!,#REF!,0,,)*$C73/$J73</f>
        <v>#REF!</v>
      </c>
      <c r="G73" s="16" t="e">
        <f>_xlfn.XLOOKUP(_xlfn.CONCAT($A73," - ",$B73),#REF!,#REF!,0,,)*$C73/$J73</f>
        <v>#REF!</v>
      </c>
      <c r="H73" s="16" t="e">
        <f>_xlfn.XLOOKUP(_xlfn.CONCAT($A73," - ",$B73),#REF!,#REF!,0,,)*$C73/$J73</f>
        <v>#REF!</v>
      </c>
      <c r="I73" s="16" t="e">
        <f>_xlfn.XLOOKUP(_xlfn.CONCAT($A73," - ",$B73),#REF!,#REF!,0,,)*$C73/$J73</f>
        <v>#REF!</v>
      </c>
      <c r="J73" s="17">
        <f t="shared" si="10"/>
        <v>1</v>
      </c>
    </row>
    <row r="74" spans="1:10" ht="21" x14ac:dyDescent="0.2">
      <c r="A74" s="16"/>
      <c r="B74" s="16"/>
      <c r="C74" s="16"/>
      <c r="D74" s="16" t="e">
        <f>_xlfn.XLOOKUP(_xlfn.CONCAT($A74," - ",$B74),#REF!,#REF!,0,,)*$C74/$J74</f>
        <v>#REF!</v>
      </c>
      <c r="E74" s="16" t="e">
        <f>_xlfn.XLOOKUP(_xlfn.CONCAT($A74," - ",$B74),#REF!,#REF!,0,,)*$C74/$J74</f>
        <v>#REF!</v>
      </c>
      <c r="F74" s="16" t="e">
        <f>_xlfn.XLOOKUP(_xlfn.CONCAT($A74," - ",$B74),#REF!,#REF!,0,,)*$C74/$J74</f>
        <v>#REF!</v>
      </c>
      <c r="G74" s="16" t="e">
        <f>_xlfn.XLOOKUP(_xlfn.CONCAT($A74," - ",$B74),#REF!,#REF!,0,,)*$C74/$J74</f>
        <v>#REF!</v>
      </c>
      <c r="H74" s="16" t="e">
        <f>_xlfn.XLOOKUP(_xlfn.CONCAT($A74," - ",$B74),#REF!,#REF!,0,,)*$C74/$J74</f>
        <v>#REF!</v>
      </c>
      <c r="I74" s="16" t="e">
        <f>_xlfn.XLOOKUP(_xlfn.CONCAT($A74," - ",$B74),#REF!,#REF!,0,,)*$C74/$J74</f>
        <v>#REF!</v>
      </c>
      <c r="J74" s="17">
        <f t="shared" si="10"/>
        <v>1</v>
      </c>
    </row>
    <row r="75" spans="1:10" ht="21" x14ac:dyDescent="0.2">
      <c r="A75" s="16"/>
      <c r="B75" s="16"/>
      <c r="C75" s="16"/>
      <c r="D75" s="16" t="e">
        <f>_xlfn.XLOOKUP(_xlfn.CONCAT($A75," - ",$B75),#REF!,#REF!,0,,)*$C75/$J75</f>
        <v>#REF!</v>
      </c>
      <c r="E75" s="16" t="e">
        <f>_xlfn.XLOOKUP(_xlfn.CONCAT($A75," - ",$B75),#REF!,#REF!,0,,)*$C75/$J75</f>
        <v>#REF!</v>
      </c>
      <c r="F75" s="16" t="e">
        <f>_xlfn.XLOOKUP(_xlfn.CONCAT($A75," - ",$B75),#REF!,#REF!,0,,)*$C75/$J75</f>
        <v>#REF!</v>
      </c>
      <c r="G75" s="16" t="e">
        <f>_xlfn.XLOOKUP(_xlfn.CONCAT($A75," - ",$B75),#REF!,#REF!,0,,)*$C75/$J75</f>
        <v>#REF!</v>
      </c>
      <c r="H75" s="16" t="e">
        <f>_xlfn.XLOOKUP(_xlfn.CONCAT($A75," - ",$B75),#REF!,#REF!,0,,)*$C75/$J75</f>
        <v>#REF!</v>
      </c>
      <c r="I75" s="16" t="e">
        <f>_xlfn.XLOOKUP(_xlfn.CONCAT($A75," - ",$B75),#REF!,#REF!,0,,)*$C75/$J75</f>
        <v>#REF!</v>
      </c>
      <c r="J75" s="17">
        <f t="shared" si="10"/>
        <v>1</v>
      </c>
    </row>
    <row r="76" spans="1:10" ht="21" x14ac:dyDescent="0.2">
      <c r="A76" s="16"/>
      <c r="B76" s="16"/>
      <c r="C76" s="16"/>
      <c r="D76" s="16" t="e">
        <f>_xlfn.XLOOKUP(_xlfn.CONCAT($A76," - ",$B76),#REF!,#REF!,0,,)*$C76/$J76</f>
        <v>#REF!</v>
      </c>
      <c r="E76" s="16" t="e">
        <f>_xlfn.XLOOKUP(_xlfn.CONCAT($A76," - ",$B76),#REF!,#REF!,0,,)*$C76/$J76</f>
        <v>#REF!</v>
      </c>
      <c r="F76" s="16" t="e">
        <f>_xlfn.XLOOKUP(_xlfn.CONCAT($A76," - ",$B76),#REF!,#REF!,0,,)*$C76/$J76</f>
        <v>#REF!</v>
      </c>
      <c r="G76" s="16" t="e">
        <f>_xlfn.XLOOKUP(_xlfn.CONCAT($A76," - ",$B76),#REF!,#REF!,0,,)*$C76/$J76</f>
        <v>#REF!</v>
      </c>
      <c r="H76" s="16" t="e">
        <f>_xlfn.XLOOKUP(_xlfn.CONCAT($A76," - ",$B76),#REF!,#REF!,0,,)*$C76/$J76</f>
        <v>#REF!</v>
      </c>
      <c r="I76" s="16" t="e">
        <f>_xlfn.XLOOKUP(_xlfn.CONCAT($A76," - ",$B76),#REF!,#REF!,0,,)*$C76/$J76</f>
        <v>#REF!</v>
      </c>
      <c r="J76" s="17">
        <f t="shared" si="10"/>
        <v>1</v>
      </c>
    </row>
    <row r="77" spans="1:10" ht="22" thickBot="1" x14ac:dyDescent="0.25">
      <c r="A77" s="16"/>
      <c r="B77" s="16"/>
      <c r="C77" s="16"/>
      <c r="D77" s="16" t="e">
        <f>_xlfn.XLOOKUP(_xlfn.CONCAT($A77," - ",$B77),#REF!,#REF!,0,,)*$C77/$J77</f>
        <v>#REF!</v>
      </c>
      <c r="E77" s="16" t="e">
        <f>_xlfn.XLOOKUP(_xlfn.CONCAT($A77," - ",$B77),#REF!,#REF!,0,,)*$C77/$J77</f>
        <v>#REF!</v>
      </c>
      <c r="F77" s="16" t="e">
        <f>_xlfn.XLOOKUP(_xlfn.CONCAT($A77," - ",$B77),#REF!,#REF!,0,,)*$C77/$J77</f>
        <v>#REF!</v>
      </c>
      <c r="G77" s="16" t="e">
        <f>_xlfn.XLOOKUP(_xlfn.CONCAT($A77," - ",$B77),#REF!,#REF!,0,,)*$C77/$J77</f>
        <v>#REF!</v>
      </c>
      <c r="H77" s="16" t="e">
        <f>_xlfn.XLOOKUP(_xlfn.CONCAT($A77," - ",$B77),#REF!,#REF!,0,,)*$C77/$J77</f>
        <v>#REF!</v>
      </c>
      <c r="I77" s="16" t="e">
        <f>_xlfn.XLOOKUP(_xlfn.CONCAT($A77," - ",$B77),#REF!,#REF!,0,,)*$C77/$J77</f>
        <v>#REF!</v>
      </c>
      <c r="J77" s="17">
        <f t="shared" si="10"/>
        <v>1</v>
      </c>
    </row>
    <row r="78" spans="1:10" ht="20" thickBot="1" x14ac:dyDescent="0.25">
      <c r="A78" s="89" t="s">
        <v>12</v>
      </c>
      <c r="B78" s="90"/>
      <c r="C78" s="91"/>
      <c r="D78" s="18" t="e">
        <f>SUM(D70:D77)</f>
        <v>#REF!</v>
      </c>
      <c r="E78" s="18" t="e">
        <f t="shared" ref="E78:I78" si="11">SUM(E70:E77)</f>
        <v>#REF!</v>
      </c>
      <c r="F78" s="18" t="e">
        <f t="shared" si="11"/>
        <v>#REF!</v>
      </c>
      <c r="G78" s="18" t="e">
        <f t="shared" si="11"/>
        <v>#REF!</v>
      </c>
      <c r="H78" s="18" t="e">
        <f t="shared" si="11"/>
        <v>#REF!</v>
      </c>
      <c r="I78" s="18" t="e">
        <f t="shared" si="11"/>
        <v>#REF!</v>
      </c>
    </row>
    <row r="1048508" spans="2:2" x14ac:dyDescent="0.2">
      <c r="B1048508" t="e" cm="1">
        <f t="array" ref="B1048508">A</f>
        <v>#NAME?</v>
      </c>
    </row>
  </sheetData>
  <sheetProtection sheet="1" objects="1" scenarios="1"/>
  <mergeCells count="11">
    <mergeCell ref="A50:C50"/>
    <mergeCell ref="A54:I54"/>
    <mergeCell ref="A64:C64"/>
    <mergeCell ref="A68:I68"/>
    <mergeCell ref="A78:C78"/>
    <mergeCell ref="A40:I40"/>
    <mergeCell ref="A2:D2"/>
    <mergeCell ref="A12:I12"/>
    <mergeCell ref="A22:C22"/>
    <mergeCell ref="A26:I26"/>
    <mergeCell ref="A36:C36"/>
  </mergeCells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icinarRefeicao">
                <anchor moveWithCells="1" sizeWithCells="1">
                  <from>
                    <xdr:col>4</xdr:col>
                    <xdr:colOff>381000</xdr:colOff>
                    <xdr:row>0</xdr:row>
                    <xdr:rowOff>203200</xdr:rowOff>
                  </from>
                  <to>
                    <xdr:col>6</xdr:col>
                    <xdr:colOff>63500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adastrarRefeicao">
                <anchor moveWithCells="1" sizeWithCells="1">
                  <from>
                    <xdr:col>6</xdr:col>
                    <xdr:colOff>139700</xdr:colOff>
                    <xdr:row>0</xdr:row>
                    <xdr:rowOff>203200</xdr:rowOff>
                  </from>
                  <to>
                    <xdr:col>7</xdr:col>
                    <xdr:colOff>850900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CD900F-1BA6-D643-8690-731159D1BB9D}">
          <x14:formula1>
            <xm:f>Picklists!$O$2:$O$4</xm:f>
          </x14:formula1>
          <xm:sqref>B14:B21 B28:B35 B42:B49 B56:B63 B70:B77</xm:sqref>
        </x14:dataValidation>
        <x14:dataValidation type="list" allowBlank="1" showInputMessage="1" showErrorMessage="1" xr:uid="{EB94720C-0288-9342-B77F-E021868D4FF8}">
          <x14:formula1>
            <xm:f>Picklists!$Q$2:$Q$500</xm:f>
          </x14:formula1>
          <xm:sqref>A14:A21 A28:A35 A42:A49 A56:A63 A70:A77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Home1</vt:lpstr>
      <vt:lpstr>Picklists</vt:lpstr>
      <vt:lpstr>Dieta_01</vt:lpstr>
      <vt:lpstr>Dieta_Modelo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Henriques Neto</dc:creator>
  <cp:lastModifiedBy>Fernando Henriques</cp:lastModifiedBy>
  <dcterms:created xsi:type="dcterms:W3CDTF">2023-01-24T20:03:42Z</dcterms:created>
  <dcterms:modified xsi:type="dcterms:W3CDTF">2023-09-28T03:05:55Z</dcterms:modified>
</cp:coreProperties>
</file>