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fernandohenriques/MyRepositories/Personal-Stuf/macros/excel-planilha/"/>
    </mc:Choice>
  </mc:AlternateContent>
  <xr:revisionPtr revIDLastSave="0" documentId="13_ncr:1_{1D8E1ADD-F9A4-4C41-969A-F16FF4D13D29}" xr6:coauthVersionLast="47" xr6:coauthVersionMax="47" xr10:uidLastSave="{00000000-0000-0000-0000-000000000000}"/>
  <bookViews>
    <workbookView xWindow="0" yWindow="500" windowWidth="25600" windowHeight="15500" activeTab="1" xr2:uid="{DA5F7CAC-187B-8A40-BA99-40D3574D4061}"/>
  </bookViews>
  <sheets>
    <sheet name="Home1" sheetId="1" r:id="rId1"/>
    <sheet name="Dieta_01" sheetId="6" r:id="rId2"/>
    <sheet name="Food_Original" sheetId="3" r:id="rId3"/>
    <sheet name="Picklists" sheetId="2" r:id="rId4"/>
    <sheet name="Food_Tratado" sheetId="5" r:id="rId5"/>
    <sheet name="Dieta_Modelo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6" i="6" l="1"/>
  <c r="J57" i="6"/>
  <c r="J58" i="6"/>
  <c r="J59" i="6"/>
  <c r="J60" i="6"/>
  <c r="J61" i="6"/>
  <c r="J62" i="6"/>
  <c r="J63" i="6"/>
  <c r="B1048508" i="7" a="1"/>
  <c r="B1048508" i="7" s="1"/>
  <c r="J77" i="7"/>
  <c r="J76" i="7"/>
  <c r="J75" i="7"/>
  <c r="J74" i="7"/>
  <c r="J73" i="7"/>
  <c r="J72" i="7"/>
  <c r="J71" i="7"/>
  <c r="J70" i="7"/>
  <c r="J63" i="7"/>
  <c r="J62" i="7"/>
  <c r="J61" i="7"/>
  <c r="J60" i="7"/>
  <c r="J59" i="7"/>
  <c r="J58" i="7"/>
  <c r="J57" i="7"/>
  <c r="J56" i="7"/>
  <c r="J49" i="7"/>
  <c r="J48" i="7"/>
  <c r="J47" i="7"/>
  <c r="J46" i="7"/>
  <c r="J45" i="7"/>
  <c r="J44" i="7"/>
  <c r="J43" i="7"/>
  <c r="J42" i="7"/>
  <c r="J35" i="7"/>
  <c r="J34" i="7"/>
  <c r="J33" i="7"/>
  <c r="J32" i="7"/>
  <c r="J31" i="7"/>
  <c r="J30" i="7"/>
  <c r="J29" i="7"/>
  <c r="J28" i="7"/>
  <c r="J21" i="7"/>
  <c r="J20" i="7"/>
  <c r="J19" i="7"/>
  <c r="J18" i="7"/>
  <c r="J17" i="7"/>
  <c r="J16" i="7"/>
  <c r="J15" i="7"/>
  <c r="J14" i="7"/>
  <c r="C8" i="7"/>
  <c r="C7" i="7"/>
  <c r="G7" i="7" s="1"/>
  <c r="B1048508" i="6" a="1"/>
  <c r="B1048508" i="6" s="1"/>
  <c r="J77" i="6"/>
  <c r="J76" i="6"/>
  <c r="J75" i="6"/>
  <c r="J74" i="6"/>
  <c r="J73" i="6"/>
  <c r="J72" i="6"/>
  <c r="J71" i="6"/>
  <c r="J70" i="6"/>
  <c r="J49" i="6"/>
  <c r="J48" i="6"/>
  <c r="J47" i="6"/>
  <c r="J46" i="6"/>
  <c r="J45" i="6"/>
  <c r="J44" i="6"/>
  <c r="J43" i="6"/>
  <c r="J42" i="6"/>
  <c r="J35" i="6"/>
  <c r="J34" i="6"/>
  <c r="J33" i="6"/>
  <c r="J32" i="6"/>
  <c r="J31" i="6"/>
  <c r="J30" i="6"/>
  <c r="J29" i="6"/>
  <c r="J28" i="6"/>
  <c r="J21" i="6"/>
  <c r="J20" i="6"/>
  <c r="J19" i="6"/>
  <c r="J18" i="6"/>
  <c r="J17" i="6"/>
  <c r="J16" i="6"/>
  <c r="J15" i="6"/>
  <c r="J14" i="6"/>
  <c r="C8" i="6"/>
  <c r="G8" i="6" s="1"/>
  <c r="C7" i="6"/>
  <c r="O2" i="2" a="1"/>
  <c r="O2" i="2" s="1"/>
  <c r="Q2" i="2" a="1"/>
  <c r="Q2" i="2" s="1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E10" i="5"/>
  <c r="E11" i="5"/>
  <c r="E12" i="5"/>
  <c r="E13" i="5"/>
  <c r="E14" i="5"/>
  <c r="E15" i="5"/>
  <c r="E17" i="5"/>
  <c r="E18" i="5"/>
  <c r="E19" i="5"/>
  <c r="E20" i="5"/>
  <c r="E21" i="5"/>
  <c r="E22" i="5"/>
  <c r="E23" i="5"/>
  <c r="E24" i="5"/>
  <c r="D10" i="5"/>
  <c r="D11" i="5"/>
  <c r="D12" i="5"/>
  <c r="D13" i="5"/>
  <c r="D14" i="5"/>
  <c r="D15" i="5"/>
  <c r="D17" i="5"/>
  <c r="D18" i="5"/>
  <c r="D19" i="5"/>
  <c r="D20" i="5"/>
  <c r="D21" i="5"/>
  <c r="D22" i="5"/>
  <c r="D23" i="5"/>
  <c r="D24" i="5"/>
  <c r="C9" i="5"/>
  <c r="C10" i="5"/>
  <c r="C11" i="5"/>
  <c r="C12" i="5"/>
  <c r="C13" i="5"/>
  <c r="C14" i="5"/>
  <c r="C15" i="5"/>
  <c r="C17" i="5"/>
  <c r="C18" i="5"/>
  <c r="C19" i="5"/>
  <c r="C20" i="5"/>
  <c r="C21" i="5"/>
  <c r="C22" i="5"/>
  <c r="C23" i="5"/>
  <c r="C24" i="5"/>
  <c r="G3" i="5"/>
  <c r="G4" i="5"/>
  <c r="G5" i="5"/>
  <c r="G6" i="5"/>
  <c r="G7" i="5"/>
  <c r="G8" i="5"/>
  <c r="G9" i="5"/>
  <c r="G10" i="5"/>
  <c r="G11" i="5"/>
  <c r="G12" i="5"/>
  <c r="G13" i="5"/>
  <c r="G14" i="5"/>
  <c r="F3" i="5"/>
  <c r="F4" i="5"/>
  <c r="F5" i="5"/>
  <c r="F6" i="5"/>
  <c r="E3" i="5"/>
  <c r="E4" i="5"/>
  <c r="E5" i="5"/>
  <c r="E6" i="5"/>
  <c r="E7" i="5"/>
  <c r="E8" i="5"/>
  <c r="E9" i="5"/>
  <c r="D3" i="5"/>
  <c r="D4" i="5"/>
  <c r="D5" i="5"/>
  <c r="D6" i="5"/>
  <c r="D7" i="5"/>
  <c r="C3" i="5"/>
  <c r="C4" i="5"/>
  <c r="G8" i="7" l="1"/>
  <c r="G7" i="6"/>
  <c r="A2" i="5"/>
  <c r="B2" i="5"/>
  <c r="C2" i="5"/>
  <c r="D2" i="5"/>
  <c r="E2" i="5"/>
  <c r="F2" i="5"/>
  <c r="G2" i="5"/>
  <c r="A3" i="5"/>
  <c r="B3" i="5"/>
  <c r="A4" i="5"/>
  <c r="B4" i="5"/>
  <c r="A5" i="5"/>
  <c r="B5" i="5"/>
  <c r="C5" i="5"/>
  <c r="A6" i="5"/>
  <c r="B6" i="5"/>
  <c r="C6" i="5"/>
  <c r="A7" i="5"/>
  <c r="B7" i="5"/>
  <c r="C7" i="5"/>
  <c r="A8" i="5"/>
  <c r="B8" i="5"/>
  <c r="C8" i="5"/>
  <c r="D8" i="5"/>
  <c r="A9" i="5"/>
  <c r="B9" i="5"/>
  <c r="D9" i="5"/>
  <c r="A10" i="5"/>
  <c r="B10" i="5"/>
  <c r="A11" i="5"/>
  <c r="B11" i="5"/>
  <c r="A12" i="5"/>
  <c r="B12" i="5"/>
  <c r="A13" i="5"/>
  <c r="B13" i="5"/>
  <c r="A14" i="5"/>
  <c r="B14" i="5"/>
  <c r="A15" i="5"/>
  <c r="B15" i="5"/>
  <c r="G15" i="5"/>
  <c r="G16" i="5"/>
  <c r="A17" i="5"/>
  <c r="B17" i="5"/>
  <c r="G17" i="5"/>
  <c r="A18" i="5"/>
  <c r="B18" i="5"/>
  <c r="G18" i="5"/>
  <c r="A19" i="5"/>
  <c r="B19" i="5"/>
  <c r="G19" i="5"/>
  <c r="A20" i="5"/>
  <c r="B20" i="5"/>
  <c r="G20" i="5"/>
  <c r="A21" i="5"/>
  <c r="B21" i="5"/>
  <c r="F21" i="5"/>
  <c r="G21" i="5"/>
  <c r="A22" i="5"/>
  <c r="B22" i="5"/>
  <c r="F22" i="5"/>
  <c r="G22" i="5"/>
  <c r="A23" i="5"/>
  <c r="B23" i="5"/>
  <c r="F23" i="5"/>
  <c r="G23" i="5"/>
  <c r="A24" i="5"/>
  <c r="B24" i="5"/>
  <c r="F24" i="5"/>
  <c r="G24" i="5"/>
  <c r="A25" i="5"/>
  <c r="B25" i="5"/>
  <c r="C25" i="5"/>
  <c r="D25" i="5"/>
  <c r="E25" i="5"/>
  <c r="F25" i="5"/>
  <c r="G25" i="5"/>
  <c r="A26" i="5"/>
  <c r="B26" i="5"/>
  <c r="C26" i="5"/>
  <c r="D26" i="5"/>
  <c r="E26" i="5"/>
  <c r="F26" i="5"/>
  <c r="G26" i="5"/>
  <c r="A27" i="5"/>
  <c r="B27" i="5"/>
  <c r="C27" i="5"/>
  <c r="D27" i="5"/>
  <c r="E27" i="5"/>
  <c r="F27" i="5"/>
  <c r="G27" i="5"/>
  <c r="A28" i="5"/>
  <c r="B28" i="5"/>
  <c r="C28" i="5"/>
  <c r="D28" i="5"/>
  <c r="E28" i="5"/>
  <c r="F28" i="5"/>
  <c r="G28" i="5"/>
  <c r="A29" i="5"/>
  <c r="B29" i="5"/>
  <c r="C29" i="5"/>
  <c r="D29" i="5"/>
  <c r="E29" i="5"/>
  <c r="F29" i="5"/>
  <c r="G29" i="5"/>
  <c r="A30" i="5"/>
  <c r="B30" i="5"/>
  <c r="C30" i="5"/>
  <c r="D30" i="5"/>
  <c r="E30" i="5"/>
  <c r="F30" i="5"/>
  <c r="G30" i="5"/>
  <c r="A31" i="5"/>
  <c r="B31" i="5"/>
  <c r="C31" i="5"/>
  <c r="D31" i="5"/>
  <c r="E31" i="5"/>
  <c r="F31" i="5"/>
  <c r="G31" i="5"/>
  <c r="A32" i="5"/>
  <c r="B32" i="5"/>
  <c r="C32" i="5"/>
  <c r="D32" i="5"/>
  <c r="E32" i="5"/>
  <c r="F32" i="5"/>
  <c r="G32" i="5"/>
  <c r="A33" i="5"/>
  <c r="B33" i="5"/>
  <c r="C33" i="5"/>
  <c r="D33" i="5"/>
  <c r="E33" i="5"/>
  <c r="F33" i="5"/>
  <c r="G33" i="5"/>
  <c r="A34" i="5"/>
  <c r="B34" i="5"/>
  <c r="C34" i="5"/>
  <c r="D34" i="5"/>
  <c r="E34" i="5"/>
  <c r="F34" i="5"/>
  <c r="G34" i="5"/>
  <c r="A35" i="5"/>
  <c r="B35" i="5"/>
  <c r="C35" i="5"/>
  <c r="D35" i="5"/>
  <c r="E35" i="5"/>
  <c r="F35" i="5"/>
  <c r="G35" i="5"/>
  <c r="A36" i="5"/>
  <c r="B36" i="5"/>
  <c r="C36" i="5"/>
  <c r="D36" i="5"/>
  <c r="E36" i="5"/>
  <c r="F36" i="5"/>
  <c r="G36" i="5"/>
  <c r="A37" i="5"/>
  <c r="B37" i="5"/>
  <c r="C37" i="5"/>
  <c r="D37" i="5"/>
  <c r="E37" i="5"/>
  <c r="F37" i="5"/>
  <c r="G37" i="5"/>
  <c r="A38" i="5"/>
  <c r="B38" i="5"/>
  <c r="C38" i="5"/>
  <c r="D38" i="5"/>
  <c r="E38" i="5"/>
  <c r="F38" i="5"/>
  <c r="G38" i="5"/>
  <c r="A39" i="5"/>
  <c r="B39" i="5"/>
  <c r="C39" i="5"/>
  <c r="D39" i="5"/>
  <c r="E39" i="5"/>
  <c r="F39" i="5"/>
  <c r="G39" i="5"/>
  <c r="A40" i="5"/>
  <c r="B40" i="5"/>
  <c r="C40" i="5"/>
  <c r="D40" i="5"/>
  <c r="E40" i="5"/>
  <c r="F40" i="5"/>
  <c r="G40" i="5"/>
  <c r="A41" i="5"/>
  <c r="B41" i="5"/>
  <c r="C41" i="5"/>
  <c r="D41" i="5"/>
  <c r="E41" i="5"/>
  <c r="F41" i="5"/>
  <c r="G41" i="5"/>
  <c r="A42" i="5"/>
  <c r="B42" i="5"/>
  <c r="C42" i="5"/>
  <c r="D42" i="5"/>
  <c r="E42" i="5"/>
  <c r="F42" i="5"/>
  <c r="G42" i="5"/>
  <c r="A43" i="5"/>
  <c r="B43" i="5"/>
  <c r="C43" i="5"/>
  <c r="D43" i="5"/>
  <c r="E43" i="5"/>
  <c r="F43" i="5"/>
  <c r="G43" i="5"/>
  <c r="A44" i="5"/>
  <c r="B44" i="5"/>
  <c r="C44" i="5"/>
  <c r="D44" i="5"/>
  <c r="E44" i="5"/>
  <c r="F44" i="5"/>
  <c r="G44" i="5"/>
  <c r="A45" i="5"/>
  <c r="B45" i="5"/>
  <c r="C45" i="5"/>
  <c r="D45" i="5"/>
  <c r="E45" i="5"/>
  <c r="F45" i="5"/>
  <c r="G45" i="5"/>
  <c r="A46" i="5"/>
  <c r="B46" i="5"/>
  <c r="C46" i="5"/>
  <c r="D46" i="5"/>
  <c r="E46" i="5"/>
  <c r="F46" i="5"/>
  <c r="G46" i="5"/>
  <c r="A47" i="5"/>
  <c r="B47" i="5"/>
  <c r="C47" i="5"/>
  <c r="D47" i="5"/>
  <c r="E47" i="5"/>
  <c r="F47" i="5"/>
  <c r="G47" i="5"/>
  <c r="A48" i="5"/>
  <c r="B48" i="5"/>
  <c r="C48" i="5"/>
  <c r="D48" i="5"/>
  <c r="E48" i="5"/>
  <c r="F48" i="5"/>
  <c r="G48" i="5"/>
  <c r="A49" i="5"/>
  <c r="B49" i="5"/>
  <c r="C49" i="5"/>
  <c r="D49" i="5"/>
  <c r="E49" i="5"/>
  <c r="F49" i="5"/>
  <c r="G49" i="5"/>
  <c r="A50" i="5"/>
  <c r="B50" i="5"/>
  <c r="C50" i="5"/>
  <c r="D50" i="5"/>
  <c r="E50" i="5"/>
  <c r="F50" i="5"/>
  <c r="G50" i="5"/>
  <c r="A51" i="5"/>
  <c r="B51" i="5"/>
  <c r="C51" i="5"/>
  <c r="D51" i="5"/>
  <c r="E51" i="5"/>
  <c r="F51" i="5"/>
  <c r="G51" i="5"/>
  <c r="A52" i="5"/>
  <c r="B52" i="5"/>
  <c r="C52" i="5"/>
  <c r="D52" i="5"/>
  <c r="E52" i="5"/>
  <c r="F52" i="5"/>
  <c r="G52" i="5"/>
  <c r="A53" i="5"/>
  <c r="B53" i="5"/>
  <c r="C53" i="5"/>
  <c r="D53" i="5"/>
  <c r="E53" i="5"/>
  <c r="F53" i="5"/>
  <c r="G53" i="5"/>
  <c r="A54" i="5"/>
  <c r="B54" i="5"/>
  <c r="C54" i="5"/>
  <c r="D54" i="5"/>
  <c r="E54" i="5"/>
  <c r="F54" i="5"/>
  <c r="G54" i="5"/>
  <c r="A55" i="5"/>
  <c r="B55" i="5"/>
  <c r="C55" i="5"/>
  <c r="D55" i="5"/>
  <c r="E55" i="5"/>
  <c r="F55" i="5"/>
  <c r="G55" i="5"/>
  <c r="A56" i="5"/>
  <c r="B56" i="5"/>
  <c r="C56" i="5"/>
  <c r="D56" i="5"/>
  <c r="E56" i="5"/>
  <c r="F56" i="5"/>
  <c r="G56" i="5"/>
  <c r="A57" i="5"/>
  <c r="B57" i="5"/>
  <c r="C57" i="5"/>
  <c r="D57" i="5"/>
  <c r="E57" i="5"/>
  <c r="F57" i="5"/>
  <c r="G57" i="5"/>
  <c r="A58" i="5"/>
  <c r="B58" i="5"/>
  <c r="C58" i="5"/>
  <c r="D58" i="5"/>
  <c r="E58" i="5"/>
  <c r="F58" i="5"/>
  <c r="G58" i="5"/>
  <c r="A59" i="5"/>
  <c r="B59" i="5"/>
  <c r="C59" i="5"/>
  <c r="D59" i="5"/>
  <c r="E59" i="5"/>
  <c r="F59" i="5"/>
  <c r="G59" i="5"/>
  <c r="A60" i="5"/>
  <c r="B60" i="5"/>
  <c r="C60" i="5"/>
  <c r="D60" i="5"/>
  <c r="E60" i="5"/>
  <c r="F60" i="5"/>
  <c r="G60" i="5"/>
  <c r="A61" i="5"/>
  <c r="B61" i="5"/>
  <c r="C61" i="5"/>
  <c r="D61" i="5"/>
  <c r="E61" i="5"/>
  <c r="F61" i="5"/>
  <c r="G61" i="5"/>
  <c r="A62" i="5"/>
  <c r="B62" i="5"/>
  <c r="C62" i="5"/>
  <c r="D62" i="5"/>
  <c r="E62" i="5"/>
  <c r="F62" i="5"/>
  <c r="G62" i="5"/>
  <c r="A63" i="5"/>
  <c r="B63" i="5"/>
  <c r="C63" i="5"/>
  <c r="D63" i="5"/>
  <c r="E63" i="5"/>
  <c r="F63" i="5"/>
  <c r="G63" i="5"/>
  <c r="A64" i="5"/>
  <c r="B64" i="5"/>
  <c r="C64" i="5"/>
  <c r="D64" i="5"/>
  <c r="E64" i="5"/>
  <c r="F64" i="5"/>
  <c r="G64" i="5"/>
  <c r="A65" i="5"/>
  <c r="B65" i="5"/>
  <c r="C65" i="5"/>
  <c r="D65" i="5"/>
  <c r="E65" i="5"/>
  <c r="F65" i="5"/>
  <c r="G65" i="5"/>
  <c r="A66" i="5"/>
  <c r="B66" i="5"/>
  <c r="C66" i="5"/>
  <c r="D66" i="5"/>
  <c r="E66" i="5"/>
  <c r="F66" i="5"/>
  <c r="G66" i="5"/>
  <c r="A67" i="5"/>
  <c r="B67" i="5"/>
  <c r="C67" i="5"/>
  <c r="D67" i="5"/>
  <c r="E67" i="5"/>
  <c r="F67" i="5"/>
  <c r="G67" i="5"/>
  <c r="A68" i="5"/>
  <c r="B68" i="5"/>
  <c r="C68" i="5"/>
  <c r="D68" i="5"/>
  <c r="E68" i="5"/>
  <c r="F68" i="5"/>
  <c r="G68" i="5"/>
  <c r="A69" i="5"/>
  <c r="B69" i="5"/>
  <c r="C69" i="5"/>
  <c r="D69" i="5"/>
  <c r="E69" i="5"/>
  <c r="F69" i="5"/>
  <c r="G69" i="5"/>
  <c r="A70" i="5"/>
  <c r="B70" i="5"/>
  <c r="C70" i="5"/>
  <c r="D70" i="5"/>
  <c r="E70" i="5"/>
  <c r="F70" i="5"/>
  <c r="G70" i="5"/>
  <c r="A71" i="5"/>
  <c r="B71" i="5"/>
  <c r="C71" i="5"/>
  <c r="D71" i="5"/>
  <c r="E71" i="5"/>
  <c r="F71" i="5"/>
  <c r="G71" i="5"/>
  <c r="A72" i="5"/>
  <c r="B72" i="5"/>
  <c r="C72" i="5"/>
  <c r="D72" i="5"/>
  <c r="E72" i="5"/>
  <c r="F72" i="5"/>
  <c r="G72" i="5"/>
  <c r="A73" i="5"/>
  <c r="B73" i="5"/>
  <c r="C73" i="5"/>
  <c r="D73" i="5"/>
  <c r="E73" i="5"/>
  <c r="F73" i="5"/>
  <c r="G73" i="5"/>
  <c r="A74" i="5"/>
  <c r="B74" i="5"/>
  <c r="C74" i="5"/>
  <c r="D74" i="5"/>
  <c r="E74" i="5"/>
  <c r="F74" i="5"/>
  <c r="G74" i="5"/>
  <c r="A75" i="5"/>
  <c r="B75" i="5"/>
  <c r="C75" i="5"/>
  <c r="D75" i="5"/>
  <c r="E75" i="5"/>
  <c r="F75" i="5"/>
  <c r="G75" i="5"/>
  <c r="A76" i="5"/>
  <c r="B76" i="5"/>
  <c r="C76" i="5"/>
  <c r="D76" i="5"/>
  <c r="E76" i="5"/>
  <c r="F76" i="5"/>
  <c r="G76" i="5"/>
  <c r="A77" i="5"/>
  <c r="B77" i="5"/>
  <c r="C77" i="5"/>
  <c r="D77" i="5"/>
  <c r="E77" i="5"/>
  <c r="F77" i="5"/>
  <c r="G77" i="5"/>
  <c r="A78" i="5"/>
  <c r="B78" i="5"/>
  <c r="C78" i="5"/>
  <c r="D78" i="5"/>
  <c r="E78" i="5"/>
  <c r="F78" i="5"/>
  <c r="G78" i="5"/>
  <c r="A79" i="5"/>
  <c r="B79" i="5"/>
  <c r="C79" i="5"/>
  <c r="D79" i="5"/>
  <c r="E79" i="5"/>
  <c r="F79" i="5"/>
  <c r="G79" i="5"/>
  <c r="A80" i="5"/>
  <c r="B80" i="5"/>
  <c r="C80" i="5"/>
  <c r="D80" i="5"/>
  <c r="E80" i="5"/>
  <c r="F80" i="5"/>
  <c r="G80" i="5"/>
  <c r="A81" i="5"/>
  <c r="B81" i="5"/>
  <c r="C81" i="5"/>
  <c r="D81" i="5"/>
  <c r="E81" i="5"/>
  <c r="F81" i="5"/>
  <c r="G81" i="5"/>
  <c r="A82" i="5"/>
  <c r="B82" i="5"/>
  <c r="C82" i="5"/>
  <c r="D82" i="5"/>
  <c r="E82" i="5"/>
  <c r="F82" i="5"/>
  <c r="G82" i="5"/>
  <c r="A83" i="5"/>
  <c r="B83" i="5"/>
  <c r="C83" i="5"/>
  <c r="D83" i="5"/>
  <c r="E83" i="5"/>
  <c r="F83" i="5"/>
  <c r="G83" i="5"/>
  <c r="A84" i="5"/>
  <c r="B84" i="5"/>
  <c r="C84" i="5"/>
  <c r="D84" i="5"/>
  <c r="E84" i="5"/>
  <c r="F84" i="5"/>
  <c r="G84" i="5"/>
  <c r="A85" i="5"/>
  <c r="B85" i="5"/>
  <c r="C85" i="5"/>
  <c r="D85" i="5"/>
  <c r="E85" i="5"/>
  <c r="F85" i="5"/>
  <c r="G85" i="5"/>
  <c r="A86" i="5"/>
  <c r="B86" i="5"/>
  <c r="C86" i="5"/>
  <c r="D86" i="5"/>
  <c r="E86" i="5"/>
  <c r="F86" i="5"/>
  <c r="G86" i="5"/>
  <c r="A87" i="5"/>
  <c r="B87" i="5"/>
  <c r="C87" i="5"/>
  <c r="D87" i="5"/>
  <c r="E87" i="5"/>
  <c r="F87" i="5"/>
  <c r="G87" i="5"/>
  <c r="A88" i="5"/>
  <c r="B88" i="5"/>
  <c r="C88" i="5"/>
  <c r="D88" i="5"/>
  <c r="E88" i="5"/>
  <c r="F88" i="5"/>
  <c r="G88" i="5"/>
  <c r="A89" i="5"/>
  <c r="B89" i="5"/>
  <c r="C89" i="5"/>
  <c r="D89" i="5"/>
  <c r="E89" i="5"/>
  <c r="F89" i="5"/>
  <c r="G89" i="5"/>
  <c r="A90" i="5"/>
  <c r="B90" i="5"/>
  <c r="C90" i="5"/>
  <c r="D90" i="5"/>
  <c r="E90" i="5"/>
  <c r="F90" i="5"/>
  <c r="G90" i="5"/>
  <c r="A91" i="5"/>
  <c r="B91" i="5"/>
  <c r="C91" i="5"/>
  <c r="D91" i="5"/>
  <c r="E91" i="5"/>
  <c r="F91" i="5"/>
  <c r="G91" i="5"/>
  <c r="A92" i="5"/>
  <c r="B92" i="5"/>
  <c r="C92" i="5"/>
  <c r="D92" i="5"/>
  <c r="E92" i="5"/>
  <c r="F92" i="5"/>
  <c r="G92" i="5"/>
  <c r="A93" i="5"/>
  <c r="B93" i="5"/>
  <c r="C93" i="5"/>
  <c r="D93" i="5"/>
  <c r="E93" i="5"/>
  <c r="F93" i="5"/>
  <c r="G93" i="5"/>
  <c r="A94" i="5"/>
  <c r="B94" i="5"/>
  <c r="C94" i="5"/>
  <c r="D94" i="5"/>
  <c r="E94" i="5"/>
  <c r="F94" i="5"/>
  <c r="G94" i="5"/>
  <c r="A95" i="5"/>
  <c r="B95" i="5"/>
  <c r="C95" i="5"/>
  <c r="D95" i="5"/>
  <c r="E95" i="5"/>
  <c r="F95" i="5"/>
  <c r="G95" i="5"/>
  <c r="A96" i="5"/>
  <c r="B96" i="5"/>
  <c r="C96" i="5"/>
  <c r="D96" i="5"/>
  <c r="E96" i="5"/>
  <c r="F96" i="5"/>
  <c r="G96" i="5"/>
  <c r="A97" i="5"/>
  <c r="B97" i="5"/>
  <c r="C97" i="5"/>
  <c r="D97" i="5"/>
  <c r="E97" i="5"/>
  <c r="F97" i="5"/>
  <c r="G97" i="5"/>
  <c r="A98" i="5"/>
  <c r="B98" i="5"/>
  <c r="C98" i="5"/>
  <c r="D98" i="5"/>
  <c r="E98" i="5"/>
  <c r="F98" i="5"/>
  <c r="G98" i="5"/>
  <c r="A99" i="5"/>
  <c r="B99" i="5"/>
  <c r="C99" i="5"/>
  <c r="D99" i="5"/>
  <c r="E99" i="5"/>
  <c r="F99" i="5"/>
  <c r="G99" i="5"/>
  <c r="A100" i="5"/>
  <c r="B100" i="5"/>
  <c r="C100" i="5"/>
  <c r="D100" i="5"/>
  <c r="E100" i="5"/>
  <c r="F100" i="5"/>
  <c r="G100" i="5"/>
  <c r="A101" i="5"/>
  <c r="B101" i="5"/>
  <c r="C101" i="5"/>
  <c r="D101" i="5"/>
  <c r="E101" i="5"/>
  <c r="F101" i="5"/>
  <c r="G101" i="5"/>
  <c r="A102" i="5"/>
  <c r="B102" i="5"/>
  <c r="C102" i="5"/>
  <c r="D102" i="5"/>
  <c r="E102" i="5"/>
  <c r="F102" i="5"/>
  <c r="G102" i="5"/>
  <c r="A103" i="5"/>
  <c r="B103" i="5"/>
  <c r="C103" i="5"/>
  <c r="D103" i="5"/>
  <c r="E103" i="5"/>
  <c r="F103" i="5"/>
  <c r="G103" i="5"/>
  <c r="A104" i="5"/>
  <c r="B104" i="5"/>
  <c r="C104" i="5"/>
  <c r="D104" i="5"/>
  <c r="E104" i="5"/>
  <c r="F104" i="5"/>
  <c r="G104" i="5"/>
  <c r="A105" i="5"/>
  <c r="B105" i="5"/>
  <c r="C105" i="5"/>
  <c r="D105" i="5"/>
  <c r="E105" i="5"/>
  <c r="F105" i="5"/>
  <c r="G105" i="5"/>
  <c r="A106" i="5"/>
  <c r="B106" i="5"/>
  <c r="C106" i="5"/>
  <c r="D106" i="5"/>
  <c r="E106" i="5"/>
  <c r="F106" i="5"/>
  <c r="G106" i="5"/>
  <c r="A107" i="5"/>
  <c r="B107" i="5"/>
  <c r="C107" i="5"/>
  <c r="D107" i="5"/>
  <c r="E107" i="5"/>
  <c r="F107" i="5"/>
  <c r="G107" i="5"/>
  <c r="A108" i="5"/>
  <c r="B108" i="5"/>
  <c r="C108" i="5"/>
  <c r="D108" i="5"/>
  <c r="E108" i="5"/>
  <c r="F108" i="5"/>
  <c r="G108" i="5"/>
  <c r="A109" i="5"/>
  <c r="B109" i="5"/>
  <c r="C109" i="5"/>
  <c r="D109" i="5"/>
  <c r="E109" i="5"/>
  <c r="F109" i="5"/>
  <c r="G109" i="5"/>
  <c r="A110" i="5"/>
  <c r="B110" i="5"/>
  <c r="C110" i="5"/>
  <c r="D110" i="5"/>
  <c r="E110" i="5"/>
  <c r="F110" i="5"/>
  <c r="G110" i="5"/>
  <c r="A111" i="5"/>
  <c r="B111" i="5"/>
  <c r="C111" i="5"/>
  <c r="D111" i="5"/>
  <c r="E111" i="5"/>
  <c r="F111" i="5"/>
  <c r="G111" i="5"/>
  <c r="A112" i="5"/>
  <c r="B112" i="5"/>
  <c r="C112" i="5"/>
  <c r="D112" i="5"/>
  <c r="E112" i="5"/>
  <c r="F112" i="5"/>
  <c r="G112" i="5"/>
  <c r="A113" i="5"/>
  <c r="B113" i="5"/>
  <c r="C113" i="5"/>
  <c r="D113" i="5"/>
  <c r="E113" i="5"/>
  <c r="F113" i="5"/>
  <c r="G113" i="5"/>
  <c r="A114" i="5"/>
  <c r="B114" i="5"/>
  <c r="C114" i="5"/>
  <c r="D114" i="5"/>
  <c r="E114" i="5"/>
  <c r="F114" i="5"/>
  <c r="G114" i="5"/>
  <c r="A115" i="5"/>
  <c r="B115" i="5"/>
  <c r="C115" i="5"/>
  <c r="D115" i="5"/>
  <c r="E115" i="5"/>
  <c r="F115" i="5"/>
  <c r="G115" i="5"/>
  <c r="A116" i="5"/>
  <c r="B116" i="5"/>
  <c r="C116" i="5"/>
  <c r="D116" i="5"/>
  <c r="E116" i="5"/>
  <c r="F116" i="5"/>
  <c r="G116" i="5"/>
  <c r="A117" i="5"/>
  <c r="B117" i="5"/>
  <c r="C117" i="5"/>
  <c r="D117" i="5"/>
  <c r="E117" i="5"/>
  <c r="F117" i="5"/>
  <c r="G117" i="5"/>
  <c r="A118" i="5"/>
  <c r="B118" i="5"/>
  <c r="C118" i="5"/>
  <c r="D118" i="5"/>
  <c r="E118" i="5"/>
  <c r="F118" i="5"/>
  <c r="G118" i="5"/>
  <c r="A119" i="5"/>
  <c r="B119" i="5"/>
  <c r="C119" i="5"/>
  <c r="D119" i="5"/>
  <c r="E119" i="5"/>
  <c r="F119" i="5"/>
  <c r="G119" i="5"/>
  <c r="A120" i="5"/>
  <c r="B120" i="5"/>
  <c r="C120" i="5"/>
  <c r="D120" i="5"/>
  <c r="E120" i="5"/>
  <c r="F120" i="5"/>
  <c r="G120" i="5"/>
  <c r="A121" i="5"/>
  <c r="B121" i="5"/>
  <c r="C121" i="5"/>
  <c r="D121" i="5"/>
  <c r="E121" i="5"/>
  <c r="F121" i="5"/>
  <c r="G121" i="5"/>
  <c r="A122" i="5"/>
  <c r="B122" i="5"/>
  <c r="C122" i="5"/>
  <c r="D122" i="5"/>
  <c r="E122" i="5"/>
  <c r="F122" i="5"/>
  <c r="G122" i="5"/>
  <c r="A123" i="5"/>
  <c r="B123" i="5"/>
  <c r="C123" i="5"/>
  <c r="D123" i="5"/>
  <c r="E123" i="5"/>
  <c r="F123" i="5"/>
  <c r="G123" i="5"/>
  <c r="A124" i="5"/>
  <c r="B124" i="5"/>
  <c r="C124" i="5"/>
  <c r="D124" i="5"/>
  <c r="E124" i="5"/>
  <c r="F124" i="5"/>
  <c r="G124" i="5"/>
  <c r="A125" i="5"/>
  <c r="B125" i="5"/>
  <c r="C125" i="5"/>
  <c r="D125" i="5"/>
  <c r="E125" i="5"/>
  <c r="F125" i="5"/>
  <c r="G125" i="5"/>
  <c r="A126" i="5"/>
  <c r="B126" i="5"/>
  <c r="C126" i="5"/>
  <c r="D126" i="5"/>
  <c r="E126" i="5"/>
  <c r="F126" i="5"/>
  <c r="G126" i="5"/>
  <c r="A127" i="5"/>
  <c r="B127" i="5"/>
  <c r="C127" i="5"/>
  <c r="D127" i="5"/>
  <c r="E127" i="5"/>
  <c r="F127" i="5"/>
  <c r="G127" i="5"/>
  <c r="A128" i="5"/>
  <c r="B128" i="5"/>
  <c r="C128" i="5"/>
  <c r="D128" i="5"/>
  <c r="E128" i="5"/>
  <c r="F128" i="5"/>
  <c r="G128" i="5"/>
  <c r="A129" i="5"/>
  <c r="B129" i="5"/>
  <c r="C129" i="5"/>
  <c r="D129" i="5"/>
  <c r="E129" i="5"/>
  <c r="F129" i="5"/>
  <c r="G129" i="5"/>
  <c r="A130" i="5"/>
  <c r="B130" i="5"/>
  <c r="C130" i="5"/>
  <c r="D130" i="5"/>
  <c r="E130" i="5"/>
  <c r="F130" i="5"/>
  <c r="G130" i="5"/>
  <c r="A131" i="5"/>
  <c r="B131" i="5"/>
  <c r="C131" i="5"/>
  <c r="D131" i="5"/>
  <c r="E131" i="5"/>
  <c r="F131" i="5"/>
  <c r="G131" i="5"/>
  <c r="A132" i="5"/>
  <c r="B132" i="5"/>
  <c r="C132" i="5"/>
  <c r="D132" i="5"/>
  <c r="E132" i="5"/>
  <c r="F132" i="5"/>
  <c r="G132" i="5"/>
  <c r="A133" i="5"/>
  <c r="B133" i="5"/>
  <c r="C133" i="5"/>
  <c r="D133" i="5"/>
  <c r="E133" i="5"/>
  <c r="F133" i="5"/>
  <c r="G133" i="5"/>
  <c r="A134" i="5"/>
  <c r="B134" i="5"/>
  <c r="C134" i="5"/>
  <c r="D134" i="5"/>
  <c r="E134" i="5"/>
  <c r="F134" i="5"/>
  <c r="G134" i="5"/>
  <c r="A135" i="5"/>
  <c r="B135" i="5"/>
  <c r="C135" i="5"/>
  <c r="D135" i="5"/>
  <c r="E135" i="5"/>
  <c r="F135" i="5"/>
  <c r="G135" i="5"/>
  <c r="A136" i="5"/>
  <c r="B136" i="5"/>
  <c r="C136" i="5"/>
  <c r="D136" i="5"/>
  <c r="E136" i="5"/>
  <c r="F136" i="5"/>
  <c r="G136" i="5"/>
  <c r="A137" i="5"/>
  <c r="B137" i="5"/>
  <c r="C137" i="5"/>
  <c r="D137" i="5"/>
  <c r="E137" i="5"/>
  <c r="F137" i="5"/>
  <c r="G137" i="5"/>
  <c r="A138" i="5"/>
  <c r="B138" i="5"/>
  <c r="C138" i="5"/>
  <c r="D138" i="5"/>
  <c r="E138" i="5"/>
  <c r="F138" i="5"/>
  <c r="G138" i="5"/>
  <c r="A139" i="5"/>
  <c r="B139" i="5"/>
  <c r="C139" i="5"/>
  <c r="D139" i="5"/>
  <c r="E139" i="5"/>
  <c r="F139" i="5"/>
  <c r="G139" i="5"/>
  <c r="A140" i="5"/>
  <c r="B140" i="5"/>
  <c r="C140" i="5"/>
  <c r="D140" i="5"/>
  <c r="E140" i="5"/>
  <c r="F140" i="5"/>
  <c r="G140" i="5"/>
  <c r="A141" i="5"/>
  <c r="B141" i="5"/>
  <c r="C141" i="5"/>
  <c r="D141" i="5"/>
  <c r="E141" i="5"/>
  <c r="F141" i="5"/>
  <c r="G141" i="5"/>
  <c r="A142" i="5"/>
  <c r="B142" i="5"/>
  <c r="C142" i="5"/>
  <c r="D142" i="5"/>
  <c r="E142" i="5"/>
  <c r="F142" i="5"/>
  <c r="G142" i="5"/>
  <c r="A143" i="5"/>
  <c r="B143" i="5"/>
  <c r="C143" i="5"/>
  <c r="D143" i="5"/>
  <c r="E143" i="5"/>
  <c r="F143" i="5"/>
  <c r="G143" i="5"/>
  <c r="A144" i="5"/>
  <c r="B144" i="5"/>
  <c r="C144" i="5"/>
  <c r="D144" i="5"/>
  <c r="E144" i="5"/>
  <c r="F144" i="5"/>
  <c r="G144" i="5"/>
  <c r="A145" i="5"/>
  <c r="B145" i="5"/>
  <c r="C145" i="5"/>
  <c r="D145" i="5"/>
  <c r="E145" i="5"/>
  <c r="F145" i="5"/>
  <c r="G145" i="5"/>
  <c r="A146" i="5"/>
  <c r="B146" i="5"/>
  <c r="C146" i="5"/>
  <c r="D146" i="5"/>
  <c r="E146" i="5"/>
  <c r="F146" i="5"/>
  <c r="G146" i="5"/>
  <c r="A147" i="5"/>
  <c r="B147" i="5"/>
  <c r="C147" i="5"/>
  <c r="D147" i="5"/>
  <c r="E147" i="5"/>
  <c r="F147" i="5"/>
  <c r="G147" i="5"/>
  <c r="A148" i="5"/>
  <c r="B148" i="5"/>
  <c r="C148" i="5"/>
  <c r="D148" i="5"/>
  <c r="E148" i="5"/>
  <c r="F148" i="5"/>
  <c r="G148" i="5"/>
  <c r="A149" i="5"/>
  <c r="B149" i="5"/>
  <c r="C149" i="5"/>
  <c r="D149" i="5"/>
  <c r="E149" i="5"/>
  <c r="F149" i="5"/>
  <c r="G149" i="5"/>
  <c r="A150" i="5"/>
  <c r="B150" i="5"/>
  <c r="C150" i="5"/>
  <c r="D150" i="5"/>
  <c r="E150" i="5"/>
  <c r="F150" i="5"/>
  <c r="G150" i="5"/>
  <c r="A151" i="5"/>
  <c r="B151" i="5"/>
  <c r="C151" i="5"/>
  <c r="D151" i="5"/>
  <c r="E151" i="5"/>
  <c r="F151" i="5"/>
  <c r="G151" i="5"/>
  <c r="A152" i="5"/>
  <c r="B152" i="5"/>
  <c r="C152" i="5"/>
  <c r="D152" i="5"/>
  <c r="E152" i="5"/>
  <c r="F152" i="5"/>
  <c r="G152" i="5"/>
  <c r="A153" i="5"/>
  <c r="B153" i="5"/>
  <c r="C153" i="5"/>
  <c r="D153" i="5"/>
  <c r="E153" i="5"/>
  <c r="F153" i="5"/>
  <c r="G153" i="5"/>
  <c r="A154" i="5"/>
  <c r="B154" i="5"/>
  <c r="C154" i="5"/>
  <c r="D154" i="5"/>
  <c r="E154" i="5"/>
  <c r="F154" i="5"/>
  <c r="G154" i="5"/>
  <c r="A155" i="5"/>
  <c r="B155" i="5"/>
  <c r="C155" i="5"/>
  <c r="D155" i="5"/>
  <c r="E155" i="5"/>
  <c r="F155" i="5"/>
  <c r="G155" i="5"/>
  <c r="A156" i="5"/>
  <c r="B156" i="5"/>
  <c r="C156" i="5"/>
  <c r="D156" i="5"/>
  <c r="E156" i="5"/>
  <c r="F156" i="5"/>
  <c r="G156" i="5"/>
  <c r="A157" i="5"/>
  <c r="B157" i="5"/>
  <c r="C157" i="5"/>
  <c r="D157" i="5"/>
  <c r="E157" i="5"/>
  <c r="F157" i="5"/>
  <c r="G157" i="5"/>
  <c r="A158" i="5"/>
  <c r="B158" i="5"/>
  <c r="C158" i="5"/>
  <c r="D158" i="5"/>
  <c r="E158" i="5"/>
  <c r="F158" i="5"/>
  <c r="G158" i="5"/>
  <c r="A159" i="5"/>
  <c r="B159" i="5"/>
  <c r="C159" i="5"/>
  <c r="D159" i="5"/>
  <c r="E159" i="5"/>
  <c r="F159" i="5"/>
  <c r="G159" i="5"/>
  <c r="A160" i="5"/>
  <c r="B160" i="5"/>
  <c r="C160" i="5"/>
  <c r="D160" i="5"/>
  <c r="E160" i="5"/>
  <c r="F160" i="5"/>
  <c r="G160" i="5"/>
  <c r="A161" i="5"/>
  <c r="B161" i="5"/>
  <c r="C161" i="5"/>
  <c r="D161" i="5"/>
  <c r="E161" i="5"/>
  <c r="F161" i="5"/>
  <c r="G161" i="5"/>
  <c r="A162" i="5"/>
  <c r="B162" i="5"/>
  <c r="C162" i="5"/>
  <c r="D162" i="5"/>
  <c r="E162" i="5"/>
  <c r="F162" i="5"/>
  <c r="G162" i="5"/>
  <c r="A163" i="5"/>
  <c r="B163" i="5"/>
  <c r="C163" i="5"/>
  <c r="D163" i="5"/>
  <c r="E163" i="5"/>
  <c r="F163" i="5"/>
  <c r="G163" i="5"/>
  <c r="A164" i="5"/>
  <c r="B164" i="5"/>
  <c r="C164" i="5"/>
  <c r="D164" i="5"/>
  <c r="E164" i="5"/>
  <c r="F164" i="5"/>
  <c r="G164" i="5"/>
  <c r="A165" i="5"/>
  <c r="B165" i="5"/>
  <c r="C165" i="5"/>
  <c r="D165" i="5"/>
  <c r="E165" i="5"/>
  <c r="F165" i="5"/>
  <c r="G165" i="5"/>
  <c r="A166" i="5"/>
  <c r="B166" i="5"/>
  <c r="C166" i="5"/>
  <c r="D166" i="5"/>
  <c r="E166" i="5"/>
  <c r="F166" i="5"/>
  <c r="G166" i="5"/>
  <c r="A167" i="5"/>
  <c r="B167" i="5"/>
  <c r="C167" i="5"/>
  <c r="D167" i="5"/>
  <c r="E167" i="5"/>
  <c r="F167" i="5"/>
  <c r="G167" i="5"/>
  <c r="A168" i="5"/>
  <c r="B168" i="5"/>
  <c r="C168" i="5"/>
  <c r="D168" i="5"/>
  <c r="E168" i="5"/>
  <c r="F168" i="5"/>
  <c r="G168" i="5"/>
  <c r="A169" i="5"/>
  <c r="B169" i="5"/>
  <c r="C169" i="5"/>
  <c r="D169" i="5"/>
  <c r="E169" i="5"/>
  <c r="F169" i="5"/>
  <c r="G169" i="5"/>
  <c r="A170" i="5"/>
  <c r="B170" i="5"/>
  <c r="C170" i="5"/>
  <c r="D170" i="5"/>
  <c r="E170" i="5"/>
  <c r="F170" i="5"/>
  <c r="G170" i="5"/>
  <c r="A171" i="5"/>
  <c r="B171" i="5"/>
  <c r="C171" i="5"/>
  <c r="D171" i="5"/>
  <c r="E171" i="5"/>
  <c r="F171" i="5"/>
  <c r="G171" i="5"/>
  <c r="A172" i="5"/>
  <c r="B172" i="5"/>
  <c r="C172" i="5"/>
  <c r="D172" i="5"/>
  <c r="E172" i="5"/>
  <c r="F172" i="5"/>
  <c r="G172" i="5"/>
  <c r="A173" i="5"/>
  <c r="B173" i="5"/>
  <c r="C173" i="5"/>
  <c r="D173" i="5"/>
  <c r="E173" i="5"/>
  <c r="F173" i="5"/>
  <c r="G173" i="5"/>
  <c r="A174" i="5"/>
  <c r="B174" i="5"/>
  <c r="C174" i="5"/>
  <c r="D174" i="5"/>
  <c r="E174" i="5"/>
  <c r="F174" i="5"/>
  <c r="G174" i="5"/>
  <c r="A175" i="5"/>
  <c r="B175" i="5"/>
  <c r="C175" i="5"/>
  <c r="D175" i="5"/>
  <c r="E175" i="5"/>
  <c r="F175" i="5"/>
  <c r="G175" i="5"/>
  <c r="A176" i="5"/>
  <c r="B176" i="5"/>
  <c r="C176" i="5"/>
  <c r="D176" i="5"/>
  <c r="E176" i="5"/>
  <c r="F176" i="5"/>
  <c r="G176" i="5"/>
  <c r="A177" i="5"/>
  <c r="B177" i="5"/>
  <c r="C177" i="5"/>
  <c r="D177" i="5"/>
  <c r="E177" i="5"/>
  <c r="F177" i="5"/>
  <c r="G177" i="5"/>
  <c r="A178" i="5"/>
  <c r="B178" i="5"/>
  <c r="C178" i="5"/>
  <c r="D178" i="5"/>
  <c r="E178" i="5"/>
  <c r="F178" i="5"/>
  <c r="G178" i="5"/>
  <c r="A179" i="5"/>
  <c r="B179" i="5"/>
  <c r="C179" i="5"/>
  <c r="D179" i="5"/>
  <c r="E179" i="5"/>
  <c r="F179" i="5"/>
  <c r="G179" i="5"/>
  <c r="A180" i="5"/>
  <c r="B180" i="5"/>
  <c r="C180" i="5"/>
  <c r="D180" i="5"/>
  <c r="E180" i="5"/>
  <c r="F180" i="5"/>
  <c r="G180" i="5"/>
  <c r="A181" i="5"/>
  <c r="B181" i="5"/>
  <c r="C181" i="5"/>
  <c r="D181" i="5"/>
  <c r="E181" i="5"/>
  <c r="F181" i="5"/>
  <c r="G181" i="5"/>
  <c r="A182" i="5"/>
  <c r="B182" i="5"/>
  <c r="C182" i="5"/>
  <c r="D182" i="5"/>
  <c r="E182" i="5"/>
  <c r="F182" i="5"/>
  <c r="G182" i="5"/>
  <c r="A183" i="5"/>
  <c r="B183" i="5"/>
  <c r="C183" i="5"/>
  <c r="D183" i="5"/>
  <c r="E183" i="5"/>
  <c r="F183" i="5"/>
  <c r="G183" i="5"/>
  <c r="A184" i="5"/>
  <c r="B184" i="5"/>
  <c r="C184" i="5"/>
  <c r="D184" i="5"/>
  <c r="E184" i="5"/>
  <c r="F184" i="5"/>
  <c r="G184" i="5"/>
  <c r="A185" i="5"/>
  <c r="B185" i="5"/>
  <c r="C185" i="5"/>
  <c r="D185" i="5"/>
  <c r="E185" i="5"/>
  <c r="F185" i="5"/>
  <c r="G185" i="5"/>
  <c r="A186" i="5"/>
  <c r="B186" i="5"/>
  <c r="C186" i="5"/>
  <c r="D186" i="5"/>
  <c r="E186" i="5"/>
  <c r="F186" i="5"/>
  <c r="G186" i="5"/>
  <c r="A187" i="5"/>
  <c r="B187" i="5"/>
  <c r="C187" i="5"/>
  <c r="D187" i="5"/>
  <c r="E187" i="5"/>
  <c r="F187" i="5"/>
  <c r="G187" i="5"/>
  <c r="A188" i="5"/>
  <c r="B188" i="5"/>
  <c r="C188" i="5"/>
  <c r="D188" i="5"/>
  <c r="E188" i="5"/>
  <c r="F188" i="5"/>
  <c r="G188" i="5"/>
  <c r="A189" i="5"/>
  <c r="B189" i="5"/>
  <c r="C189" i="5"/>
  <c r="D189" i="5"/>
  <c r="E189" i="5"/>
  <c r="F189" i="5"/>
  <c r="G189" i="5"/>
  <c r="A190" i="5"/>
  <c r="B190" i="5"/>
  <c r="C190" i="5"/>
  <c r="D190" i="5"/>
  <c r="E190" i="5"/>
  <c r="F190" i="5"/>
  <c r="G190" i="5"/>
  <c r="A191" i="5"/>
  <c r="B191" i="5"/>
  <c r="C191" i="5"/>
  <c r="D191" i="5"/>
  <c r="E191" i="5"/>
  <c r="F191" i="5"/>
  <c r="G191" i="5"/>
  <c r="A192" i="5"/>
  <c r="B192" i="5"/>
  <c r="C192" i="5"/>
  <c r="D192" i="5"/>
  <c r="E192" i="5"/>
  <c r="F192" i="5"/>
  <c r="G192" i="5"/>
  <c r="A193" i="5"/>
  <c r="B193" i="5"/>
  <c r="C193" i="5"/>
  <c r="D193" i="5"/>
  <c r="E193" i="5"/>
  <c r="F193" i="5"/>
  <c r="G193" i="5"/>
  <c r="A194" i="5"/>
  <c r="B194" i="5"/>
  <c r="C194" i="5"/>
  <c r="D194" i="5"/>
  <c r="E194" i="5"/>
  <c r="F194" i="5"/>
  <c r="G194" i="5"/>
  <c r="A195" i="5"/>
  <c r="B195" i="5"/>
  <c r="C195" i="5"/>
  <c r="D195" i="5"/>
  <c r="E195" i="5"/>
  <c r="F195" i="5"/>
  <c r="G195" i="5"/>
  <c r="A196" i="5"/>
  <c r="B196" i="5"/>
  <c r="C196" i="5"/>
  <c r="D196" i="5"/>
  <c r="E196" i="5"/>
  <c r="F196" i="5"/>
  <c r="G196" i="5"/>
  <c r="A197" i="5"/>
  <c r="B197" i="5"/>
  <c r="C197" i="5"/>
  <c r="D197" i="5"/>
  <c r="E197" i="5"/>
  <c r="F197" i="5"/>
  <c r="G197" i="5"/>
  <c r="A198" i="5"/>
  <c r="B198" i="5"/>
  <c r="C198" i="5"/>
  <c r="D198" i="5"/>
  <c r="E198" i="5"/>
  <c r="F198" i="5"/>
  <c r="G198" i="5"/>
  <c r="A199" i="5"/>
  <c r="B199" i="5"/>
  <c r="C199" i="5"/>
  <c r="D199" i="5"/>
  <c r="E199" i="5"/>
  <c r="F199" i="5"/>
  <c r="G199" i="5"/>
  <c r="A200" i="5"/>
  <c r="B200" i="5"/>
  <c r="C200" i="5"/>
  <c r="D200" i="5"/>
  <c r="E200" i="5"/>
  <c r="F200" i="5"/>
  <c r="G200" i="5"/>
  <c r="A201" i="5"/>
  <c r="B201" i="5"/>
  <c r="C201" i="5"/>
  <c r="D201" i="5"/>
  <c r="E201" i="5"/>
  <c r="F201" i="5"/>
  <c r="G201" i="5"/>
  <c r="A202" i="5"/>
  <c r="B202" i="5"/>
  <c r="C202" i="5"/>
  <c r="D202" i="5"/>
  <c r="E202" i="5"/>
  <c r="F202" i="5"/>
  <c r="G202" i="5"/>
  <c r="A203" i="5"/>
  <c r="B203" i="5"/>
  <c r="C203" i="5"/>
  <c r="D203" i="5"/>
  <c r="E203" i="5"/>
  <c r="F203" i="5"/>
  <c r="G203" i="5"/>
  <c r="A204" i="5"/>
  <c r="B204" i="5"/>
  <c r="C204" i="5"/>
  <c r="D204" i="5"/>
  <c r="E204" i="5"/>
  <c r="F204" i="5"/>
  <c r="G204" i="5"/>
  <c r="A205" i="5"/>
  <c r="B205" i="5"/>
  <c r="C205" i="5"/>
  <c r="D205" i="5"/>
  <c r="E205" i="5"/>
  <c r="F205" i="5"/>
  <c r="G205" i="5"/>
  <c r="A206" i="5"/>
  <c r="B206" i="5"/>
  <c r="C206" i="5"/>
  <c r="D206" i="5"/>
  <c r="E206" i="5"/>
  <c r="F206" i="5"/>
  <c r="G206" i="5"/>
  <c r="A207" i="5"/>
  <c r="B207" i="5"/>
  <c r="C207" i="5"/>
  <c r="D207" i="5"/>
  <c r="E207" i="5"/>
  <c r="F207" i="5"/>
  <c r="G207" i="5"/>
  <c r="A208" i="5"/>
  <c r="B208" i="5"/>
  <c r="C208" i="5"/>
  <c r="D208" i="5"/>
  <c r="E208" i="5"/>
  <c r="F208" i="5"/>
  <c r="G208" i="5"/>
  <c r="A209" i="5"/>
  <c r="B209" i="5"/>
  <c r="C209" i="5"/>
  <c r="D209" i="5"/>
  <c r="E209" i="5"/>
  <c r="F209" i="5"/>
  <c r="G209" i="5"/>
  <c r="A210" i="5"/>
  <c r="B210" i="5"/>
  <c r="C210" i="5"/>
  <c r="D210" i="5"/>
  <c r="E210" i="5"/>
  <c r="F210" i="5"/>
  <c r="G210" i="5"/>
  <c r="A211" i="5"/>
  <c r="B211" i="5"/>
  <c r="C211" i="5"/>
  <c r="D211" i="5"/>
  <c r="E211" i="5"/>
  <c r="F211" i="5"/>
  <c r="G211" i="5"/>
  <c r="A212" i="5"/>
  <c r="B212" i="5"/>
  <c r="C212" i="5"/>
  <c r="D212" i="5"/>
  <c r="E212" i="5"/>
  <c r="F212" i="5"/>
  <c r="G212" i="5"/>
  <c r="A213" i="5"/>
  <c r="B213" i="5"/>
  <c r="C213" i="5"/>
  <c r="D213" i="5"/>
  <c r="E213" i="5"/>
  <c r="F213" i="5"/>
  <c r="G213" i="5"/>
  <c r="A214" i="5"/>
  <c r="B214" i="5"/>
  <c r="C214" i="5"/>
  <c r="D214" i="5"/>
  <c r="E214" i="5"/>
  <c r="F214" i="5"/>
  <c r="G214" i="5"/>
  <c r="A215" i="5"/>
  <c r="B215" i="5"/>
  <c r="C215" i="5"/>
  <c r="D215" i="5"/>
  <c r="E215" i="5"/>
  <c r="F215" i="5"/>
  <c r="G215" i="5"/>
  <c r="A216" i="5"/>
  <c r="B216" i="5"/>
  <c r="C216" i="5"/>
  <c r="D216" i="5"/>
  <c r="E216" i="5"/>
  <c r="F216" i="5"/>
  <c r="G216" i="5"/>
  <c r="A217" i="5"/>
  <c r="B217" i="5"/>
  <c r="C217" i="5"/>
  <c r="D217" i="5"/>
  <c r="E217" i="5"/>
  <c r="F217" i="5"/>
  <c r="G217" i="5"/>
  <c r="A218" i="5"/>
  <c r="B218" i="5"/>
  <c r="C218" i="5"/>
  <c r="D218" i="5"/>
  <c r="E218" i="5"/>
  <c r="F218" i="5"/>
  <c r="G218" i="5"/>
  <c r="A219" i="5"/>
  <c r="B219" i="5"/>
  <c r="C219" i="5"/>
  <c r="D219" i="5"/>
  <c r="E219" i="5"/>
  <c r="F219" i="5"/>
  <c r="G219" i="5"/>
  <c r="A220" i="5"/>
  <c r="B220" i="5"/>
  <c r="C220" i="5"/>
  <c r="D220" i="5"/>
  <c r="E220" i="5"/>
  <c r="F220" i="5"/>
  <c r="G220" i="5"/>
  <c r="A221" i="5"/>
  <c r="B221" i="5"/>
  <c r="C221" i="5"/>
  <c r="D221" i="5"/>
  <c r="E221" i="5"/>
  <c r="F221" i="5"/>
  <c r="G221" i="5"/>
  <c r="A222" i="5"/>
  <c r="B222" i="5"/>
  <c r="C222" i="5"/>
  <c r="D222" i="5"/>
  <c r="E222" i="5"/>
  <c r="F222" i="5"/>
  <c r="G222" i="5"/>
  <c r="A223" i="5"/>
  <c r="B223" i="5"/>
  <c r="C223" i="5"/>
  <c r="D223" i="5"/>
  <c r="E223" i="5"/>
  <c r="F223" i="5"/>
  <c r="G223" i="5"/>
  <c r="A224" i="5"/>
  <c r="B224" i="5"/>
  <c r="C224" i="5"/>
  <c r="D224" i="5"/>
  <c r="E224" i="5"/>
  <c r="F224" i="5"/>
  <c r="G224" i="5"/>
  <c r="A225" i="5"/>
  <c r="B225" i="5"/>
  <c r="C225" i="5"/>
  <c r="D225" i="5"/>
  <c r="E225" i="5"/>
  <c r="F225" i="5"/>
  <c r="G225" i="5"/>
  <c r="A226" i="5"/>
  <c r="B226" i="5"/>
  <c r="C226" i="5"/>
  <c r="D226" i="5"/>
  <c r="E226" i="5"/>
  <c r="F226" i="5"/>
  <c r="G226" i="5"/>
  <c r="A227" i="5"/>
  <c r="B227" i="5"/>
  <c r="C227" i="5"/>
  <c r="D227" i="5"/>
  <c r="E227" i="5"/>
  <c r="F227" i="5"/>
  <c r="G227" i="5"/>
  <c r="A228" i="5"/>
  <c r="B228" i="5"/>
  <c r="C228" i="5"/>
  <c r="D228" i="5"/>
  <c r="E228" i="5"/>
  <c r="F228" i="5"/>
  <c r="G228" i="5"/>
  <c r="A229" i="5"/>
  <c r="B229" i="5"/>
  <c r="C229" i="5"/>
  <c r="D229" i="5"/>
  <c r="E229" i="5"/>
  <c r="F229" i="5"/>
  <c r="G229" i="5"/>
  <c r="A230" i="5"/>
  <c r="B230" i="5"/>
  <c r="C230" i="5"/>
  <c r="D230" i="5"/>
  <c r="E230" i="5"/>
  <c r="F230" i="5"/>
  <c r="G230" i="5"/>
  <c r="A231" i="5"/>
  <c r="B231" i="5"/>
  <c r="C231" i="5"/>
  <c r="D231" i="5"/>
  <c r="E231" i="5"/>
  <c r="F231" i="5"/>
  <c r="G231" i="5"/>
  <c r="A232" i="5"/>
  <c r="B232" i="5"/>
  <c r="C232" i="5"/>
  <c r="D232" i="5"/>
  <c r="E232" i="5"/>
  <c r="F232" i="5"/>
  <c r="G232" i="5"/>
  <c r="A233" i="5"/>
  <c r="B233" i="5"/>
  <c r="C233" i="5"/>
  <c r="D233" i="5"/>
  <c r="E233" i="5"/>
  <c r="F233" i="5"/>
  <c r="G233" i="5"/>
  <c r="A234" i="5"/>
  <c r="B234" i="5"/>
  <c r="C234" i="5"/>
  <c r="D234" i="5"/>
  <c r="E234" i="5"/>
  <c r="F234" i="5"/>
  <c r="G234" i="5"/>
  <c r="A235" i="5"/>
  <c r="B235" i="5"/>
  <c r="C235" i="5"/>
  <c r="D235" i="5"/>
  <c r="E235" i="5"/>
  <c r="F235" i="5"/>
  <c r="G235" i="5"/>
  <c r="A236" i="5"/>
  <c r="B236" i="5"/>
  <c r="C236" i="5"/>
  <c r="D236" i="5"/>
  <c r="E236" i="5"/>
  <c r="F236" i="5"/>
  <c r="G236" i="5"/>
  <c r="A237" i="5"/>
  <c r="B237" i="5"/>
  <c r="C237" i="5"/>
  <c r="D237" i="5"/>
  <c r="E237" i="5"/>
  <c r="F237" i="5"/>
  <c r="G237" i="5"/>
  <c r="A238" i="5"/>
  <c r="B238" i="5"/>
  <c r="C238" i="5"/>
  <c r="D238" i="5"/>
  <c r="E238" i="5"/>
  <c r="F238" i="5"/>
  <c r="G238" i="5"/>
  <c r="A239" i="5"/>
  <c r="B239" i="5"/>
  <c r="C239" i="5"/>
  <c r="D239" i="5"/>
  <c r="E239" i="5"/>
  <c r="F239" i="5"/>
  <c r="G239" i="5"/>
  <c r="A240" i="5"/>
  <c r="B240" i="5"/>
  <c r="C240" i="5"/>
  <c r="D240" i="5"/>
  <c r="E240" i="5"/>
  <c r="F240" i="5"/>
  <c r="G240" i="5"/>
  <c r="A241" i="5"/>
  <c r="B241" i="5"/>
  <c r="C241" i="5"/>
  <c r="D241" i="5"/>
  <c r="E241" i="5"/>
  <c r="F241" i="5"/>
  <c r="G241" i="5"/>
  <c r="A242" i="5"/>
  <c r="B242" i="5"/>
  <c r="C242" i="5"/>
  <c r="D242" i="5"/>
  <c r="E242" i="5"/>
  <c r="F242" i="5"/>
  <c r="G242" i="5"/>
  <c r="A243" i="5"/>
  <c r="B243" i="5"/>
  <c r="C243" i="5"/>
  <c r="D243" i="5"/>
  <c r="E243" i="5"/>
  <c r="F243" i="5"/>
  <c r="G243" i="5"/>
  <c r="A244" i="5"/>
  <c r="B244" i="5"/>
  <c r="C244" i="5"/>
  <c r="D244" i="5"/>
  <c r="E244" i="5"/>
  <c r="F244" i="5"/>
  <c r="G244" i="5"/>
  <c r="A245" i="5"/>
  <c r="B245" i="5"/>
  <c r="C245" i="5"/>
  <c r="D245" i="5"/>
  <c r="E245" i="5"/>
  <c r="F245" i="5"/>
  <c r="G245" i="5"/>
  <c r="A246" i="5"/>
  <c r="B246" i="5"/>
  <c r="C246" i="5"/>
  <c r="D246" i="5"/>
  <c r="E246" i="5"/>
  <c r="F246" i="5"/>
  <c r="G246" i="5"/>
  <c r="A247" i="5"/>
  <c r="B247" i="5"/>
  <c r="C247" i="5"/>
  <c r="D247" i="5"/>
  <c r="E247" i="5"/>
  <c r="F247" i="5"/>
  <c r="G247" i="5"/>
  <c r="A248" i="5"/>
  <c r="B248" i="5"/>
  <c r="C248" i="5"/>
  <c r="D248" i="5"/>
  <c r="E248" i="5"/>
  <c r="F248" i="5"/>
  <c r="G248" i="5"/>
  <c r="A249" i="5"/>
  <c r="B249" i="5"/>
  <c r="C249" i="5"/>
  <c r="D249" i="5"/>
  <c r="E249" i="5"/>
  <c r="F249" i="5"/>
  <c r="G249" i="5"/>
  <c r="A250" i="5"/>
  <c r="B250" i="5"/>
  <c r="C250" i="5"/>
  <c r="D250" i="5"/>
  <c r="E250" i="5"/>
  <c r="F250" i="5"/>
  <c r="G250" i="5"/>
  <c r="A251" i="5"/>
  <c r="B251" i="5"/>
  <c r="C251" i="5"/>
  <c r="D251" i="5"/>
  <c r="E251" i="5"/>
  <c r="F251" i="5"/>
  <c r="G251" i="5"/>
  <c r="A252" i="5"/>
  <c r="B252" i="5"/>
  <c r="C252" i="5"/>
  <c r="D252" i="5"/>
  <c r="E252" i="5"/>
  <c r="F252" i="5"/>
  <c r="G252" i="5"/>
  <c r="A253" i="5"/>
  <c r="B253" i="5"/>
  <c r="C253" i="5"/>
  <c r="D253" i="5"/>
  <c r="E253" i="5"/>
  <c r="F253" i="5"/>
  <c r="G253" i="5"/>
  <c r="A254" i="5"/>
  <c r="B254" i="5"/>
  <c r="C254" i="5"/>
  <c r="D254" i="5"/>
  <c r="E254" i="5"/>
  <c r="F254" i="5"/>
  <c r="G254" i="5"/>
  <c r="A255" i="5"/>
  <c r="B255" i="5"/>
  <c r="C255" i="5"/>
  <c r="D255" i="5"/>
  <c r="E255" i="5"/>
  <c r="F255" i="5"/>
  <c r="G255" i="5"/>
  <c r="A256" i="5"/>
  <c r="B256" i="5"/>
  <c r="C256" i="5"/>
  <c r="D256" i="5"/>
  <c r="E256" i="5"/>
  <c r="F256" i="5"/>
  <c r="G256" i="5"/>
  <c r="A257" i="5"/>
  <c r="B257" i="5"/>
  <c r="C257" i="5"/>
  <c r="D257" i="5"/>
  <c r="E257" i="5"/>
  <c r="F257" i="5"/>
  <c r="G257" i="5"/>
  <c r="A258" i="5"/>
  <c r="B258" i="5"/>
  <c r="C258" i="5"/>
  <c r="D258" i="5"/>
  <c r="E258" i="5"/>
  <c r="F258" i="5"/>
  <c r="G258" i="5"/>
  <c r="A259" i="5"/>
  <c r="B259" i="5"/>
  <c r="C259" i="5"/>
  <c r="D259" i="5"/>
  <c r="E259" i="5"/>
  <c r="F259" i="5"/>
  <c r="G259" i="5"/>
  <c r="A260" i="5"/>
  <c r="B260" i="5"/>
  <c r="C260" i="5"/>
  <c r="D260" i="5"/>
  <c r="E260" i="5"/>
  <c r="F260" i="5"/>
  <c r="G260" i="5"/>
  <c r="A261" i="5"/>
  <c r="B261" i="5"/>
  <c r="C261" i="5"/>
  <c r="D261" i="5"/>
  <c r="E261" i="5"/>
  <c r="F261" i="5"/>
  <c r="G261" i="5"/>
  <c r="A262" i="5"/>
  <c r="B262" i="5"/>
  <c r="C262" i="5"/>
  <c r="D262" i="5"/>
  <c r="E262" i="5"/>
  <c r="F262" i="5"/>
  <c r="G262" i="5"/>
  <c r="A263" i="5"/>
  <c r="B263" i="5"/>
  <c r="C263" i="5"/>
  <c r="D263" i="5"/>
  <c r="E263" i="5"/>
  <c r="F263" i="5"/>
  <c r="G263" i="5"/>
  <c r="A264" i="5"/>
  <c r="B264" i="5"/>
  <c r="C264" i="5"/>
  <c r="D264" i="5"/>
  <c r="E264" i="5"/>
  <c r="F264" i="5"/>
  <c r="G264" i="5"/>
  <c r="A265" i="5"/>
  <c r="B265" i="5"/>
  <c r="C265" i="5"/>
  <c r="D265" i="5"/>
  <c r="E265" i="5"/>
  <c r="F265" i="5"/>
  <c r="G265" i="5"/>
  <c r="A266" i="5"/>
  <c r="B266" i="5"/>
  <c r="C266" i="5"/>
  <c r="D266" i="5"/>
  <c r="E266" i="5"/>
  <c r="F266" i="5"/>
  <c r="G266" i="5"/>
  <c r="A267" i="5"/>
  <c r="B267" i="5"/>
  <c r="C267" i="5"/>
  <c r="D267" i="5"/>
  <c r="E267" i="5"/>
  <c r="F267" i="5"/>
  <c r="G267" i="5"/>
  <c r="A268" i="5"/>
  <c r="B268" i="5"/>
  <c r="C268" i="5"/>
  <c r="D268" i="5"/>
  <c r="E268" i="5"/>
  <c r="F268" i="5"/>
  <c r="G268" i="5"/>
  <c r="A269" i="5"/>
  <c r="B269" i="5"/>
  <c r="C269" i="5"/>
  <c r="D269" i="5"/>
  <c r="E269" i="5"/>
  <c r="F269" i="5"/>
  <c r="G269" i="5"/>
  <c r="A270" i="5"/>
  <c r="B270" i="5"/>
  <c r="C270" i="5"/>
  <c r="D270" i="5"/>
  <c r="E270" i="5"/>
  <c r="F270" i="5"/>
  <c r="G270" i="5"/>
  <c r="A271" i="5"/>
  <c r="B271" i="5"/>
  <c r="C271" i="5"/>
  <c r="D271" i="5"/>
  <c r="E271" i="5"/>
  <c r="F271" i="5"/>
  <c r="G271" i="5"/>
  <c r="A272" i="5"/>
  <c r="B272" i="5"/>
  <c r="C272" i="5"/>
  <c r="D272" i="5"/>
  <c r="E272" i="5"/>
  <c r="F272" i="5"/>
  <c r="G272" i="5"/>
  <c r="A273" i="5"/>
  <c r="B273" i="5"/>
  <c r="C273" i="5"/>
  <c r="D273" i="5"/>
  <c r="E273" i="5"/>
  <c r="F273" i="5"/>
  <c r="G273" i="5"/>
  <c r="A274" i="5"/>
  <c r="B274" i="5"/>
  <c r="C274" i="5"/>
  <c r="D274" i="5"/>
  <c r="E274" i="5"/>
  <c r="F274" i="5"/>
  <c r="G274" i="5"/>
  <c r="A275" i="5"/>
  <c r="B275" i="5"/>
  <c r="C275" i="5"/>
  <c r="D275" i="5"/>
  <c r="E275" i="5"/>
  <c r="F275" i="5"/>
  <c r="G275" i="5"/>
  <c r="A276" i="5"/>
  <c r="B276" i="5"/>
  <c r="C276" i="5"/>
  <c r="D276" i="5"/>
  <c r="E276" i="5"/>
  <c r="F276" i="5"/>
  <c r="G276" i="5"/>
  <c r="A277" i="5"/>
  <c r="B277" i="5"/>
  <c r="C277" i="5"/>
  <c r="D277" i="5"/>
  <c r="E277" i="5"/>
  <c r="F277" i="5"/>
  <c r="G277" i="5"/>
  <c r="A278" i="5"/>
  <c r="B278" i="5"/>
  <c r="C278" i="5"/>
  <c r="D278" i="5"/>
  <c r="E278" i="5"/>
  <c r="F278" i="5"/>
  <c r="G278" i="5"/>
  <c r="A279" i="5"/>
  <c r="B279" i="5"/>
  <c r="C279" i="5"/>
  <c r="D279" i="5"/>
  <c r="E279" i="5"/>
  <c r="F279" i="5"/>
  <c r="G279" i="5"/>
  <c r="A280" i="5"/>
  <c r="B280" i="5"/>
  <c r="C280" i="5"/>
  <c r="D280" i="5"/>
  <c r="E280" i="5"/>
  <c r="F280" i="5"/>
  <c r="G280" i="5"/>
  <c r="A281" i="5"/>
  <c r="B281" i="5"/>
  <c r="C281" i="5"/>
  <c r="D281" i="5"/>
  <c r="E281" i="5"/>
  <c r="F281" i="5"/>
  <c r="G281" i="5"/>
  <c r="A282" i="5"/>
  <c r="B282" i="5"/>
  <c r="C282" i="5"/>
  <c r="D282" i="5"/>
  <c r="E282" i="5"/>
  <c r="F282" i="5"/>
  <c r="G282" i="5"/>
  <c r="A283" i="5"/>
  <c r="B283" i="5"/>
  <c r="C283" i="5"/>
  <c r="D283" i="5"/>
  <c r="E283" i="5"/>
  <c r="F283" i="5"/>
  <c r="G283" i="5"/>
  <c r="A284" i="5"/>
  <c r="B284" i="5"/>
  <c r="C284" i="5"/>
  <c r="D284" i="5"/>
  <c r="E284" i="5"/>
  <c r="F284" i="5"/>
  <c r="G284" i="5"/>
  <c r="A285" i="5"/>
  <c r="B285" i="5"/>
  <c r="C285" i="5"/>
  <c r="D285" i="5"/>
  <c r="E285" i="5"/>
  <c r="F285" i="5"/>
  <c r="G285" i="5"/>
  <c r="A286" i="5"/>
  <c r="B286" i="5"/>
  <c r="C286" i="5"/>
  <c r="D286" i="5"/>
  <c r="E286" i="5"/>
  <c r="F286" i="5"/>
  <c r="G286" i="5"/>
  <c r="A287" i="5"/>
  <c r="B287" i="5"/>
  <c r="C287" i="5"/>
  <c r="D287" i="5"/>
  <c r="E287" i="5"/>
  <c r="F287" i="5"/>
  <c r="G287" i="5"/>
  <c r="A288" i="5"/>
  <c r="B288" i="5"/>
  <c r="C288" i="5"/>
  <c r="D288" i="5"/>
  <c r="E288" i="5"/>
  <c r="F288" i="5"/>
  <c r="G288" i="5"/>
  <c r="A289" i="5"/>
  <c r="B289" i="5"/>
  <c r="C289" i="5"/>
  <c r="D289" i="5"/>
  <c r="E289" i="5"/>
  <c r="F289" i="5"/>
  <c r="G289" i="5"/>
  <c r="A290" i="5"/>
  <c r="B290" i="5"/>
  <c r="C290" i="5"/>
  <c r="D290" i="5"/>
  <c r="E290" i="5"/>
  <c r="F290" i="5"/>
  <c r="G290" i="5"/>
  <c r="A291" i="5"/>
  <c r="B291" i="5"/>
  <c r="C291" i="5"/>
  <c r="D291" i="5"/>
  <c r="E291" i="5"/>
  <c r="F291" i="5"/>
  <c r="G291" i="5"/>
  <c r="A292" i="5"/>
  <c r="B292" i="5"/>
  <c r="C292" i="5"/>
  <c r="D292" i="5"/>
  <c r="E292" i="5"/>
  <c r="F292" i="5"/>
  <c r="G292" i="5"/>
  <c r="A293" i="5"/>
  <c r="B293" i="5"/>
  <c r="C293" i="5"/>
  <c r="D293" i="5"/>
  <c r="E293" i="5"/>
  <c r="F293" i="5"/>
  <c r="G293" i="5"/>
  <c r="A294" i="5"/>
  <c r="B294" i="5"/>
  <c r="C294" i="5"/>
  <c r="D294" i="5"/>
  <c r="E294" i="5"/>
  <c r="F294" i="5"/>
  <c r="G294" i="5"/>
  <c r="A295" i="5"/>
  <c r="B295" i="5"/>
  <c r="C295" i="5"/>
  <c r="D295" i="5"/>
  <c r="E295" i="5"/>
  <c r="F295" i="5"/>
  <c r="G295" i="5"/>
  <c r="A296" i="5"/>
  <c r="B296" i="5"/>
  <c r="C296" i="5"/>
  <c r="D296" i="5"/>
  <c r="E296" i="5"/>
  <c r="F296" i="5"/>
  <c r="G296" i="5"/>
  <c r="A297" i="5"/>
  <c r="B297" i="5"/>
  <c r="C297" i="5"/>
  <c r="D297" i="5"/>
  <c r="E297" i="5"/>
  <c r="F297" i="5"/>
  <c r="G297" i="5"/>
  <c r="A298" i="5"/>
  <c r="B298" i="5"/>
  <c r="C298" i="5"/>
  <c r="D298" i="5"/>
  <c r="E298" i="5"/>
  <c r="F298" i="5"/>
  <c r="G298" i="5"/>
  <c r="A299" i="5"/>
  <c r="B299" i="5"/>
  <c r="C299" i="5"/>
  <c r="D299" i="5"/>
  <c r="E299" i="5"/>
  <c r="F299" i="5"/>
  <c r="G299" i="5"/>
  <c r="A300" i="5"/>
  <c r="B300" i="5"/>
  <c r="C300" i="5"/>
  <c r="D300" i="5"/>
  <c r="E300" i="5"/>
  <c r="F300" i="5"/>
  <c r="G300" i="5"/>
  <c r="A301" i="5"/>
  <c r="B301" i="5"/>
  <c r="C301" i="5"/>
  <c r="D301" i="5"/>
  <c r="E301" i="5"/>
  <c r="F301" i="5"/>
  <c r="G301" i="5"/>
  <c r="A302" i="5"/>
  <c r="B302" i="5"/>
  <c r="C302" i="5"/>
  <c r="D302" i="5"/>
  <c r="E302" i="5"/>
  <c r="F302" i="5"/>
  <c r="G302" i="5"/>
  <c r="A303" i="5"/>
  <c r="B303" i="5"/>
  <c r="C303" i="5"/>
  <c r="D303" i="5"/>
  <c r="E303" i="5"/>
  <c r="F303" i="5"/>
  <c r="G303" i="5"/>
  <c r="A304" i="5"/>
  <c r="B304" i="5"/>
  <c r="C304" i="5"/>
  <c r="D304" i="5"/>
  <c r="E304" i="5"/>
  <c r="F304" i="5"/>
  <c r="G304" i="5"/>
  <c r="A305" i="5"/>
  <c r="B305" i="5"/>
  <c r="C305" i="5"/>
  <c r="D305" i="5"/>
  <c r="E305" i="5"/>
  <c r="F305" i="5"/>
  <c r="G305" i="5"/>
  <c r="A306" i="5"/>
  <c r="B306" i="5"/>
  <c r="C306" i="5"/>
  <c r="D306" i="5"/>
  <c r="E306" i="5"/>
  <c r="F306" i="5"/>
  <c r="G306" i="5"/>
  <c r="A307" i="5"/>
  <c r="B307" i="5"/>
  <c r="C307" i="5"/>
  <c r="D307" i="5"/>
  <c r="E307" i="5"/>
  <c r="F307" i="5"/>
  <c r="G307" i="5"/>
  <c r="A308" i="5"/>
  <c r="B308" i="5"/>
  <c r="C308" i="5"/>
  <c r="D308" i="5"/>
  <c r="E308" i="5"/>
  <c r="F308" i="5"/>
  <c r="G308" i="5"/>
  <c r="A309" i="5"/>
  <c r="B309" i="5"/>
  <c r="C309" i="5"/>
  <c r="D309" i="5"/>
  <c r="E309" i="5"/>
  <c r="F309" i="5"/>
  <c r="G309" i="5"/>
  <c r="A310" i="5"/>
  <c r="B310" i="5"/>
  <c r="C310" i="5"/>
  <c r="D310" i="5"/>
  <c r="E310" i="5"/>
  <c r="F310" i="5"/>
  <c r="G310" i="5"/>
  <c r="A311" i="5"/>
  <c r="B311" i="5"/>
  <c r="C311" i="5"/>
  <c r="D311" i="5"/>
  <c r="E311" i="5"/>
  <c r="F311" i="5"/>
  <c r="G311" i="5"/>
  <c r="A312" i="5"/>
  <c r="B312" i="5"/>
  <c r="C312" i="5"/>
  <c r="D312" i="5"/>
  <c r="E312" i="5"/>
  <c r="F312" i="5"/>
  <c r="G312" i="5"/>
  <c r="A313" i="5"/>
  <c r="B313" i="5"/>
  <c r="C313" i="5"/>
  <c r="D313" i="5"/>
  <c r="E313" i="5"/>
  <c r="F313" i="5"/>
  <c r="G313" i="5"/>
  <c r="A314" i="5"/>
  <c r="B314" i="5"/>
  <c r="C314" i="5"/>
  <c r="D314" i="5"/>
  <c r="E314" i="5"/>
  <c r="F314" i="5"/>
  <c r="G314" i="5"/>
  <c r="A315" i="5"/>
  <c r="B315" i="5"/>
  <c r="C315" i="5"/>
  <c r="D315" i="5"/>
  <c r="E315" i="5"/>
  <c r="F315" i="5"/>
  <c r="G315" i="5"/>
  <c r="A316" i="5"/>
  <c r="B316" i="5"/>
  <c r="C316" i="5"/>
  <c r="D316" i="5"/>
  <c r="E316" i="5"/>
  <c r="F316" i="5"/>
  <c r="G316" i="5"/>
  <c r="A317" i="5"/>
  <c r="B317" i="5"/>
  <c r="C317" i="5"/>
  <c r="D317" i="5"/>
  <c r="E317" i="5"/>
  <c r="F317" i="5"/>
  <c r="G317" i="5"/>
  <c r="A318" i="5"/>
  <c r="B318" i="5"/>
  <c r="C318" i="5"/>
  <c r="D318" i="5"/>
  <c r="E318" i="5"/>
  <c r="F318" i="5"/>
  <c r="G318" i="5"/>
  <c r="A319" i="5"/>
  <c r="B319" i="5"/>
  <c r="C319" i="5"/>
  <c r="D319" i="5"/>
  <c r="E319" i="5"/>
  <c r="F319" i="5"/>
  <c r="G319" i="5"/>
  <c r="A320" i="5"/>
  <c r="B320" i="5"/>
  <c r="C320" i="5"/>
  <c r="D320" i="5"/>
  <c r="E320" i="5"/>
  <c r="F320" i="5"/>
  <c r="G320" i="5"/>
  <c r="A321" i="5"/>
  <c r="B321" i="5"/>
  <c r="C321" i="5"/>
  <c r="D321" i="5"/>
  <c r="E321" i="5"/>
  <c r="F321" i="5"/>
  <c r="G321" i="5"/>
  <c r="A322" i="5"/>
  <c r="B322" i="5"/>
  <c r="C322" i="5"/>
  <c r="D322" i="5"/>
  <c r="E322" i="5"/>
  <c r="F322" i="5"/>
  <c r="G322" i="5"/>
  <c r="A323" i="5"/>
  <c r="B323" i="5"/>
  <c r="C323" i="5"/>
  <c r="D323" i="5"/>
  <c r="E323" i="5"/>
  <c r="F323" i="5"/>
  <c r="G323" i="5"/>
  <c r="A324" i="5"/>
  <c r="B324" i="5"/>
  <c r="C324" i="5"/>
  <c r="D324" i="5"/>
  <c r="E324" i="5"/>
  <c r="F324" i="5"/>
  <c r="G324" i="5"/>
  <c r="A325" i="5"/>
  <c r="B325" i="5"/>
  <c r="C325" i="5"/>
  <c r="D325" i="5"/>
  <c r="E325" i="5"/>
  <c r="F325" i="5"/>
  <c r="G325" i="5"/>
  <c r="A326" i="5"/>
  <c r="B326" i="5"/>
  <c r="C326" i="5"/>
  <c r="D326" i="5"/>
  <c r="E326" i="5"/>
  <c r="F326" i="5"/>
  <c r="G326" i="5"/>
  <c r="A327" i="5"/>
  <c r="B327" i="5"/>
  <c r="C327" i="5"/>
  <c r="D327" i="5"/>
  <c r="E327" i="5"/>
  <c r="F327" i="5"/>
  <c r="G327" i="5"/>
  <c r="A328" i="5"/>
  <c r="B328" i="5"/>
  <c r="C328" i="5"/>
  <c r="D328" i="5"/>
  <c r="E328" i="5"/>
  <c r="F328" i="5"/>
  <c r="G328" i="5"/>
  <c r="A329" i="5"/>
  <c r="B329" i="5"/>
  <c r="C329" i="5"/>
  <c r="D329" i="5"/>
  <c r="E329" i="5"/>
  <c r="F329" i="5"/>
  <c r="G329" i="5"/>
  <c r="A330" i="5"/>
  <c r="B330" i="5"/>
  <c r="C330" i="5"/>
  <c r="D330" i="5"/>
  <c r="E330" i="5"/>
  <c r="F330" i="5"/>
  <c r="G330" i="5"/>
  <c r="A331" i="5"/>
  <c r="B331" i="5"/>
  <c r="C331" i="5"/>
  <c r="D331" i="5"/>
  <c r="E331" i="5"/>
  <c r="F331" i="5"/>
  <c r="G331" i="5"/>
  <c r="A332" i="5"/>
  <c r="B332" i="5"/>
  <c r="C332" i="5"/>
  <c r="D332" i="5"/>
  <c r="E332" i="5"/>
  <c r="F332" i="5"/>
  <c r="G332" i="5"/>
  <c r="A333" i="5"/>
  <c r="B333" i="5"/>
  <c r="C333" i="5"/>
  <c r="D333" i="5"/>
  <c r="E333" i="5"/>
  <c r="F333" i="5"/>
  <c r="G333" i="5"/>
  <c r="A334" i="5"/>
  <c r="B334" i="5"/>
  <c r="C334" i="5"/>
  <c r="D334" i="5"/>
  <c r="E334" i="5"/>
  <c r="F334" i="5"/>
  <c r="G334" i="5"/>
  <c r="A335" i="5"/>
  <c r="B335" i="5"/>
  <c r="C335" i="5"/>
  <c r="D335" i="5"/>
  <c r="E335" i="5"/>
  <c r="F335" i="5"/>
  <c r="G335" i="5"/>
  <c r="A336" i="5"/>
  <c r="B336" i="5"/>
  <c r="C336" i="5"/>
  <c r="D336" i="5"/>
  <c r="E336" i="5"/>
  <c r="F336" i="5"/>
  <c r="G336" i="5"/>
  <c r="A337" i="5"/>
  <c r="B337" i="5"/>
  <c r="C337" i="5"/>
  <c r="D337" i="5"/>
  <c r="E337" i="5"/>
  <c r="F337" i="5"/>
  <c r="G337" i="5"/>
  <c r="A338" i="5"/>
  <c r="B338" i="5"/>
  <c r="C338" i="5"/>
  <c r="D338" i="5"/>
  <c r="E338" i="5"/>
  <c r="F338" i="5"/>
  <c r="G338" i="5"/>
  <c r="A339" i="5"/>
  <c r="B339" i="5"/>
  <c r="C339" i="5"/>
  <c r="D339" i="5"/>
  <c r="E339" i="5"/>
  <c r="F339" i="5"/>
  <c r="G339" i="5"/>
  <c r="A340" i="5"/>
  <c r="B340" i="5"/>
  <c r="C340" i="5"/>
  <c r="D340" i="5"/>
  <c r="E340" i="5"/>
  <c r="F340" i="5"/>
  <c r="G340" i="5"/>
  <c r="A341" i="5"/>
  <c r="B341" i="5"/>
  <c r="C341" i="5"/>
  <c r="D341" i="5"/>
  <c r="E341" i="5"/>
  <c r="F341" i="5"/>
  <c r="G341" i="5"/>
  <c r="A342" i="5"/>
  <c r="B342" i="5"/>
  <c r="C342" i="5"/>
  <c r="D342" i="5"/>
  <c r="E342" i="5"/>
  <c r="F342" i="5"/>
  <c r="G342" i="5"/>
  <c r="A343" i="5"/>
  <c r="B343" i="5"/>
  <c r="C343" i="5"/>
  <c r="D343" i="5"/>
  <c r="E343" i="5"/>
  <c r="F343" i="5"/>
  <c r="G343" i="5"/>
  <c r="A344" i="5"/>
  <c r="B344" i="5"/>
  <c r="C344" i="5"/>
  <c r="D344" i="5"/>
  <c r="E344" i="5"/>
  <c r="F344" i="5"/>
  <c r="G344" i="5"/>
  <c r="A345" i="5"/>
  <c r="B345" i="5"/>
  <c r="C345" i="5"/>
  <c r="D345" i="5"/>
  <c r="E345" i="5"/>
  <c r="F345" i="5"/>
  <c r="G345" i="5"/>
  <c r="A346" i="5"/>
  <c r="B346" i="5"/>
  <c r="C346" i="5"/>
  <c r="D346" i="5"/>
  <c r="E346" i="5"/>
  <c r="F346" i="5"/>
  <c r="G346" i="5"/>
  <c r="A347" i="5"/>
  <c r="B347" i="5"/>
  <c r="C347" i="5"/>
  <c r="D347" i="5"/>
  <c r="E347" i="5"/>
  <c r="F347" i="5"/>
  <c r="G347" i="5"/>
  <c r="A348" i="5"/>
  <c r="B348" i="5"/>
  <c r="C348" i="5"/>
  <c r="D348" i="5"/>
  <c r="E348" i="5"/>
  <c r="F348" i="5"/>
  <c r="G348" i="5"/>
  <c r="A349" i="5"/>
  <c r="B349" i="5"/>
  <c r="C349" i="5"/>
  <c r="D349" i="5"/>
  <c r="E349" i="5"/>
  <c r="F349" i="5"/>
  <c r="G349" i="5"/>
  <c r="A350" i="5"/>
  <c r="B350" i="5"/>
  <c r="C350" i="5"/>
  <c r="D350" i="5"/>
  <c r="E350" i="5"/>
  <c r="F350" i="5"/>
  <c r="G350" i="5"/>
  <c r="A351" i="5"/>
  <c r="B351" i="5"/>
  <c r="C351" i="5"/>
  <c r="D351" i="5"/>
  <c r="E351" i="5"/>
  <c r="F351" i="5"/>
  <c r="G351" i="5"/>
  <c r="A352" i="5"/>
  <c r="B352" i="5"/>
  <c r="C352" i="5"/>
  <c r="D352" i="5"/>
  <c r="E352" i="5"/>
  <c r="F352" i="5"/>
  <c r="G352" i="5"/>
  <c r="A353" i="5"/>
  <c r="B353" i="5"/>
  <c r="C353" i="5"/>
  <c r="D353" i="5"/>
  <c r="E353" i="5"/>
  <c r="F353" i="5"/>
  <c r="G353" i="5"/>
  <c r="A354" i="5"/>
  <c r="B354" i="5"/>
  <c r="C354" i="5"/>
  <c r="D354" i="5"/>
  <c r="E354" i="5"/>
  <c r="F354" i="5"/>
  <c r="G354" i="5"/>
  <c r="A355" i="5"/>
  <c r="B355" i="5"/>
  <c r="C355" i="5"/>
  <c r="D355" i="5"/>
  <c r="E355" i="5"/>
  <c r="F355" i="5"/>
  <c r="G355" i="5"/>
  <c r="A356" i="5"/>
  <c r="B356" i="5"/>
  <c r="C356" i="5"/>
  <c r="D356" i="5"/>
  <c r="E356" i="5"/>
  <c r="F356" i="5"/>
  <c r="G356" i="5"/>
  <c r="A357" i="5"/>
  <c r="B357" i="5"/>
  <c r="C357" i="5"/>
  <c r="D357" i="5"/>
  <c r="E357" i="5"/>
  <c r="F357" i="5"/>
  <c r="G357" i="5"/>
  <c r="A358" i="5"/>
  <c r="B358" i="5"/>
  <c r="C358" i="5"/>
  <c r="D358" i="5"/>
  <c r="E358" i="5"/>
  <c r="F358" i="5"/>
  <c r="G358" i="5"/>
  <c r="A359" i="5"/>
  <c r="B359" i="5"/>
  <c r="C359" i="5"/>
  <c r="D359" i="5"/>
  <c r="E359" i="5"/>
  <c r="F359" i="5"/>
  <c r="G359" i="5"/>
  <c r="A360" i="5"/>
  <c r="B360" i="5"/>
  <c r="C360" i="5"/>
  <c r="D360" i="5"/>
  <c r="E360" i="5"/>
  <c r="F360" i="5"/>
  <c r="G360" i="5"/>
  <c r="A361" i="5"/>
  <c r="B361" i="5"/>
  <c r="C361" i="5"/>
  <c r="D361" i="5"/>
  <c r="E361" i="5"/>
  <c r="F361" i="5"/>
  <c r="G361" i="5"/>
  <c r="A362" i="5"/>
  <c r="B362" i="5"/>
  <c r="C362" i="5"/>
  <c r="D362" i="5"/>
  <c r="E362" i="5"/>
  <c r="F362" i="5"/>
  <c r="G362" i="5"/>
  <c r="A363" i="5"/>
  <c r="B363" i="5"/>
  <c r="C363" i="5"/>
  <c r="D363" i="5"/>
  <c r="E363" i="5"/>
  <c r="F363" i="5"/>
  <c r="G363" i="5"/>
  <c r="A364" i="5"/>
  <c r="B364" i="5"/>
  <c r="C364" i="5"/>
  <c r="D364" i="5"/>
  <c r="E364" i="5"/>
  <c r="F364" i="5"/>
  <c r="G364" i="5"/>
  <c r="A365" i="5"/>
  <c r="B365" i="5"/>
  <c r="C365" i="5"/>
  <c r="D365" i="5"/>
  <c r="E365" i="5"/>
  <c r="F365" i="5"/>
  <c r="G365" i="5"/>
  <c r="A366" i="5"/>
  <c r="B366" i="5"/>
  <c r="C366" i="5"/>
  <c r="D366" i="5"/>
  <c r="E366" i="5"/>
  <c r="F366" i="5"/>
  <c r="G366" i="5"/>
  <c r="A367" i="5"/>
  <c r="B367" i="5"/>
  <c r="C367" i="5"/>
  <c r="D367" i="5"/>
  <c r="E367" i="5"/>
  <c r="F367" i="5"/>
  <c r="G367" i="5"/>
  <c r="A368" i="5"/>
  <c r="B368" i="5"/>
  <c r="C368" i="5"/>
  <c r="D368" i="5"/>
  <c r="E368" i="5"/>
  <c r="F368" i="5"/>
  <c r="G368" i="5"/>
  <c r="A369" i="5"/>
  <c r="B369" i="5"/>
  <c r="C369" i="5"/>
  <c r="D369" i="5"/>
  <c r="E369" i="5"/>
  <c r="F369" i="5"/>
  <c r="G369" i="5"/>
  <c r="A370" i="5"/>
  <c r="B370" i="5"/>
  <c r="C370" i="5"/>
  <c r="D370" i="5"/>
  <c r="E370" i="5"/>
  <c r="F370" i="5"/>
  <c r="G370" i="5"/>
  <c r="A371" i="5"/>
  <c r="B371" i="5"/>
  <c r="C371" i="5"/>
  <c r="D371" i="5"/>
  <c r="E371" i="5"/>
  <c r="F371" i="5"/>
  <c r="G371" i="5"/>
  <c r="A372" i="5"/>
  <c r="B372" i="5"/>
  <c r="C372" i="5"/>
  <c r="D372" i="5"/>
  <c r="E372" i="5"/>
  <c r="F372" i="5"/>
  <c r="G372" i="5"/>
  <c r="A373" i="5"/>
  <c r="B373" i="5"/>
  <c r="C373" i="5"/>
  <c r="D373" i="5"/>
  <c r="E373" i="5"/>
  <c r="F373" i="5"/>
  <c r="G373" i="5"/>
  <c r="A374" i="5"/>
  <c r="B374" i="5"/>
  <c r="C374" i="5"/>
  <c r="D374" i="5"/>
  <c r="E374" i="5"/>
  <c r="F374" i="5"/>
  <c r="G374" i="5"/>
  <c r="A375" i="5"/>
  <c r="B375" i="5"/>
  <c r="C375" i="5"/>
  <c r="D375" i="5"/>
  <c r="E375" i="5"/>
  <c r="F375" i="5"/>
  <c r="G375" i="5"/>
  <c r="A376" i="5"/>
  <c r="B376" i="5"/>
  <c r="C376" i="5"/>
  <c r="D376" i="5"/>
  <c r="E376" i="5"/>
  <c r="F376" i="5"/>
  <c r="G376" i="5"/>
  <c r="A377" i="5"/>
  <c r="B377" i="5"/>
  <c r="C377" i="5"/>
  <c r="D377" i="5"/>
  <c r="E377" i="5"/>
  <c r="F377" i="5"/>
  <c r="G377" i="5"/>
  <c r="A378" i="5"/>
  <c r="B378" i="5"/>
  <c r="C378" i="5"/>
  <c r="D378" i="5"/>
  <c r="E378" i="5"/>
  <c r="F378" i="5"/>
  <c r="G378" i="5"/>
  <c r="A379" i="5"/>
  <c r="B379" i="5"/>
  <c r="C379" i="5"/>
  <c r="D379" i="5"/>
  <c r="E379" i="5"/>
  <c r="F379" i="5"/>
  <c r="G379" i="5"/>
  <c r="A380" i="5"/>
  <c r="B380" i="5"/>
  <c r="C380" i="5"/>
  <c r="D380" i="5"/>
  <c r="E380" i="5"/>
  <c r="F380" i="5"/>
  <c r="G380" i="5"/>
  <c r="A381" i="5"/>
  <c r="B381" i="5"/>
  <c r="C381" i="5"/>
  <c r="D381" i="5"/>
  <c r="E381" i="5"/>
  <c r="F381" i="5"/>
  <c r="G381" i="5"/>
  <c r="A382" i="5"/>
  <c r="B382" i="5"/>
  <c r="C382" i="5"/>
  <c r="D382" i="5"/>
  <c r="E382" i="5"/>
  <c r="F382" i="5"/>
  <c r="G382" i="5"/>
  <c r="A383" i="5"/>
  <c r="B383" i="5"/>
  <c r="C383" i="5"/>
  <c r="D383" i="5"/>
  <c r="E383" i="5"/>
  <c r="F383" i="5"/>
  <c r="G383" i="5"/>
  <c r="A384" i="5"/>
  <c r="B384" i="5"/>
  <c r="C384" i="5"/>
  <c r="D384" i="5"/>
  <c r="E384" i="5"/>
  <c r="F384" i="5"/>
  <c r="G384" i="5"/>
  <c r="A385" i="5"/>
  <c r="B385" i="5"/>
  <c r="C385" i="5"/>
  <c r="D385" i="5"/>
  <c r="E385" i="5"/>
  <c r="F385" i="5"/>
  <c r="G385" i="5"/>
  <c r="A386" i="5"/>
  <c r="B386" i="5"/>
  <c r="C386" i="5"/>
  <c r="D386" i="5"/>
  <c r="E386" i="5"/>
  <c r="F386" i="5"/>
  <c r="G386" i="5"/>
  <c r="A387" i="5"/>
  <c r="B387" i="5"/>
  <c r="C387" i="5"/>
  <c r="D387" i="5"/>
  <c r="E387" i="5"/>
  <c r="F387" i="5"/>
  <c r="G387" i="5"/>
  <c r="A388" i="5"/>
  <c r="B388" i="5"/>
  <c r="C388" i="5"/>
  <c r="D388" i="5"/>
  <c r="E388" i="5"/>
  <c r="F388" i="5"/>
  <c r="G388" i="5"/>
  <c r="A389" i="5"/>
  <c r="B389" i="5"/>
  <c r="C389" i="5"/>
  <c r="D389" i="5"/>
  <c r="E389" i="5"/>
  <c r="F389" i="5"/>
  <c r="G389" i="5"/>
  <c r="A390" i="5"/>
  <c r="B390" i="5"/>
  <c r="C390" i="5"/>
  <c r="D390" i="5"/>
  <c r="E390" i="5"/>
  <c r="F390" i="5"/>
  <c r="G390" i="5"/>
  <c r="A391" i="5"/>
  <c r="B391" i="5"/>
  <c r="C391" i="5"/>
  <c r="D391" i="5"/>
  <c r="E391" i="5"/>
  <c r="F391" i="5"/>
  <c r="G391" i="5"/>
  <c r="A392" i="5"/>
  <c r="B392" i="5"/>
  <c r="C392" i="5"/>
  <c r="D392" i="5"/>
  <c r="E392" i="5"/>
  <c r="F392" i="5"/>
  <c r="G392" i="5"/>
  <c r="A393" i="5"/>
  <c r="B393" i="5"/>
  <c r="C393" i="5"/>
  <c r="D393" i="5"/>
  <c r="E393" i="5"/>
  <c r="F393" i="5"/>
  <c r="G393" i="5"/>
  <c r="A394" i="5"/>
  <c r="B394" i="5"/>
  <c r="C394" i="5"/>
  <c r="D394" i="5"/>
  <c r="E394" i="5"/>
  <c r="F394" i="5"/>
  <c r="G394" i="5"/>
  <c r="A395" i="5"/>
  <c r="B395" i="5"/>
  <c r="C395" i="5"/>
  <c r="D395" i="5"/>
  <c r="E395" i="5"/>
  <c r="F395" i="5"/>
  <c r="G395" i="5"/>
  <c r="A396" i="5"/>
  <c r="B396" i="5"/>
  <c r="C396" i="5"/>
  <c r="D396" i="5"/>
  <c r="E396" i="5"/>
  <c r="F396" i="5"/>
  <c r="G396" i="5"/>
  <c r="A397" i="5"/>
  <c r="B397" i="5"/>
  <c r="C397" i="5"/>
  <c r="D397" i="5"/>
  <c r="E397" i="5"/>
  <c r="F397" i="5"/>
  <c r="G397" i="5"/>
  <c r="A398" i="5"/>
  <c r="B398" i="5"/>
  <c r="C398" i="5"/>
  <c r="D398" i="5"/>
  <c r="E398" i="5"/>
  <c r="F398" i="5"/>
  <c r="G398" i="5"/>
  <c r="A399" i="5"/>
  <c r="B399" i="5"/>
  <c r="C399" i="5"/>
  <c r="D399" i="5"/>
  <c r="E399" i="5"/>
  <c r="F399" i="5"/>
  <c r="G399" i="5"/>
  <c r="A400" i="5"/>
  <c r="B400" i="5"/>
  <c r="C400" i="5"/>
  <c r="D400" i="5"/>
  <c r="E400" i="5"/>
  <c r="F400" i="5"/>
  <c r="G400" i="5"/>
  <c r="A401" i="5"/>
  <c r="B401" i="5"/>
  <c r="C401" i="5"/>
  <c r="D401" i="5"/>
  <c r="E401" i="5"/>
  <c r="F401" i="5"/>
  <c r="G401" i="5"/>
  <c r="A402" i="5"/>
  <c r="B402" i="5"/>
  <c r="C402" i="5"/>
  <c r="D402" i="5"/>
  <c r="E402" i="5"/>
  <c r="F402" i="5"/>
  <c r="G402" i="5"/>
  <c r="A403" i="5"/>
  <c r="B403" i="5"/>
  <c r="C403" i="5"/>
  <c r="D403" i="5"/>
  <c r="E403" i="5"/>
  <c r="F403" i="5"/>
  <c r="G403" i="5"/>
  <c r="A404" i="5"/>
  <c r="B404" i="5"/>
  <c r="C404" i="5"/>
  <c r="D404" i="5"/>
  <c r="E404" i="5"/>
  <c r="F404" i="5"/>
  <c r="G404" i="5"/>
  <c r="A405" i="5"/>
  <c r="B405" i="5"/>
  <c r="C405" i="5"/>
  <c r="D405" i="5"/>
  <c r="E405" i="5"/>
  <c r="F405" i="5"/>
  <c r="G405" i="5"/>
  <c r="A406" i="5"/>
  <c r="B406" i="5"/>
  <c r="C406" i="5"/>
  <c r="D406" i="5"/>
  <c r="E406" i="5"/>
  <c r="F406" i="5"/>
  <c r="G406" i="5"/>
  <c r="A407" i="5"/>
  <c r="B407" i="5"/>
  <c r="C407" i="5"/>
  <c r="D407" i="5"/>
  <c r="E407" i="5"/>
  <c r="F407" i="5"/>
  <c r="G407" i="5"/>
  <c r="A408" i="5"/>
  <c r="B408" i="5"/>
  <c r="C408" i="5"/>
  <c r="D408" i="5"/>
  <c r="E408" i="5"/>
  <c r="F408" i="5"/>
  <c r="G408" i="5"/>
  <c r="A409" i="5"/>
  <c r="B409" i="5"/>
  <c r="C409" i="5"/>
  <c r="D409" i="5"/>
  <c r="E409" i="5"/>
  <c r="F409" i="5"/>
  <c r="G409" i="5"/>
  <c r="A410" i="5"/>
  <c r="B410" i="5"/>
  <c r="C410" i="5"/>
  <c r="D410" i="5"/>
  <c r="E410" i="5"/>
  <c r="F410" i="5"/>
  <c r="G410" i="5"/>
  <c r="A411" i="5"/>
  <c r="B411" i="5"/>
  <c r="C411" i="5"/>
  <c r="D411" i="5"/>
  <c r="E411" i="5"/>
  <c r="F411" i="5"/>
  <c r="G411" i="5"/>
  <c r="A412" i="5"/>
  <c r="B412" i="5"/>
  <c r="C412" i="5"/>
  <c r="D412" i="5"/>
  <c r="E412" i="5"/>
  <c r="F412" i="5"/>
  <c r="G412" i="5"/>
  <c r="A413" i="5"/>
  <c r="B413" i="5"/>
  <c r="C413" i="5"/>
  <c r="D413" i="5"/>
  <c r="E413" i="5"/>
  <c r="F413" i="5"/>
  <c r="G413" i="5"/>
  <c r="A414" i="5"/>
  <c r="B414" i="5"/>
  <c r="C414" i="5"/>
  <c r="D414" i="5"/>
  <c r="E414" i="5"/>
  <c r="F414" i="5"/>
  <c r="G414" i="5"/>
  <c r="A415" i="5"/>
  <c r="B415" i="5"/>
  <c r="C415" i="5"/>
  <c r="D415" i="5"/>
  <c r="E415" i="5"/>
  <c r="F415" i="5"/>
  <c r="G415" i="5"/>
  <c r="A416" i="5"/>
  <c r="B416" i="5"/>
  <c r="C416" i="5"/>
  <c r="D416" i="5"/>
  <c r="E416" i="5"/>
  <c r="F416" i="5"/>
  <c r="G416" i="5"/>
  <c r="A417" i="5"/>
  <c r="B417" i="5"/>
  <c r="C417" i="5"/>
  <c r="D417" i="5"/>
  <c r="E417" i="5"/>
  <c r="F417" i="5"/>
  <c r="G417" i="5"/>
  <c r="A418" i="5"/>
  <c r="B418" i="5"/>
  <c r="C418" i="5"/>
  <c r="D418" i="5"/>
  <c r="E418" i="5"/>
  <c r="F418" i="5"/>
  <c r="G418" i="5"/>
  <c r="A419" i="5"/>
  <c r="B419" i="5"/>
  <c r="C419" i="5"/>
  <c r="D419" i="5"/>
  <c r="E419" i="5"/>
  <c r="F419" i="5"/>
  <c r="G419" i="5"/>
  <c r="A420" i="5"/>
  <c r="B420" i="5"/>
  <c r="C420" i="5"/>
  <c r="D420" i="5"/>
  <c r="E420" i="5"/>
  <c r="F420" i="5"/>
  <c r="G420" i="5"/>
  <c r="A421" i="5"/>
  <c r="B421" i="5"/>
  <c r="C421" i="5"/>
  <c r="D421" i="5"/>
  <c r="E421" i="5"/>
  <c r="F421" i="5"/>
  <c r="G421" i="5"/>
  <c r="A422" i="5"/>
  <c r="B422" i="5"/>
  <c r="C422" i="5"/>
  <c r="D422" i="5"/>
  <c r="E422" i="5"/>
  <c r="F422" i="5"/>
  <c r="G422" i="5"/>
  <c r="A423" i="5"/>
  <c r="B423" i="5"/>
  <c r="C423" i="5"/>
  <c r="D423" i="5"/>
  <c r="E423" i="5"/>
  <c r="F423" i="5"/>
  <c r="G423" i="5"/>
  <c r="A424" i="5"/>
  <c r="B424" i="5"/>
  <c r="C424" i="5"/>
  <c r="D424" i="5"/>
  <c r="E424" i="5"/>
  <c r="F424" i="5"/>
  <c r="G424" i="5"/>
  <c r="A425" i="5"/>
  <c r="B425" i="5"/>
  <c r="C425" i="5"/>
  <c r="D425" i="5"/>
  <c r="E425" i="5"/>
  <c r="F425" i="5"/>
  <c r="G425" i="5"/>
  <c r="A426" i="5"/>
  <c r="B426" i="5"/>
  <c r="C426" i="5"/>
  <c r="D426" i="5"/>
  <c r="E426" i="5"/>
  <c r="F426" i="5"/>
  <c r="G426" i="5"/>
  <c r="A427" i="5"/>
  <c r="B427" i="5"/>
  <c r="C427" i="5"/>
  <c r="D427" i="5"/>
  <c r="E427" i="5"/>
  <c r="F427" i="5"/>
  <c r="G427" i="5"/>
  <c r="A428" i="5"/>
  <c r="B428" i="5"/>
  <c r="C428" i="5"/>
  <c r="D428" i="5"/>
  <c r="E428" i="5"/>
  <c r="F428" i="5"/>
  <c r="G428" i="5"/>
  <c r="A429" i="5"/>
  <c r="B429" i="5"/>
  <c r="C429" i="5"/>
  <c r="D429" i="5"/>
  <c r="E429" i="5"/>
  <c r="F429" i="5"/>
  <c r="G429" i="5"/>
  <c r="A430" i="5"/>
  <c r="B430" i="5"/>
  <c r="C430" i="5"/>
  <c r="D430" i="5"/>
  <c r="E430" i="5"/>
  <c r="F430" i="5"/>
  <c r="G430" i="5"/>
  <c r="A431" i="5"/>
  <c r="B431" i="5"/>
  <c r="C431" i="5"/>
  <c r="D431" i="5"/>
  <c r="E431" i="5"/>
  <c r="F431" i="5"/>
  <c r="G431" i="5"/>
  <c r="A432" i="5"/>
  <c r="B432" i="5"/>
  <c r="C432" i="5"/>
  <c r="D432" i="5"/>
  <c r="E432" i="5"/>
  <c r="F432" i="5"/>
  <c r="G432" i="5"/>
  <c r="A433" i="5"/>
  <c r="B433" i="5"/>
  <c r="C433" i="5"/>
  <c r="D433" i="5"/>
  <c r="E433" i="5"/>
  <c r="F433" i="5"/>
  <c r="G433" i="5"/>
  <c r="A434" i="5"/>
  <c r="B434" i="5"/>
  <c r="C434" i="5"/>
  <c r="D434" i="5"/>
  <c r="E434" i="5"/>
  <c r="F434" i="5"/>
  <c r="G434" i="5"/>
  <c r="A435" i="5"/>
  <c r="B435" i="5"/>
  <c r="C435" i="5"/>
  <c r="D435" i="5"/>
  <c r="E435" i="5"/>
  <c r="F435" i="5"/>
  <c r="G435" i="5"/>
  <c r="A436" i="5"/>
  <c r="B436" i="5"/>
  <c r="C436" i="5"/>
  <c r="D436" i="5"/>
  <c r="E436" i="5"/>
  <c r="F436" i="5"/>
  <c r="G436" i="5"/>
  <c r="A437" i="5"/>
  <c r="B437" i="5"/>
  <c r="C437" i="5"/>
  <c r="D437" i="5"/>
  <c r="E437" i="5"/>
  <c r="F437" i="5"/>
  <c r="G437" i="5"/>
  <c r="A438" i="5"/>
  <c r="B438" i="5"/>
  <c r="C438" i="5"/>
  <c r="D438" i="5"/>
  <c r="E438" i="5"/>
  <c r="F438" i="5"/>
  <c r="G438" i="5"/>
  <c r="A439" i="5"/>
  <c r="B439" i="5"/>
  <c r="C439" i="5"/>
  <c r="D439" i="5"/>
  <c r="E439" i="5"/>
  <c r="F439" i="5"/>
  <c r="G439" i="5"/>
  <c r="A440" i="5"/>
  <c r="B440" i="5"/>
  <c r="C440" i="5"/>
  <c r="D440" i="5"/>
  <c r="E440" i="5"/>
  <c r="F440" i="5"/>
  <c r="G440" i="5"/>
  <c r="A441" i="5"/>
  <c r="B441" i="5"/>
  <c r="C441" i="5"/>
  <c r="D441" i="5"/>
  <c r="E441" i="5"/>
  <c r="F441" i="5"/>
  <c r="G441" i="5"/>
  <c r="A442" i="5"/>
  <c r="B442" i="5"/>
  <c r="C442" i="5"/>
  <c r="D442" i="5"/>
  <c r="E442" i="5"/>
  <c r="F442" i="5"/>
  <c r="G442" i="5"/>
  <c r="A443" i="5"/>
  <c r="B443" i="5"/>
  <c r="C443" i="5"/>
  <c r="D443" i="5"/>
  <c r="E443" i="5"/>
  <c r="F443" i="5"/>
  <c r="G443" i="5"/>
  <c r="A444" i="5"/>
  <c r="B444" i="5"/>
  <c r="C444" i="5"/>
  <c r="D444" i="5"/>
  <c r="E444" i="5"/>
  <c r="F444" i="5"/>
  <c r="G444" i="5"/>
  <c r="A445" i="5"/>
  <c r="B445" i="5"/>
  <c r="C445" i="5"/>
  <c r="D445" i="5"/>
  <c r="E445" i="5"/>
  <c r="F445" i="5"/>
  <c r="G445" i="5"/>
  <c r="A446" i="5"/>
  <c r="B446" i="5"/>
  <c r="C446" i="5"/>
  <c r="D446" i="5"/>
  <c r="E446" i="5"/>
  <c r="F446" i="5"/>
  <c r="G446" i="5"/>
  <c r="A447" i="5"/>
  <c r="B447" i="5"/>
  <c r="C447" i="5"/>
  <c r="D447" i="5"/>
  <c r="E447" i="5"/>
  <c r="F447" i="5"/>
  <c r="G447" i="5"/>
  <c r="A448" i="5"/>
  <c r="B448" i="5"/>
  <c r="C448" i="5"/>
  <c r="D448" i="5"/>
  <c r="E448" i="5"/>
  <c r="F448" i="5"/>
  <c r="G448" i="5"/>
  <c r="A449" i="5"/>
  <c r="B449" i="5"/>
  <c r="C449" i="5"/>
  <c r="D449" i="5"/>
  <c r="E449" i="5"/>
  <c r="F449" i="5"/>
  <c r="G449" i="5"/>
  <c r="A450" i="5"/>
  <c r="B450" i="5"/>
  <c r="C450" i="5"/>
  <c r="D450" i="5"/>
  <c r="E450" i="5"/>
  <c r="F450" i="5"/>
  <c r="G450" i="5"/>
  <c r="A451" i="5"/>
  <c r="B451" i="5"/>
  <c r="C451" i="5"/>
  <c r="D451" i="5"/>
  <c r="E451" i="5"/>
  <c r="F451" i="5"/>
  <c r="G451" i="5"/>
  <c r="A452" i="5"/>
  <c r="B452" i="5"/>
  <c r="C452" i="5"/>
  <c r="D452" i="5"/>
  <c r="E452" i="5"/>
  <c r="F452" i="5"/>
  <c r="G452" i="5"/>
  <c r="A453" i="5"/>
  <c r="B453" i="5"/>
  <c r="C453" i="5"/>
  <c r="D453" i="5"/>
  <c r="E453" i="5"/>
  <c r="F453" i="5"/>
  <c r="G453" i="5"/>
  <c r="A454" i="5"/>
  <c r="B454" i="5"/>
  <c r="C454" i="5"/>
  <c r="D454" i="5"/>
  <c r="E454" i="5"/>
  <c r="F454" i="5"/>
  <c r="G454" i="5"/>
  <c r="A455" i="5"/>
  <c r="B455" i="5"/>
  <c r="C455" i="5"/>
  <c r="D455" i="5"/>
  <c r="E455" i="5"/>
  <c r="F455" i="5"/>
  <c r="G455" i="5"/>
  <c r="A456" i="5"/>
  <c r="B456" i="5"/>
  <c r="C456" i="5"/>
  <c r="D456" i="5"/>
  <c r="E456" i="5"/>
  <c r="F456" i="5"/>
  <c r="G456" i="5"/>
  <c r="A457" i="5"/>
  <c r="B457" i="5"/>
  <c r="C457" i="5"/>
  <c r="D457" i="5"/>
  <c r="E457" i="5"/>
  <c r="F457" i="5"/>
  <c r="G457" i="5"/>
  <c r="A458" i="5"/>
  <c r="B458" i="5"/>
  <c r="C458" i="5"/>
  <c r="D458" i="5"/>
  <c r="E458" i="5"/>
  <c r="F458" i="5"/>
  <c r="G458" i="5"/>
  <c r="A459" i="5"/>
  <c r="B459" i="5"/>
  <c r="C459" i="5"/>
  <c r="D459" i="5"/>
  <c r="E459" i="5"/>
  <c r="F459" i="5"/>
  <c r="G459" i="5"/>
  <c r="A460" i="5"/>
  <c r="B460" i="5"/>
  <c r="C460" i="5"/>
  <c r="D460" i="5"/>
  <c r="E460" i="5"/>
  <c r="F460" i="5"/>
  <c r="G460" i="5"/>
  <c r="A461" i="5"/>
  <c r="B461" i="5"/>
  <c r="C461" i="5"/>
  <c r="D461" i="5"/>
  <c r="E461" i="5"/>
  <c r="F461" i="5"/>
  <c r="G461" i="5"/>
  <c r="A462" i="5"/>
  <c r="B462" i="5"/>
  <c r="C462" i="5"/>
  <c r="D462" i="5"/>
  <c r="E462" i="5"/>
  <c r="F462" i="5"/>
  <c r="G462" i="5"/>
  <c r="A463" i="5"/>
  <c r="B463" i="5"/>
  <c r="C463" i="5"/>
  <c r="D463" i="5"/>
  <c r="E463" i="5"/>
  <c r="F463" i="5"/>
  <c r="G463" i="5"/>
  <c r="A464" i="5"/>
  <c r="B464" i="5"/>
  <c r="C464" i="5"/>
  <c r="D464" i="5"/>
  <c r="E464" i="5"/>
  <c r="F464" i="5"/>
  <c r="G464" i="5"/>
  <c r="A465" i="5"/>
  <c r="B465" i="5"/>
  <c r="C465" i="5"/>
  <c r="D465" i="5"/>
  <c r="E465" i="5"/>
  <c r="F465" i="5"/>
  <c r="G465" i="5"/>
  <c r="A466" i="5"/>
  <c r="B466" i="5"/>
  <c r="C466" i="5"/>
  <c r="D466" i="5"/>
  <c r="E466" i="5"/>
  <c r="F466" i="5"/>
  <c r="G466" i="5"/>
  <c r="A467" i="5"/>
  <c r="B467" i="5"/>
  <c r="C467" i="5"/>
  <c r="D467" i="5"/>
  <c r="E467" i="5"/>
  <c r="F467" i="5"/>
  <c r="G467" i="5"/>
  <c r="A468" i="5"/>
  <c r="B468" i="5"/>
  <c r="C468" i="5"/>
  <c r="D468" i="5"/>
  <c r="E468" i="5"/>
  <c r="F468" i="5"/>
  <c r="G468" i="5"/>
  <c r="A469" i="5"/>
  <c r="B469" i="5"/>
  <c r="C469" i="5"/>
  <c r="D469" i="5"/>
  <c r="E469" i="5"/>
  <c r="F469" i="5"/>
  <c r="G469" i="5"/>
  <c r="A470" i="5"/>
  <c r="B470" i="5"/>
  <c r="C470" i="5"/>
  <c r="D470" i="5"/>
  <c r="E470" i="5"/>
  <c r="F470" i="5"/>
  <c r="G470" i="5"/>
  <c r="A471" i="5"/>
  <c r="B471" i="5"/>
  <c r="C471" i="5"/>
  <c r="D471" i="5"/>
  <c r="E471" i="5"/>
  <c r="F471" i="5"/>
  <c r="G471" i="5"/>
  <c r="A472" i="5"/>
  <c r="B472" i="5"/>
  <c r="C472" i="5"/>
  <c r="D472" i="5"/>
  <c r="E472" i="5"/>
  <c r="F472" i="5"/>
  <c r="G472" i="5"/>
  <c r="A473" i="5"/>
  <c r="B473" i="5"/>
  <c r="C473" i="5"/>
  <c r="D473" i="5"/>
  <c r="E473" i="5"/>
  <c r="F473" i="5"/>
  <c r="G473" i="5"/>
  <c r="A474" i="5"/>
  <c r="B474" i="5"/>
  <c r="C474" i="5"/>
  <c r="D474" i="5"/>
  <c r="E474" i="5"/>
  <c r="F474" i="5"/>
  <c r="G474" i="5"/>
  <c r="A475" i="5"/>
  <c r="B475" i="5"/>
  <c r="C475" i="5"/>
  <c r="D475" i="5"/>
  <c r="E475" i="5"/>
  <c r="F475" i="5"/>
  <c r="G475" i="5"/>
  <c r="A476" i="5"/>
  <c r="B476" i="5"/>
  <c r="C476" i="5"/>
  <c r="D476" i="5"/>
  <c r="E476" i="5"/>
  <c r="F476" i="5"/>
  <c r="G476" i="5"/>
  <c r="A477" i="5"/>
  <c r="B477" i="5"/>
  <c r="C477" i="5"/>
  <c r="D477" i="5"/>
  <c r="E477" i="5"/>
  <c r="F477" i="5"/>
  <c r="G477" i="5"/>
  <c r="A478" i="5"/>
  <c r="B478" i="5"/>
  <c r="C478" i="5"/>
  <c r="D478" i="5"/>
  <c r="E478" i="5"/>
  <c r="F478" i="5"/>
  <c r="G478" i="5"/>
  <c r="A479" i="5"/>
  <c r="B479" i="5"/>
  <c r="C479" i="5"/>
  <c r="D479" i="5"/>
  <c r="E479" i="5"/>
  <c r="F479" i="5"/>
  <c r="G479" i="5"/>
  <c r="A480" i="5"/>
  <c r="B480" i="5"/>
  <c r="C480" i="5"/>
  <c r="D480" i="5"/>
  <c r="E480" i="5"/>
  <c r="F480" i="5"/>
  <c r="G480" i="5"/>
  <c r="A481" i="5"/>
  <c r="B481" i="5"/>
  <c r="C481" i="5"/>
  <c r="D481" i="5"/>
  <c r="E481" i="5"/>
  <c r="F481" i="5"/>
  <c r="G481" i="5"/>
  <c r="A482" i="5"/>
  <c r="B482" i="5"/>
  <c r="C482" i="5"/>
  <c r="D482" i="5"/>
  <c r="E482" i="5"/>
  <c r="F482" i="5"/>
  <c r="G482" i="5"/>
  <c r="A483" i="5"/>
  <c r="B483" i="5"/>
  <c r="C483" i="5"/>
  <c r="D483" i="5"/>
  <c r="E483" i="5"/>
  <c r="F483" i="5"/>
  <c r="G483" i="5"/>
  <c r="A484" i="5"/>
  <c r="B484" i="5"/>
  <c r="C484" i="5"/>
  <c r="D484" i="5"/>
  <c r="E484" i="5"/>
  <c r="F484" i="5"/>
  <c r="G484" i="5"/>
  <c r="A485" i="5"/>
  <c r="B485" i="5"/>
  <c r="C485" i="5"/>
  <c r="D485" i="5"/>
  <c r="E485" i="5"/>
  <c r="F485" i="5"/>
  <c r="G485" i="5"/>
  <c r="A486" i="5"/>
  <c r="B486" i="5"/>
  <c r="C486" i="5"/>
  <c r="D486" i="5"/>
  <c r="E486" i="5"/>
  <c r="F486" i="5"/>
  <c r="G486" i="5"/>
  <c r="A487" i="5"/>
  <c r="B487" i="5"/>
  <c r="C487" i="5"/>
  <c r="D487" i="5"/>
  <c r="E487" i="5"/>
  <c r="F487" i="5"/>
  <c r="G487" i="5"/>
  <c r="A488" i="5"/>
  <c r="B488" i="5"/>
  <c r="C488" i="5"/>
  <c r="D488" i="5"/>
  <c r="E488" i="5"/>
  <c r="F488" i="5"/>
  <c r="G488" i="5"/>
  <c r="A489" i="5"/>
  <c r="B489" i="5"/>
  <c r="C489" i="5"/>
  <c r="D489" i="5"/>
  <c r="E489" i="5"/>
  <c r="F489" i="5"/>
  <c r="G489" i="5"/>
  <c r="A490" i="5"/>
  <c r="B490" i="5"/>
  <c r="C490" i="5"/>
  <c r="D490" i="5"/>
  <c r="E490" i="5"/>
  <c r="F490" i="5"/>
  <c r="G490" i="5"/>
  <c r="A491" i="5"/>
  <c r="B491" i="5"/>
  <c r="C491" i="5"/>
  <c r="D491" i="5"/>
  <c r="E491" i="5"/>
  <c r="F491" i="5"/>
  <c r="G491" i="5"/>
  <c r="A492" i="5"/>
  <c r="B492" i="5"/>
  <c r="C492" i="5"/>
  <c r="D492" i="5"/>
  <c r="E492" i="5"/>
  <c r="F492" i="5"/>
  <c r="G492" i="5"/>
  <c r="A493" i="5"/>
  <c r="B493" i="5"/>
  <c r="C493" i="5"/>
  <c r="D493" i="5"/>
  <c r="E493" i="5"/>
  <c r="F493" i="5"/>
  <c r="G493" i="5"/>
  <c r="A494" i="5"/>
  <c r="B494" i="5"/>
  <c r="C494" i="5"/>
  <c r="D494" i="5"/>
  <c r="E494" i="5"/>
  <c r="F494" i="5"/>
  <c r="G494" i="5"/>
  <c r="A495" i="5"/>
  <c r="B495" i="5"/>
  <c r="C495" i="5"/>
  <c r="D495" i="5"/>
  <c r="E495" i="5"/>
  <c r="F495" i="5"/>
  <c r="G495" i="5"/>
  <c r="A496" i="5"/>
  <c r="B496" i="5"/>
  <c r="C496" i="5"/>
  <c r="D496" i="5"/>
  <c r="E496" i="5"/>
  <c r="F496" i="5"/>
  <c r="G496" i="5"/>
  <c r="A497" i="5"/>
  <c r="B497" i="5"/>
  <c r="C497" i="5"/>
  <c r="D497" i="5"/>
  <c r="E497" i="5"/>
  <c r="F497" i="5"/>
  <c r="G497" i="5"/>
  <c r="A498" i="5"/>
  <c r="B498" i="5"/>
  <c r="C498" i="5"/>
  <c r="D498" i="5"/>
  <c r="E498" i="5"/>
  <c r="F498" i="5"/>
  <c r="G498" i="5"/>
  <c r="A499" i="5"/>
  <c r="B499" i="5"/>
  <c r="C499" i="5"/>
  <c r="D499" i="5"/>
  <c r="E499" i="5"/>
  <c r="F499" i="5"/>
  <c r="G499" i="5"/>
  <c r="A500" i="5"/>
  <c r="B500" i="5"/>
  <c r="C500" i="5"/>
  <c r="D500" i="5"/>
  <c r="E500" i="5"/>
  <c r="F500" i="5"/>
  <c r="G500" i="5"/>
  <c r="A1" i="5"/>
  <c r="B1" i="5"/>
  <c r="C1" i="5"/>
  <c r="D1" i="5"/>
  <c r="E1" i="5"/>
  <c r="F1" i="5"/>
  <c r="G1" i="5"/>
  <c r="D7" i="1" a="1"/>
  <c r="D7" i="1" s="1"/>
  <c r="J2" i="2"/>
  <c r="K7" i="1" s="1"/>
  <c r="K8" i="1" s="1" a="1"/>
  <c r="K8" i="1" s="1"/>
  <c r="K9" i="1" s="1" a="1"/>
  <c r="K9" i="1" s="1"/>
  <c r="F11" i="1" s="1"/>
  <c r="C6" i="7" s="1"/>
  <c r="C9" i="7" s="1"/>
  <c r="G6" i="7" l="1"/>
  <c r="G9" i="7" s="1"/>
  <c r="D14" i="6"/>
  <c r="E28" i="6"/>
  <c r="H14" i="6"/>
  <c r="F14" i="6"/>
  <c r="E14" i="6"/>
  <c r="I14" i="6"/>
  <c r="G28" i="6"/>
  <c r="H28" i="6"/>
  <c r="G14" i="6"/>
  <c r="I28" i="6"/>
  <c r="F28" i="6"/>
  <c r="D28" i="6"/>
  <c r="C6" i="6"/>
  <c r="J3" i="2"/>
  <c r="G6" i="6" l="1"/>
  <c r="G9" i="6" s="1"/>
  <c r="C9" i="6"/>
  <c r="A16" i="5"/>
  <c r="D16" i="5"/>
  <c r="C16" i="5"/>
  <c r="E16" i="5"/>
  <c r="B16" i="5"/>
  <c r="F29" i="6" l="1"/>
  <c r="G29" i="6"/>
  <c r="H29" i="6"/>
  <c r="E29" i="6"/>
  <c r="D29" i="6"/>
  <c r="I29" i="6"/>
  <c r="E58" i="6"/>
  <c r="I56" i="6"/>
  <c r="H63" i="6"/>
  <c r="F63" i="6"/>
  <c r="H58" i="6"/>
  <c r="I60" i="6"/>
  <c r="D57" i="6"/>
  <c r="D61" i="6"/>
  <c r="G56" i="6"/>
  <c r="H62" i="6"/>
  <c r="D56" i="6"/>
  <c r="I62" i="6"/>
  <c r="F62" i="6"/>
  <c r="H56" i="6"/>
  <c r="G57" i="6"/>
  <c r="E56" i="6"/>
  <c r="H59" i="6"/>
  <c r="E62" i="6"/>
  <c r="H60" i="6"/>
  <c r="F60" i="6"/>
  <c r="G58" i="6"/>
  <c r="D59" i="6"/>
  <c r="E57" i="6"/>
  <c r="I59" i="6"/>
  <c r="H57" i="6"/>
  <c r="F61" i="6"/>
  <c r="F59" i="6"/>
  <c r="E60" i="6"/>
  <c r="F58" i="6"/>
  <c r="D63" i="6"/>
  <c r="G61" i="6"/>
  <c r="I58" i="6"/>
  <c r="H61" i="6"/>
  <c r="I61" i="6"/>
  <c r="F56" i="6"/>
  <c r="G59" i="6"/>
  <c r="I63" i="6"/>
  <c r="G60" i="6"/>
  <c r="E63" i="6"/>
  <c r="I57" i="6"/>
  <c r="E61" i="6"/>
  <c r="D58" i="6"/>
  <c r="E59" i="6"/>
  <c r="F57" i="6"/>
  <c r="D62" i="6"/>
  <c r="G63" i="6"/>
  <c r="D60" i="6"/>
  <c r="G62" i="6"/>
  <c r="I73" i="6"/>
  <c r="G44" i="7"/>
  <c r="H28" i="7"/>
  <c r="F73" i="6"/>
  <c r="F43" i="7"/>
  <c r="D20" i="7"/>
  <c r="D70" i="6"/>
  <c r="I75" i="6"/>
  <c r="G32" i="7"/>
  <c r="I17" i="7"/>
  <c r="H43" i="6"/>
  <c r="H74" i="6"/>
  <c r="D72" i="7"/>
  <c r="E77" i="6"/>
  <c r="E60" i="7"/>
  <c r="F31" i="6"/>
  <c r="D19" i="7"/>
  <c r="D34" i="6"/>
  <c r="D70" i="7"/>
  <c r="E35" i="7"/>
  <c r="F47" i="6"/>
  <c r="I30" i="7"/>
  <c r="G48" i="6"/>
  <c r="F71" i="7"/>
  <c r="I33" i="7"/>
  <c r="I21" i="6"/>
  <c r="I77" i="7"/>
  <c r="G46" i="7"/>
  <c r="I14" i="7"/>
  <c r="H34" i="6"/>
  <c r="I47" i="7"/>
  <c r="G34" i="6"/>
  <c r="I57" i="7"/>
  <c r="D21" i="7"/>
  <c r="I42" i="6"/>
  <c r="H57" i="7"/>
  <c r="E75" i="6"/>
  <c r="G49" i="7"/>
  <c r="I35" i="6"/>
  <c r="E47" i="7"/>
  <c r="D77" i="7"/>
  <c r="I48" i="7"/>
  <c r="H49" i="6"/>
  <c r="D49" i="7"/>
  <c r="G42" i="6"/>
  <c r="E16" i="6"/>
  <c r="D74" i="6"/>
  <c r="H76" i="7"/>
  <c r="D71" i="6"/>
  <c r="F30" i="6"/>
  <c r="G75" i="7"/>
  <c r="E72" i="6"/>
  <c r="F74" i="7"/>
  <c r="H72" i="6"/>
  <c r="H75" i="6"/>
  <c r="E73" i="7"/>
  <c r="H70" i="6"/>
  <c r="G31" i="7"/>
  <c r="D47" i="6"/>
  <c r="D43" i="6"/>
  <c r="G71" i="7"/>
  <c r="F61" i="7"/>
  <c r="D62" i="7"/>
  <c r="H29" i="7"/>
  <c r="I45" i="6"/>
  <c r="I28" i="7"/>
  <c r="H46" i="6"/>
  <c r="D30" i="7"/>
  <c r="I59" i="7"/>
  <c r="I31" i="7"/>
  <c r="G20" i="6"/>
  <c r="I75" i="7"/>
  <c r="E45" i="7"/>
  <c r="G76" i="6"/>
  <c r="F33" i="6"/>
  <c r="D21" i="6"/>
  <c r="E46" i="7"/>
  <c r="H49" i="7"/>
  <c r="D18" i="7"/>
  <c r="F34" i="6"/>
  <c r="F47" i="7"/>
  <c r="F46" i="6"/>
  <c r="G47" i="6"/>
  <c r="I35" i="7"/>
  <c r="E77" i="7"/>
  <c r="I45" i="7"/>
  <c r="D74" i="7"/>
  <c r="H45" i="7"/>
  <c r="D31" i="6"/>
  <c r="E30" i="6"/>
  <c r="E76" i="7"/>
  <c r="G74" i="6"/>
  <c r="G43" i="6"/>
  <c r="D75" i="7"/>
  <c r="D46" i="6"/>
  <c r="F42" i="6"/>
  <c r="I72" i="7"/>
  <c r="F42" i="7"/>
  <c r="F46" i="7"/>
  <c r="H42" i="6"/>
  <c r="E49" i="7"/>
  <c r="E35" i="6"/>
  <c r="D48" i="7"/>
  <c r="I31" i="6"/>
  <c r="H32" i="7"/>
  <c r="H30" i="6"/>
  <c r="E63" i="7"/>
  <c r="D32" i="6"/>
  <c r="D16" i="7"/>
  <c r="D44" i="7"/>
  <c r="I56" i="7"/>
  <c r="G58" i="7"/>
  <c r="H21" i="7"/>
  <c r="E44" i="6"/>
  <c r="E18" i="7"/>
  <c r="F45" i="6"/>
  <c r="I71" i="6"/>
  <c r="E58" i="7"/>
  <c r="G29" i="7"/>
  <c r="I17" i="6"/>
  <c r="G73" i="7"/>
  <c r="E42" i="7"/>
  <c r="G77" i="6"/>
  <c r="D45" i="7"/>
  <c r="G77" i="7"/>
  <c r="H47" i="7"/>
  <c r="G14" i="7"/>
  <c r="D33" i="6"/>
  <c r="F34" i="7"/>
  <c r="D45" i="6"/>
  <c r="I18" i="6"/>
  <c r="E30" i="7"/>
  <c r="E74" i="7"/>
  <c r="I43" i="7"/>
  <c r="I71" i="7"/>
  <c r="F35" i="7"/>
  <c r="H44" i="7"/>
  <c r="I61" i="7"/>
  <c r="D47" i="7"/>
  <c r="G43" i="7"/>
  <c r="H60" i="7"/>
  <c r="G30" i="7"/>
  <c r="E28" i="7"/>
  <c r="E49" i="6"/>
  <c r="G17" i="6"/>
  <c r="D61" i="7"/>
  <c r="F44" i="6"/>
  <c r="F49" i="6"/>
  <c r="F16" i="6"/>
  <c r="G20" i="7"/>
  <c r="G35" i="6"/>
  <c r="I32" i="6"/>
  <c r="E15" i="6"/>
  <c r="F19" i="7"/>
  <c r="H32" i="6"/>
  <c r="H19" i="6"/>
  <c r="G75" i="6"/>
  <c r="D31" i="7"/>
  <c r="I76" i="7"/>
  <c r="I44" i="6"/>
  <c r="D17" i="7"/>
  <c r="G15" i="7"/>
  <c r="E72" i="7"/>
  <c r="E57" i="7"/>
  <c r="E15" i="7"/>
  <c r="H33" i="6"/>
  <c r="H14" i="7"/>
  <c r="E33" i="6"/>
  <c r="I49" i="6"/>
  <c r="D57" i="7"/>
  <c r="G21" i="7"/>
  <c r="I48" i="6"/>
  <c r="H16" i="6"/>
  <c r="E71" i="7"/>
  <c r="I34" i="7"/>
  <c r="H21" i="6"/>
  <c r="H35" i="6"/>
  <c r="D42" i="7"/>
  <c r="I74" i="7"/>
  <c r="D46" i="7"/>
  <c r="E76" i="6"/>
  <c r="F21" i="6"/>
  <c r="E33" i="7"/>
  <c r="E34" i="6"/>
  <c r="F77" i="7"/>
  <c r="I77" i="6"/>
  <c r="G70" i="7"/>
  <c r="H35" i="7"/>
  <c r="E70" i="7"/>
  <c r="D34" i="7"/>
  <c r="I74" i="6"/>
  <c r="G76" i="7"/>
  <c r="G35" i="7"/>
  <c r="F70" i="7"/>
  <c r="H73" i="6"/>
  <c r="F75" i="7"/>
  <c r="D32" i="7"/>
  <c r="G62" i="7"/>
  <c r="G72" i="6"/>
  <c r="F63" i="7"/>
  <c r="I29" i="7"/>
  <c r="F49" i="7"/>
  <c r="D77" i="6"/>
  <c r="E71" i="6"/>
  <c r="F70" i="6"/>
  <c r="D15" i="7"/>
  <c r="E70" i="6"/>
  <c r="G49" i="6"/>
  <c r="E44" i="7"/>
  <c r="I15" i="6"/>
  <c r="D43" i="7"/>
  <c r="H15" i="6"/>
  <c r="D71" i="7"/>
  <c r="E32" i="7"/>
  <c r="F15" i="6"/>
  <c r="E48" i="7"/>
  <c r="G31" i="6"/>
  <c r="E20" i="7"/>
  <c r="E48" i="6"/>
  <c r="G63" i="7"/>
  <c r="G70" i="6"/>
  <c r="I44" i="7"/>
  <c r="G48" i="7"/>
  <c r="D75" i="6"/>
  <c r="I30" i="6"/>
  <c r="F76" i="6"/>
  <c r="F48" i="7"/>
  <c r="I18" i="7"/>
  <c r="H45" i="6"/>
  <c r="I63" i="7"/>
  <c r="H33" i="7"/>
  <c r="F20" i="6"/>
  <c r="G33" i="7"/>
  <c r="G72" i="7"/>
  <c r="G34" i="7"/>
  <c r="I72" i="6"/>
  <c r="D20" i="6"/>
  <c r="F28" i="7"/>
  <c r="E21" i="6"/>
  <c r="H74" i="7"/>
  <c r="F62" i="7"/>
  <c r="E34" i="7"/>
  <c r="E62" i="7"/>
  <c r="I21" i="7"/>
  <c r="F72" i="6"/>
  <c r="F20" i="7"/>
  <c r="D35" i="7"/>
  <c r="E19" i="7"/>
  <c r="D49" i="6"/>
  <c r="F18" i="6"/>
  <c r="E43" i="7"/>
  <c r="E16" i="7"/>
  <c r="F43" i="6"/>
  <c r="E17" i="6"/>
  <c r="F76" i="7"/>
  <c r="I76" i="6"/>
  <c r="E42" i="6"/>
  <c r="D16" i="6"/>
  <c r="E75" i="7"/>
  <c r="D30" i="6"/>
  <c r="H72" i="7"/>
  <c r="H63" i="7"/>
  <c r="D73" i="6"/>
  <c r="F30" i="7"/>
  <c r="I46" i="7"/>
  <c r="G71" i="6"/>
  <c r="H20" i="6"/>
  <c r="I70" i="6"/>
  <c r="G21" i="6"/>
  <c r="D14" i="7"/>
  <c r="H46" i="7"/>
  <c r="I16" i="7"/>
  <c r="D44" i="6"/>
  <c r="H47" i="6"/>
  <c r="H61" i="7"/>
  <c r="F21" i="7"/>
  <c r="H48" i="6"/>
  <c r="H17" i="6"/>
  <c r="H77" i="7"/>
  <c r="E21" i="7"/>
  <c r="I70" i="7"/>
  <c r="F33" i="7"/>
  <c r="I16" i="6"/>
  <c r="I15" i="7"/>
  <c r="D33" i="7"/>
  <c r="F72" i="7"/>
  <c r="I47" i="6"/>
  <c r="G60" i="7"/>
  <c r="H17" i="7"/>
  <c r="F60" i="7"/>
  <c r="I19" i="7"/>
  <c r="F48" i="6"/>
  <c r="E61" i="7"/>
  <c r="H43" i="7"/>
  <c r="E47" i="6"/>
  <c r="D60" i="7"/>
  <c r="I20" i="7"/>
  <c r="I43" i="6"/>
  <c r="H56" i="7"/>
  <c r="G44" i="6"/>
  <c r="E19" i="6"/>
  <c r="E43" i="6"/>
  <c r="D63" i="7"/>
  <c r="H31" i="6"/>
  <c r="D18" i="6"/>
  <c r="D42" i="6"/>
  <c r="D76" i="7"/>
  <c r="D15" i="6"/>
  <c r="F75" i="6"/>
  <c r="E31" i="6"/>
  <c r="I73" i="7"/>
  <c r="H75" i="7"/>
  <c r="E74" i="6"/>
  <c r="E17" i="7"/>
  <c r="G47" i="7"/>
  <c r="I20" i="6"/>
  <c r="G73" i="6"/>
  <c r="F56" i="7"/>
  <c r="F35" i="6"/>
  <c r="G30" i="6"/>
  <c r="G45" i="7"/>
  <c r="G15" i="6"/>
  <c r="E20" i="6"/>
  <c r="I33" i="6"/>
  <c r="F45" i="7"/>
  <c r="H76" i="6"/>
  <c r="I34" i="6"/>
  <c r="H71" i="6"/>
  <c r="H59" i="7"/>
  <c r="H18" i="7"/>
  <c r="I46" i="6"/>
  <c r="G61" i="7"/>
  <c r="F16" i="7"/>
  <c r="I62" i="7"/>
  <c r="H30" i="7"/>
  <c r="G46" i="6"/>
  <c r="F14" i="7"/>
  <c r="E46" i="6"/>
  <c r="H70" i="7"/>
  <c r="I58" i="7"/>
  <c r="H77" i="6"/>
  <c r="H58" i="7"/>
  <c r="G17" i="7"/>
  <c r="E29" i="7"/>
  <c r="G32" i="6"/>
  <c r="F58" i="7"/>
  <c r="I19" i="6"/>
  <c r="D28" i="7"/>
  <c r="F32" i="6"/>
  <c r="F17" i="7"/>
  <c r="H18" i="6"/>
  <c r="D73" i="7"/>
  <c r="E32" i="6"/>
  <c r="D35" i="6"/>
  <c r="H31" i="7"/>
  <c r="G18" i="7"/>
  <c r="F17" i="6"/>
  <c r="D29" i="7"/>
  <c r="G19" i="6"/>
  <c r="F19" i="6"/>
  <c r="H20" i="7"/>
  <c r="D56" i="7"/>
  <c r="E18" i="6"/>
  <c r="G19" i="7"/>
  <c r="I49" i="7"/>
  <c r="H19" i="7"/>
  <c r="D17" i="6"/>
  <c r="F18" i="7"/>
  <c r="H48" i="7"/>
  <c r="G18" i="6"/>
  <c r="D19" i="6"/>
  <c r="F31" i="7"/>
  <c r="H16" i="7"/>
  <c r="G74" i="7"/>
  <c r="F74" i="6"/>
  <c r="G56" i="7"/>
  <c r="F73" i="7"/>
  <c r="H71" i="7"/>
  <c r="I42" i="7"/>
  <c r="H34" i="7"/>
  <c r="H73" i="7"/>
  <c r="H42" i="7"/>
  <c r="F71" i="6"/>
  <c r="G33" i="6"/>
  <c r="H44" i="6"/>
  <c r="D58" i="7"/>
  <c r="G16" i="7"/>
  <c r="G45" i="6"/>
  <c r="H15" i="7"/>
  <c r="F59" i="7"/>
  <c r="E59" i="7"/>
  <c r="G28" i="7"/>
  <c r="E45" i="6"/>
  <c r="I60" i="7"/>
  <c r="D76" i="6"/>
  <c r="G16" i="6"/>
  <c r="H62" i="7"/>
  <c r="E14" i="7"/>
  <c r="G57" i="7"/>
  <c r="F57" i="7"/>
  <c r="F15" i="7"/>
  <c r="E73" i="6"/>
  <c r="F32" i="7"/>
  <c r="D59" i="7"/>
  <c r="G42" i="7"/>
  <c r="D72" i="6"/>
  <c r="E31" i="7"/>
  <c r="I32" i="7"/>
  <c r="E56" i="7"/>
  <c r="F29" i="7"/>
  <c r="D48" i="6"/>
  <c r="F44" i="7"/>
  <c r="G59" i="7"/>
  <c r="F77" i="6"/>
  <c r="D36" i="7" l="1"/>
  <c r="D64" i="6"/>
  <c r="I64" i="6"/>
  <c r="E36" i="7"/>
  <c r="F22" i="7"/>
  <c r="G64" i="6"/>
  <c r="H64" i="6"/>
  <c r="F64" i="6"/>
  <c r="E64" i="6"/>
  <c r="G78" i="6"/>
  <c r="D22" i="6"/>
  <c r="G36" i="6"/>
  <c r="D50" i="6"/>
  <c r="I50" i="6"/>
  <c r="D50" i="7"/>
  <c r="H50" i="7"/>
  <c r="F50" i="7"/>
  <c r="E36" i="6"/>
  <c r="F36" i="6"/>
  <c r="D78" i="7"/>
  <c r="D36" i="6"/>
  <c r="D64" i="7"/>
  <c r="F64" i="7"/>
  <c r="F78" i="6"/>
  <c r="E78" i="7"/>
  <c r="I78" i="7"/>
  <c r="I22" i="6"/>
  <c r="E50" i="7"/>
  <c r="F22" i="6"/>
  <c r="F78" i="7"/>
  <c r="H36" i="6"/>
  <c r="F50" i="6"/>
  <c r="G36" i="7"/>
  <c r="I22" i="7"/>
  <c r="H36" i="7"/>
  <c r="F36" i="7"/>
  <c r="G50" i="7"/>
  <c r="H64" i="7"/>
  <c r="E50" i="6"/>
  <c r="G64" i="7"/>
  <c r="E22" i="7"/>
  <c r="I36" i="7"/>
  <c r="G22" i="7"/>
  <c r="H78" i="6"/>
  <c r="G50" i="6"/>
  <c r="E64" i="7"/>
  <c r="H22" i="7"/>
  <c r="I50" i="7"/>
  <c r="H22" i="6"/>
  <c r="H78" i="7"/>
  <c r="E78" i="6"/>
  <c r="E22" i="6"/>
  <c r="G22" i="6"/>
  <c r="I64" i="7"/>
  <c r="D22" i="7"/>
  <c r="I36" i="6"/>
  <c r="H50" i="6"/>
  <c r="G78" i="7"/>
  <c r="D78" i="6"/>
  <c r="I78" i="6"/>
  <c r="D6" i="7" l="1"/>
  <c r="D8" i="7"/>
  <c r="H8" i="7" s="1"/>
  <c r="D8" i="6"/>
  <c r="H8" i="6" s="1"/>
  <c r="D7" i="7"/>
  <c r="H7" i="7" s="1"/>
  <c r="D6" i="6"/>
  <c r="H6" i="7"/>
  <c r="D7" i="6"/>
  <c r="H7" i="6" s="1"/>
  <c r="H9" i="7" l="1"/>
  <c r="D9" i="7"/>
  <c r="H6" i="6"/>
  <c r="H9" i="6" s="1"/>
  <c r="D9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<sst xmlns="http://schemas.openxmlformats.org/spreadsheetml/2006/main" count="281" uniqueCount="79">
  <si>
    <t>Quantidade</t>
  </si>
  <si>
    <t>Alimento</t>
  </si>
  <si>
    <t>Carbo</t>
  </si>
  <si>
    <t>Proteina</t>
  </si>
  <si>
    <t>Gordura</t>
  </si>
  <si>
    <t>Café da Manhã</t>
  </si>
  <si>
    <t>Almoço</t>
  </si>
  <si>
    <t>Macros</t>
  </si>
  <si>
    <t>Meta (g)</t>
  </si>
  <si>
    <t>Restante (g)</t>
  </si>
  <si>
    <t>Meta (Kcal)</t>
  </si>
  <si>
    <t>Restante (Kcal)</t>
  </si>
  <si>
    <t>Total</t>
  </si>
  <si>
    <t>Gênero</t>
  </si>
  <si>
    <t>Feminino</t>
  </si>
  <si>
    <t>Altura (cm)</t>
  </si>
  <si>
    <t>Peso (kg)</t>
  </si>
  <si>
    <t>Nível de Atividade</t>
  </si>
  <si>
    <t>Sedentário</t>
  </si>
  <si>
    <t>Taxa de Metabolismo Basal (TMB):</t>
  </si>
  <si>
    <t>Fórmulas</t>
  </si>
  <si>
    <t>Masculino</t>
  </si>
  <si>
    <t>Femino</t>
  </si>
  <si>
    <t>Idade</t>
  </si>
  <si>
    <t>Exercício Moderado</t>
  </si>
  <si>
    <t>Exercício Intenso</t>
  </si>
  <si>
    <t>Exercício Muito Intenso</t>
  </si>
  <si>
    <t>Exercício Leve</t>
  </si>
  <si>
    <t>kcal</t>
  </si>
  <si>
    <t>Objetivo</t>
  </si>
  <si>
    <t>Ganho de massa</t>
  </si>
  <si>
    <t>Emagrecimento</t>
  </si>
  <si>
    <t>Manutenção</t>
  </si>
  <si>
    <t>Taxa de Metabolismo Total (TMT):</t>
  </si>
  <si>
    <t>Quantidade de Calorias Final (QCF):</t>
  </si>
  <si>
    <t>Ajustes de Dieta</t>
  </si>
  <si>
    <t>Proteína</t>
  </si>
  <si>
    <t>Carboidrato</t>
  </si>
  <si>
    <t>Qtde (g/kg)</t>
  </si>
  <si>
    <t>Unidade de Medida</t>
  </si>
  <si>
    <t>Ovo De Galinha Inteiro Cozido</t>
  </si>
  <si>
    <t>Aveia em flocos finos Quaker</t>
  </si>
  <si>
    <t>Carne bovina patinho grelhado</t>
  </si>
  <si>
    <t>Arroz branco cozido</t>
  </si>
  <si>
    <t>Unidade</t>
  </si>
  <si>
    <t>Colher de Sopa</t>
  </si>
  <si>
    <t>Dieta 01</t>
  </si>
  <si>
    <t>Calorias (kcal)</t>
  </si>
  <si>
    <t>Carboidratos (g)</t>
  </si>
  <si>
    <t>Proteínas (g)</t>
  </si>
  <si>
    <t>Gorduras totais (g)</t>
  </si>
  <si>
    <t>Fibra alimentar (g)</t>
  </si>
  <si>
    <t>Sódio (mg)</t>
  </si>
  <si>
    <t>Alimentos</t>
  </si>
  <si>
    <t>Gramas (100g)</t>
  </si>
  <si>
    <t>Lanche da tarde</t>
  </si>
  <si>
    <t>Jantar</t>
  </si>
  <si>
    <t>Whey Growth</t>
  </si>
  <si>
    <t>Farelo de Aveia</t>
  </si>
  <si>
    <t>Pão Integral Wickbold</t>
  </si>
  <si>
    <t>Molho Tomoate heiz</t>
  </si>
  <si>
    <t>Tapioca</t>
  </si>
  <si>
    <t>Iogurte Normal Activa</t>
  </si>
  <si>
    <t>Batata Palha</t>
  </si>
  <si>
    <t>Leite descantado</t>
  </si>
  <si>
    <t>Mililitros (100ml)</t>
  </si>
  <si>
    <t>Manteiga</t>
  </si>
  <si>
    <t>Pré/PósTreino</t>
  </si>
  <si>
    <t>Feijão carioca cozido</t>
  </si>
  <si>
    <t>Filé de frango grelhado</t>
  </si>
  <si>
    <t>Macarrão integral cozido</t>
  </si>
  <si>
    <t>Brócolis cozido</t>
  </si>
  <si>
    <t>Beterraba cozida</t>
  </si>
  <si>
    <t>Doce de leite Aviação</t>
  </si>
  <si>
    <t>Molho de tomate Pomarola</t>
  </si>
  <si>
    <t>Insira Suas informações</t>
  </si>
  <si>
    <t>Informações sobre seu metabolismo</t>
  </si>
  <si>
    <t>Montagem do seu perfil metbólico</t>
  </si>
  <si>
    <t>Azeite extra virgem Gallo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</si>
</sst>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00B050"/>
      <name val="Calibri"/>
      <family val="2"/>
    </font>
    <font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color rgb="FF00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5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4" fillId="0" borderId="0" xfId="0" applyFont="1"/>
    <xf numFmtId="0" fontId="6" fillId="0" borderId="0" xfId="0" applyFont="1"/>
    <xf numFmtId="0" fontId="6" fillId="3" borderId="6" xfId="0" applyFont="1" applyFill="1" applyBorder="1" applyAlignment="1">
      <alignment horizontal="center" vertical="center"/>
    </xf>
    <xf numFmtId="0" fontId="3" fillId="0" borderId="0" xfId="0" applyFont="1"/>
    <xf numFmtId="0" fontId="5" fillId="4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0" fillId="0" borderId="23" xfId="0" applyBorder="1"/>
    <xf numFmtId="0" fontId="6" fillId="3" borderId="28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0" fillId="0" borderId="0" xfId="0" applyBorder="1"/>
    <xf numFmtId="0" fontId="9" fillId="0" borderId="0" xfId="0" applyFont="1"/>
    <xf numFmtId="0" fontId="8" fillId="8" borderId="18" xfId="0" applyFont="1" applyFill="1" applyBorder="1" applyAlignment="1">
      <alignment horizontal="center" vertical="center"/>
    </xf>
    <xf numFmtId="0" fontId="8" fillId="8" borderId="20" xfId="0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10" fillId="8" borderId="18" xfId="0" applyFont="1" applyFill="1" applyBorder="1" applyAlignment="1">
      <alignment horizontal="center" vertical="center"/>
    </xf>
    <xf numFmtId="0" fontId="10" fillId="8" borderId="19" xfId="0" applyFont="1" applyFill="1" applyBorder="1" applyAlignment="1">
      <alignment horizontal="center" vertical="center"/>
    </xf>
    <xf numFmtId="0" fontId="10" fillId="8" borderId="20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11" fillId="0" borderId="0" xfId="0" applyFont="1"/>
    <xf numFmtId="0" fontId="11" fillId="3" borderId="18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1" fontId="11" fillId="3" borderId="17" xfId="0" applyNumberFormat="1" applyFont="1" applyFill="1" applyBorder="1" applyAlignment="1">
      <alignment horizontal="right" vertical="center"/>
    </xf>
    <xf numFmtId="0" fontId="11" fillId="3" borderId="24" xfId="0" applyFont="1" applyFill="1" applyBorder="1" applyAlignment="1">
      <alignment horizontal="left" vertical="center"/>
    </xf>
    <xf numFmtId="0" fontId="11" fillId="3" borderId="15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11" fillId="3" borderId="31" xfId="0" applyFont="1" applyFill="1" applyBorder="1" applyAlignment="1">
      <alignment horizontal="center" vertical="center"/>
    </xf>
    <xf numFmtId="1" fontId="11" fillId="3" borderId="21" xfId="0" applyNumberFormat="1" applyFont="1" applyFill="1" applyBorder="1" applyAlignment="1">
      <alignment horizontal="right"/>
    </xf>
    <xf numFmtId="0" fontId="11" fillId="3" borderId="22" xfId="0" applyFont="1" applyFill="1" applyBorder="1"/>
    <xf numFmtId="0" fontId="11" fillId="3" borderId="15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1" fontId="11" fillId="3" borderId="23" xfId="0" applyNumberFormat="1" applyFont="1" applyFill="1" applyBorder="1" applyAlignment="1">
      <alignment horizontal="right" vertical="center"/>
    </xf>
    <xf numFmtId="0" fontId="11" fillId="3" borderId="25" xfId="0" applyFont="1" applyFill="1" applyBorder="1"/>
    <xf numFmtId="0" fontId="13" fillId="0" borderId="0" xfId="0" applyFont="1"/>
    <xf numFmtId="0" fontId="11" fillId="3" borderId="16" xfId="0" applyFont="1" applyFill="1" applyBorder="1" applyAlignment="1">
      <alignment horizontal="center" vertical="center"/>
    </xf>
    <xf numFmtId="0" fontId="11" fillId="3" borderId="26" xfId="0" applyFont="1" applyFill="1" applyBorder="1" applyAlignment="1">
      <alignment horizontal="center" vertical="center"/>
    </xf>
    <xf numFmtId="164" fontId="11" fillId="3" borderId="25" xfId="0" applyNumberFormat="1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 vertical="center"/>
    </xf>
    <xf numFmtId="0" fontId="11" fillId="3" borderId="24" xfId="0" applyFont="1" applyFill="1" applyBorder="1" applyAlignment="1" applyProtection="1">
      <alignment horizontal="center" vertical="center"/>
      <protection locked="0"/>
    </xf>
    <xf numFmtId="0" fontId="11" fillId="3" borderId="22" xfId="0" applyFont="1" applyFill="1" applyBorder="1" applyAlignment="1" applyProtection="1">
      <alignment horizontal="center" vertical="center"/>
      <protection locked="0"/>
    </xf>
    <xf numFmtId="0" fontId="11" fillId="3" borderId="25" xfId="0" applyFont="1" applyFill="1" applyBorder="1" applyAlignment="1" applyProtection="1">
      <alignment horizontal="center" vertical="center"/>
      <protection locked="0"/>
    </xf>
    <xf numFmtId="164" fontId="11" fillId="3" borderId="22" xfId="0" applyNumberFormat="1" applyFont="1" applyFill="1" applyBorder="1" applyAlignment="1" applyProtection="1">
      <alignment horizontal="center"/>
      <protection locked="0"/>
    </xf>
    <xf numFmtId="0" fontId="11" fillId="3" borderId="20" xfId="0" applyFont="1" applyFill="1" applyBorder="1" applyAlignment="1" applyProtection="1">
      <alignment horizontal="center" vertical="center"/>
      <protection locked="0"/>
    </xf>
    <xf numFmtId="0" fontId="11" fillId="3" borderId="5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/>
    </xf>
    <xf numFmtId="1" fontId="6" fillId="3" borderId="21" xfId="0" applyNumberFormat="1" applyFont="1" applyFill="1" applyBorder="1" applyAlignment="1">
      <alignment horizontal="center" vertical="center"/>
    </xf>
    <xf numFmtId="1" fontId="6" fillId="3" borderId="22" xfId="0" applyNumberFormat="1" applyFont="1" applyFill="1" applyBorder="1" applyAlignment="1">
      <alignment horizontal="center" vertical="center"/>
    </xf>
    <xf numFmtId="1" fontId="6" fillId="3" borderId="17" xfId="0" applyNumberFormat="1" applyFont="1" applyFill="1" applyBorder="1" applyAlignment="1">
      <alignment horizontal="center" vertical="center"/>
    </xf>
    <xf numFmtId="1" fontId="6" fillId="3" borderId="29" xfId="0" applyNumberFormat="1" applyFont="1" applyFill="1" applyBorder="1" applyAlignment="1">
      <alignment horizontal="center" vertical="center"/>
    </xf>
    <xf numFmtId="1" fontId="6" fillId="3" borderId="30" xfId="0" applyNumberFormat="1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1" fontId="6" fillId="3" borderId="19" xfId="0" applyNumberFormat="1" applyFont="1" applyFill="1" applyBorder="1" applyAlignment="1">
      <alignment horizontal="center" vertical="center"/>
    </xf>
    <xf numFmtId="1" fontId="6" fillId="3" borderId="20" xfId="0" applyNumberFormat="1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 vertical="center"/>
    </xf>
    <xf numFmtId="1" fontId="14" fillId="3" borderId="26" xfId="0" applyNumberFormat="1" applyFont="1" applyFill="1" applyBorder="1" applyAlignment="1">
      <alignment horizontal="center" vertical="center"/>
    </xf>
    <xf numFmtId="0" fontId="14" fillId="3" borderId="25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1">
    <dxf>
      <numFmt numFmtId="164" formatCode="0.0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 patternType="solid">
          <fgColor auto="1"/>
          <bgColor rgb="FFFF0000"/>
        </patternFill>
      </fill>
    </dxf>
    <dxf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385019</xdr:colOff>
          <xdr:row>0</xdr:row>
          <xdr:rowOff>206576</xdr:rowOff>
        </xdr:from>
        <xdr:to>
          <xdr:col>6</xdr:col>
          <xdr:colOff>62535</xdr:colOff>
          <xdr:row>2</xdr:row>
          <xdr:rowOff>28776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AD159919-32ED-6A45-B48A-18157D6B62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Refeição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0</xdr:row>
          <xdr:rowOff>203200</xdr:rowOff>
        </xdr:from>
        <xdr:to>
          <xdr:col>7</xdr:col>
          <xdr:colOff>850900</xdr:colOff>
          <xdr:row>2</xdr:row>
          <xdr:rowOff>25400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5A556B12-DB47-C74E-8585-2F189F990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Alimento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385019</xdr:colOff>
          <xdr:row>0</xdr:row>
          <xdr:rowOff>206576</xdr:rowOff>
        </xdr:from>
        <xdr:to>
          <xdr:col>6</xdr:col>
          <xdr:colOff>62535</xdr:colOff>
          <xdr:row>2</xdr:row>
          <xdr:rowOff>28776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44D7F6B6-37C3-9941-89E3-D3A7E6452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Refeição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0</xdr:row>
          <xdr:rowOff>203200</xdr:rowOff>
        </xdr:from>
        <xdr:to>
          <xdr:col>7</xdr:col>
          <xdr:colOff>850900</xdr:colOff>
          <xdr:row>2</xdr:row>
          <xdr:rowOff>25400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EE5E450A-908A-7043-AA77-AD272B0AD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Alimento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661361-B62D-C64C-9FCA-C89DAAB3C1BD}" name="Tabela1" displayName="Tabela1" ref="A1:H30" totalsRowShown="0" headerRowDxfId="8" dataDxfId="9">
  <autoFilter ref="A1:H30" xr:uid="{23661361-B62D-C64C-9FCA-C89DAAB3C1BD}"/>
  <sortState xmlns:xlrd2="http://schemas.microsoft.com/office/spreadsheetml/2017/richdata2" ref="A2:H30">
    <sortCondition ref="A1:A30"/>
  </sortState>
  <tableColumns count="8">
    <tableColumn id="1" xr3:uid="{09C1BB44-0E00-084B-ADB9-F98A65D74088}" name="Alimento" dataDxfId="10"/>
    <tableColumn id="2" xr3:uid="{BD06709E-9CD2-C445-AB33-E6EA5FF3F9E8}" name="Unidade de Medida" dataDxfId="6"/>
    <tableColumn id="3" xr3:uid="{AFB0A857-D195-254B-BA8F-0707A918CD1B}" name="Calorias (kcal)" dataDxfId="5"/>
    <tableColumn id="4" xr3:uid="{2717D4BC-3F46-5C47-B827-CF97E2CAE66A}" name="Carboidratos (g)" dataDxfId="4"/>
    <tableColumn id="5" xr3:uid="{EEEF110B-B19C-1145-931D-8AFC6479A360}" name="Proteínas (g)" dataDxfId="3"/>
    <tableColumn id="6" xr3:uid="{4978EF24-1C3E-F54F-AFE2-20410F87CFD8}" name="Gorduras totais (g)" dataDxfId="2"/>
    <tableColumn id="7" xr3:uid="{79665EBF-DAA1-D74A-9CF1-7123424D13EC}" name="Fibra alimentar (g)" dataDxfId="1"/>
    <tableColumn id="8" xr3:uid="{7DA002E2-02F4-ED47-896F-74C72A3CC21E}" name="Sódio (mg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38932-F248-C246-B8BC-FF0C4A4809DF}">
  <sheetPr codeName="Planilha1"/>
  <dimension ref="A2:L20"/>
  <sheetViews>
    <sheetView workbookViewId="0">
      <selection activeCell="E19" sqref="E19"/>
    </sheetView>
  </sheetViews>
  <sheetFormatPr baseColWidth="10" defaultRowHeight="17" x14ac:dyDescent="0.2"/>
  <cols>
    <col min="1" max="1" width="32.5" style="11" customWidth="1"/>
    <col min="2" max="2" width="26.6640625" style="11" customWidth="1"/>
    <col min="3" max="3" width="10.83203125" style="11"/>
    <col min="4" max="4" width="13.1640625" style="11" customWidth="1"/>
    <col min="5" max="5" width="10.83203125" style="11"/>
    <col min="6" max="6" width="15.6640625" style="11" customWidth="1"/>
    <col min="7" max="7" width="10.83203125" style="11"/>
    <col min="8" max="8" width="13.5" style="11" customWidth="1"/>
    <col min="9" max="9" width="10.83203125" style="11"/>
    <col min="10" max="10" width="15.1640625" style="11" customWidth="1"/>
    <col min="11" max="11" width="9" style="11" customWidth="1"/>
    <col min="12" max="16384" width="10.83203125" style="11"/>
  </cols>
  <sheetData>
    <row r="2" spans="1:12" ht="18" thickBot="1" x14ac:dyDescent="0.25"/>
    <row r="3" spans="1:12" ht="48" thickBot="1" x14ac:dyDescent="0.25">
      <c r="A3" s="51" t="s">
        <v>77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3"/>
    </row>
    <row r="5" spans="1:12" ht="18" thickBot="1" x14ac:dyDescent="0.25"/>
    <row r="6" spans="1:12" ht="25" thickBot="1" x14ac:dyDescent="0.25">
      <c r="A6" s="48" t="s">
        <v>75</v>
      </c>
      <c r="B6" s="49"/>
      <c r="D6" s="48" t="s">
        <v>35</v>
      </c>
      <c r="E6" s="50"/>
      <c r="F6" s="49"/>
      <c r="H6" s="48" t="s">
        <v>76</v>
      </c>
      <c r="I6" s="50"/>
      <c r="J6" s="50"/>
      <c r="K6" s="50"/>
      <c r="L6" s="49"/>
    </row>
    <row r="7" spans="1:12" ht="21" thickBot="1" x14ac:dyDescent="0.3">
      <c r="A7" s="54" t="s">
        <v>13</v>
      </c>
      <c r="B7" s="74" t="s">
        <v>21</v>
      </c>
      <c r="C7" s="55"/>
      <c r="D7" s="56" t="str" cm="1">
        <f t="array" ref="D7">_xlfn.IFS(B12=Picklists!B2,"% do TMT:",B12=Picklists!B3,"Qtde de Calorias Extras:",B12=Picklists!B4,"Sem Ajuste")</f>
        <v>% do TMT:</v>
      </c>
      <c r="E7" s="57"/>
      <c r="F7" s="78">
        <v>80</v>
      </c>
      <c r="G7" s="55"/>
      <c r="H7" s="61" t="s">
        <v>19</v>
      </c>
      <c r="I7" s="80"/>
      <c r="J7" s="80"/>
      <c r="K7" s="58">
        <f>IF(B7="Masculino",Picklists!J2,IF(B7="Feminino",Picklists!J3,""))</f>
        <v>1722.5</v>
      </c>
      <c r="L7" s="59" t="s">
        <v>28</v>
      </c>
    </row>
    <row r="8" spans="1:12" ht="20" x14ac:dyDescent="0.25">
      <c r="A8" s="60" t="s">
        <v>23</v>
      </c>
      <c r="B8" s="75">
        <v>23</v>
      </c>
      <c r="C8" s="55"/>
      <c r="D8" s="61" t="s">
        <v>7</v>
      </c>
      <c r="E8" s="62"/>
      <c r="F8" s="79" t="s">
        <v>38</v>
      </c>
      <c r="G8" s="55"/>
      <c r="H8" s="81" t="s">
        <v>33</v>
      </c>
      <c r="I8" s="82"/>
      <c r="J8" s="82"/>
      <c r="K8" s="63" cm="1">
        <f t="array" ref="K8">_xlfn.IFS(B11=Picklists!F2,Picklists!G2,B11=Picklists!F3,Picklists!G3,B11=Picklists!F4,Picklists!G4,B11=Picklists!F5,Picklists!G5,B11=Picklists!F6,Picklists!G6)*K7</f>
        <v>2368.4375</v>
      </c>
      <c r="L8" s="64" t="s">
        <v>28</v>
      </c>
    </row>
    <row r="9" spans="1:12" ht="21" thickBot="1" x14ac:dyDescent="0.3">
      <c r="A9" s="60" t="s">
        <v>16</v>
      </c>
      <c r="B9" s="75">
        <v>72</v>
      </c>
      <c r="C9" s="55"/>
      <c r="D9" s="65" t="s">
        <v>3</v>
      </c>
      <c r="E9" s="66"/>
      <c r="F9" s="77">
        <v>2.5</v>
      </c>
      <c r="G9" s="55"/>
      <c r="H9" s="83" t="s">
        <v>34</v>
      </c>
      <c r="I9" s="84"/>
      <c r="J9" s="84"/>
      <c r="K9" s="67" cm="1">
        <f t="array" ref="K9">_xlfn.IFS(B12=Picklists!B2,F7/100*K8,B12=Picklists!B3,F7+K8,B12=Picklists!B4,K8)</f>
        <v>1894.75</v>
      </c>
      <c r="L9" s="68" t="s">
        <v>28</v>
      </c>
    </row>
    <row r="10" spans="1:12" ht="20" x14ac:dyDescent="0.25">
      <c r="A10" s="60" t="s">
        <v>15</v>
      </c>
      <c r="B10" s="75">
        <v>178</v>
      </c>
      <c r="C10" s="55"/>
      <c r="D10" s="65" t="s">
        <v>4</v>
      </c>
      <c r="E10" s="66"/>
      <c r="F10" s="77">
        <v>0.8</v>
      </c>
      <c r="G10" s="55"/>
      <c r="H10" s="69"/>
      <c r="I10" s="69"/>
      <c r="J10" s="69"/>
      <c r="K10" s="69"/>
      <c r="L10" s="69"/>
    </row>
    <row r="11" spans="1:12" ht="21" thickBot="1" x14ac:dyDescent="0.3">
      <c r="A11" s="60" t="s">
        <v>17</v>
      </c>
      <c r="B11" s="75" t="s">
        <v>27</v>
      </c>
      <c r="C11" s="55"/>
      <c r="D11" s="70" t="s">
        <v>37</v>
      </c>
      <c r="E11" s="71"/>
      <c r="F11" s="72">
        <f>((K9-(F9*B9*Picklists!M3+F10*B9*Picklists!M4))/4)/B9</f>
        <v>2.2789930555555551</v>
      </c>
      <c r="G11" s="55"/>
      <c r="H11" s="55"/>
      <c r="I11" s="55"/>
      <c r="J11" s="55"/>
      <c r="K11" s="55"/>
      <c r="L11" s="69"/>
    </row>
    <row r="12" spans="1:12" ht="21" thickBot="1" x14ac:dyDescent="0.3">
      <c r="A12" s="73" t="s">
        <v>29</v>
      </c>
      <c r="B12" s="76" t="s">
        <v>31</v>
      </c>
      <c r="C12" s="55"/>
      <c r="D12" s="55"/>
      <c r="E12" s="55"/>
      <c r="F12" s="55"/>
      <c r="G12" s="55"/>
      <c r="H12" s="55"/>
      <c r="I12" s="55"/>
      <c r="J12" s="55"/>
      <c r="K12" s="55"/>
      <c r="L12" s="69"/>
    </row>
    <row r="13" spans="1:12" x14ac:dyDescent="0.2">
      <c r="L13" s="47"/>
    </row>
    <row r="14" spans="1:12" x14ac:dyDescent="0.2">
      <c r="L14" s="47"/>
    </row>
    <row r="15" spans="1:12" x14ac:dyDescent="0.2">
      <c r="L15" s="47"/>
    </row>
    <row r="16" spans="1:12" x14ac:dyDescent="0.2">
      <c r="L16" s="47"/>
    </row>
    <row r="17" spans="12:12" x14ac:dyDescent="0.2">
      <c r="L17" s="47"/>
    </row>
    <row r="18" spans="12:12" x14ac:dyDescent="0.2">
      <c r="L18" s="47"/>
    </row>
    <row r="19" spans="12:12" x14ac:dyDescent="0.2">
      <c r="L19" s="47"/>
    </row>
    <row r="20" spans="12:12" x14ac:dyDescent="0.2">
      <c r="L20" s="47"/>
    </row>
  </sheetData>
  <sheetProtection sheet="1" objects="1" scenarios="1"/>
  <mergeCells count="12">
    <mergeCell ref="D11:E11"/>
    <mergeCell ref="A6:B6"/>
    <mergeCell ref="D6:F6"/>
    <mergeCell ref="H6:L6"/>
    <mergeCell ref="A3:L3"/>
    <mergeCell ref="H7:J7"/>
    <mergeCell ref="H8:J8"/>
    <mergeCell ref="H9:J9"/>
    <mergeCell ref="D7:E7"/>
    <mergeCell ref="D9:E9"/>
    <mergeCell ref="D10:E10"/>
    <mergeCell ref="D8:E8"/>
  </mergeCells>
  <conditionalFormatting sqref="F11">
    <cfRule type="cellIs" dxfId="7" priority="1" stopIfTrue="1" operator="lessThan">
      <formula>0</formula>
    </cfRule>
  </conditionalFormatting>
  <dataValidations count="11">
    <dataValidation type="decimal" allowBlank="1" showInputMessage="1" showErrorMessage="1" sqref="B9" xr:uid="{C8DBEC2E-BFE4-6C48-96FD-678F9823696F}">
      <formula1>0</formula1>
      <formula2>200</formula2>
    </dataValidation>
    <dataValidation type="decimal" allowBlank="1" showInputMessage="1" showErrorMessage="1" sqref="B10" xr:uid="{EE985CAA-9C17-184B-A390-5435B54800DE}">
      <formula1>0</formula1>
      <formula2>250</formula2>
    </dataValidation>
    <dataValidation type="whole" operator="greaterThan" showInputMessage="1" showErrorMessage="1" sqref="B8" xr:uid="{2D85C8A8-A5FB-DB4D-BE4B-4460453AA41B}">
      <formula1>0</formula1>
    </dataValidation>
    <dataValidation allowBlank="1" showInputMessage="1" showErrorMessage="1" promptTitle="FÓRMULA MÁGICA" prompt="Se você consumir mais calorias que isso você ENGORDA_x000a_Se você consumir menos calorias que isso você EMAGRECE" sqref="K8" xr:uid="{27434A93-A866-0047-94FE-20A78F56DCC7}"/>
    <dataValidation allowBlank="1" showInputMessage="1" showErrorMessage="1" promptTitle="Explicação" prompt="TMB + Atividade Física" sqref="H8" xr:uid="{9873782C-E59D-EF43-948B-0B989840793A}"/>
    <dataValidation allowBlank="1" showInputMessage="1" showErrorMessage="1" promptTitle="Explicação" prompt="Quantidade de calorias gastas sem qualquer esforço físico" sqref="H7" xr:uid="{D2F7D294-D702-DF46-B000-188EDDC91CEE}"/>
    <dataValidation type="whole" operator="greaterThanOrEqual" allowBlank="1" showInputMessage="1" showErrorMessage="1" sqref="F7" xr:uid="{4D8F8424-5426-9448-9EAD-B82D65F41911}">
      <formula1>0</formula1>
    </dataValidation>
    <dataValidation type="decimal" operator="greaterThanOrEqual" allowBlank="1" showInputMessage="1" showErrorMessage="1" promptTitle="Recomendação" prompt="2,0 até 3,1 g/kg" sqref="F9" xr:uid="{6ADD1454-66C9-DE4C-B8DB-6103F3E7FF7B}">
      <formula1>0</formula1>
    </dataValidation>
    <dataValidation type="decimal" operator="greaterThan" allowBlank="1" showInputMessage="1" showErrorMessage="1" promptTitle="Recomendação" prompt="0,6 até 1,0 g/kg" sqref="F10" xr:uid="{1C9D4290-799A-2340-9AC7-08CF0F8E0EB3}">
      <formula1>0</formula1>
    </dataValidation>
    <dataValidation type="decimal" operator="greaterThanOrEqual" allowBlank="1" showInputMessage="1" showErrorMessage="1" promptTitle="Explicação" prompt="Cálculo é baseado nas calorias restantes" sqref="F11" xr:uid="{C1E99B52-D566-104E-B0D4-3B09A85FB7F1}">
      <formula1>0</formula1>
    </dataValidation>
    <dataValidation allowBlank="1" showInputMessage="1" showErrorMessage="1" prompt="Aqui é você que manda!" sqref="D6" xr:uid="{B27309A5-8A4B-6245-97FA-DBA66959EEFF}"/>
  </dataValidations>
  <pageMargins left="0.511811024" right="0.511811024" top="0.78740157499999996" bottom="0.78740157499999996" header="0.31496062000000002" footer="0.31496062000000002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3493C574-5459-A943-B3A0-B500421A0840}">
          <x14:formula1>
            <xm:f>Picklists!$D$2:$D$3</xm:f>
          </x14:formula1>
          <xm:sqref>B7</xm:sqref>
        </x14:dataValidation>
        <x14:dataValidation type="list" allowBlank="1" showInputMessage="1" showErrorMessage="1" prompt="Sedentário (Exercício mínimo)_x000a_Exercício Leve (1-3 dias por semana)_x000a_Exercício Moderado (3-5 dias por semana)_x000a_Exercício Intenso (6-7 dias por semana)_x000a_Exercicio Muito Intenso (Atleta, 2x por dia)" xr:uid="{DAF49D87-EA18-8E4E-A8D8-04A13232783C}">
          <x14:formula1>
            <xm:f>Picklists!$F$2:$F$6</xm:f>
          </x14:formula1>
          <xm:sqref>B11</xm:sqref>
        </x14:dataValidation>
        <x14:dataValidation type="list" allowBlank="1" showInputMessage="1" showErrorMessage="1" promptTitle="Recomendação" prompt="Emagrecer = 80% da Taxa de metabolismo Total_x000a_Engordar = 200 a 400 kcal + Taxa de metabolismo Total_x000a_Manutenção = Taxa de metabolismo Total" xr:uid="{64AB97F2-4D0F-234E-9012-1186496C39D2}">
          <x14:formula1>
            <xm:f>Picklists!$B$2:$B$4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81EA7-6FD6-5744-BFCD-CA61E66C4627}">
  <sheetPr codeName="Planilha6"/>
  <dimension ref="A1:M1048508"/>
  <sheetViews>
    <sheetView tabSelected="1" zoomScale="79" workbookViewId="0">
      <pane xSplit="8" ySplit="10" topLeftCell="I12" activePane="bottomRight" state="frozen"/>
      <selection pane="topRight" activeCell="I1" sqref="I1"/>
      <selection pane="bottomLeft" activeCell="A11" sqref="A11"/>
      <selection pane="bottomRight" activeCell="D44" sqref="D44"/>
    </sheetView>
  </sheetViews>
  <sheetFormatPr baseColWidth="10" defaultRowHeight="16" x14ac:dyDescent="0.2"/>
  <cols>
    <col min="1" max="1" width="36.6640625" customWidth="1"/>
    <col min="2" max="2" width="24.1640625" customWidth="1"/>
    <col min="3" max="3" width="20.1640625" customWidth="1"/>
    <col min="4" max="4" width="20" customWidth="1"/>
    <col min="5" max="5" width="21.6640625" customWidth="1"/>
    <col min="6" max="6" width="18.5" customWidth="1"/>
    <col min="7" max="7" width="23.1640625" customWidth="1"/>
    <col min="8" max="8" width="23.5" customWidth="1"/>
    <col min="9" max="9" width="15.33203125" customWidth="1"/>
    <col min="11" max="11" width="17.33203125" customWidth="1"/>
  </cols>
  <sheetData>
    <row r="1" spans="1:13" ht="17" thickBot="1" x14ac:dyDescent="0.25"/>
    <row r="2" spans="1:13" ht="48" thickBot="1" x14ac:dyDescent="0.25">
      <c r="A2" s="51" t="s">
        <v>46</v>
      </c>
      <c r="B2" s="52"/>
      <c r="C2" s="52"/>
      <c r="D2" s="53"/>
    </row>
    <row r="3" spans="1:13" x14ac:dyDescent="0.2">
      <c r="B3" s="46"/>
      <c r="C3" s="46"/>
      <c r="D3" s="46"/>
    </row>
    <row r="4" spans="1:13" ht="17" thickBot="1" x14ac:dyDescent="0.25">
      <c r="A4" s="46"/>
      <c r="B4" s="46"/>
      <c r="C4" s="46"/>
      <c r="D4" s="43"/>
    </row>
    <row r="5" spans="1:13" ht="22" thickBot="1" x14ac:dyDescent="0.3">
      <c r="B5" s="34" t="s">
        <v>7</v>
      </c>
      <c r="C5" s="35" t="s">
        <v>8</v>
      </c>
      <c r="D5" s="36" t="s">
        <v>9</v>
      </c>
      <c r="F5" s="40" t="s">
        <v>7</v>
      </c>
      <c r="G5" s="41" t="s">
        <v>10</v>
      </c>
      <c r="H5" s="42" t="s">
        <v>11</v>
      </c>
    </row>
    <row r="6" spans="1:13" ht="21" x14ac:dyDescent="0.2">
      <c r="B6" s="37" t="s">
        <v>2</v>
      </c>
      <c r="C6" s="87">
        <f>Home1!$B$9*Home1!$F$11</f>
        <v>164.08749999999998</v>
      </c>
      <c r="D6" s="86">
        <f>C6-E22-E36-E50-E64-E78</f>
        <v>5.6074999999999662</v>
      </c>
      <c r="F6" s="38" t="s">
        <v>2</v>
      </c>
      <c r="G6" s="85">
        <f>C6*Picklists!M2</f>
        <v>656.34999999999991</v>
      </c>
      <c r="H6" s="86">
        <f>D6*Picklists!M2</f>
        <v>22.429999999999865</v>
      </c>
    </row>
    <row r="7" spans="1:13" ht="21" x14ac:dyDescent="0.2">
      <c r="B7" s="38" t="s">
        <v>3</v>
      </c>
      <c r="C7" s="85">
        <f>Home1!$F$9*Home1!$B$9</f>
        <v>180</v>
      </c>
      <c r="D7" s="86">
        <f>C7-F22-F36-F50-F64-F78</f>
        <v>-0.42000000000000171</v>
      </c>
      <c r="F7" s="38" t="s">
        <v>3</v>
      </c>
      <c r="G7" s="39">
        <f>C7*Picklists!M3</f>
        <v>720</v>
      </c>
      <c r="H7" s="86">
        <f>D7*Picklists!M3</f>
        <v>-1.6800000000000068</v>
      </c>
    </row>
    <row r="8" spans="1:13" ht="22" thickBot="1" x14ac:dyDescent="0.25">
      <c r="B8" s="44" t="s">
        <v>4</v>
      </c>
      <c r="C8" s="88">
        <f>Home1!$F$10*Home1!$B$9</f>
        <v>57.6</v>
      </c>
      <c r="D8" s="89">
        <f>C8-G22-G36-G50-G64-G78</f>
        <v>1.9250000000000025</v>
      </c>
      <c r="F8" s="44" t="s">
        <v>4</v>
      </c>
      <c r="G8" s="45">
        <f>C8*Picklists!M4</f>
        <v>518.4</v>
      </c>
      <c r="H8" s="89">
        <f>D8*Picklists!M4</f>
        <v>17.325000000000024</v>
      </c>
    </row>
    <row r="9" spans="1:13" ht="27" customHeight="1" thickBot="1" x14ac:dyDescent="0.25">
      <c r="B9" s="90" t="s">
        <v>12</v>
      </c>
      <c r="C9" s="91">
        <f>SUM(C6:C8)</f>
        <v>401.6875</v>
      </c>
      <c r="D9" s="92">
        <f>SUM(D6:D8)</f>
        <v>7.112499999999967</v>
      </c>
      <c r="F9" s="90" t="s">
        <v>12</v>
      </c>
      <c r="G9" s="91">
        <f>SUM(G6:G8)</f>
        <v>1894.75</v>
      </c>
      <c r="H9" s="96">
        <f>SUM(H6:H8)</f>
        <v>38.074999999999882</v>
      </c>
    </row>
    <row r="11" spans="1:13" ht="17" thickBot="1" x14ac:dyDescent="0.25"/>
    <row r="12" spans="1:13" s="15" customFormat="1" ht="26" customHeight="1" thickBot="1" x14ac:dyDescent="0.3">
      <c r="A12" s="21" t="s">
        <v>5</v>
      </c>
      <c r="B12" s="22"/>
      <c r="C12" s="22"/>
      <c r="D12" s="22"/>
      <c r="E12" s="22"/>
      <c r="F12" s="22"/>
      <c r="G12" s="22"/>
      <c r="H12" s="22"/>
      <c r="I12" s="23"/>
    </row>
    <row r="13" spans="1:13" s="16" customFormat="1" ht="21" x14ac:dyDescent="0.25">
      <c r="A13" s="20" t="s">
        <v>1</v>
      </c>
      <c r="B13" s="20" t="s">
        <v>39</v>
      </c>
      <c r="C13" s="20" t="s">
        <v>0</v>
      </c>
      <c r="D13" s="20" t="s">
        <v>47</v>
      </c>
      <c r="E13" s="20" t="s">
        <v>48</v>
      </c>
      <c r="F13" s="20" t="s">
        <v>49</v>
      </c>
      <c r="G13" s="20" t="s">
        <v>50</v>
      </c>
      <c r="H13" s="20" t="s">
        <v>51</v>
      </c>
      <c r="I13" s="20" t="s">
        <v>52</v>
      </c>
    </row>
    <row r="14" spans="1:13" ht="21" x14ac:dyDescent="0.2">
      <c r="A14" s="17" t="s">
        <v>58</v>
      </c>
      <c r="B14" s="17" t="s">
        <v>54</v>
      </c>
      <c r="C14" s="17">
        <v>80</v>
      </c>
      <c r="D14" s="17">
        <f>_xlfn.XLOOKUP(_xlfn.CONCAT($A14," - ",$B14),Food_Tratado!$A:$A,Food_Tratado!B:B,0,,)*$C14/$J14</f>
        <v>264</v>
      </c>
      <c r="E14" s="17">
        <f>_xlfn.XLOOKUP(_xlfn.CONCAT($A14," - ",$B14),Food_Tratado!$A:$A,Food_Tratado!C:C,0,,)*$C14/$J14</f>
        <v>40</v>
      </c>
      <c r="F14" s="17">
        <f>_xlfn.XLOOKUP(_xlfn.CONCAT($A14," - ",$B14),Food_Tratado!$A:$A,Food_Tratado!D:D,0,,)*$C14/$J14</f>
        <v>17.600000000000001</v>
      </c>
      <c r="G14" s="17">
        <f>_xlfn.XLOOKUP(_xlfn.CONCAT($A14," - ",$B14),Food_Tratado!$A:$A,Food_Tratado!E:E,0,,)*$C14/$J14</f>
        <v>5.6</v>
      </c>
      <c r="H14" s="17">
        <f>_xlfn.XLOOKUP(_xlfn.CONCAT($A14," - ",$B14),Food_Tratado!$A:$A,Food_Tratado!F:F,0,,)*$C14/$J14</f>
        <v>0.44800000000000006</v>
      </c>
      <c r="I14" s="17">
        <f>_xlfn.XLOOKUP(_xlfn.CONCAT($A14," - ",$B14),Food_Tratado!$A:$A,Food_Tratado!G:G,0,,)*$C14/$J14</f>
        <v>0</v>
      </c>
      <c r="J14" s="18">
        <f>IF(B14="Gramas (100g)",100,1)</f>
        <v>100</v>
      </c>
    </row>
    <row r="15" spans="1:13" s="16" customFormat="1" ht="21" x14ac:dyDescent="0.25">
      <c r="A15" s="17" t="s">
        <v>40</v>
      </c>
      <c r="B15" s="17" t="s">
        <v>44</v>
      </c>
      <c r="C15" s="17">
        <v>3</v>
      </c>
      <c r="D15" s="17">
        <f>_xlfn.XLOOKUP(_xlfn.CONCAT($A15," - ",$B15),Food_Tratado!$A:$A,Food_Tratado!B:B,0,,)*$C15/$J15</f>
        <v>197.10000000000002</v>
      </c>
      <c r="E15" s="17">
        <f>_xlfn.XLOOKUP(_xlfn.CONCAT($A15," - ",$B15),Food_Tratado!$A:$A,Food_Tratado!C:C,0,,)*$C15/$J15</f>
        <v>0.81</v>
      </c>
      <c r="F15" s="17">
        <f>_xlfn.XLOOKUP(_xlfn.CONCAT($A15," - ",$B15),Food_Tratado!$A:$A,Food_Tratado!D:D,0,,)*$C15/$J15</f>
        <v>17.97</v>
      </c>
      <c r="G15" s="17">
        <f>_xlfn.XLOOKUP(_xlfn.CONCAT($A15," - ",$B15),Food_Tratado!$A:$A,Food_Tratado!E:E,0,,)*$C15/$J15</f>
        <v>12.84</v>
      </c>
      <c r="H15" s="17">
        <f>_xlfn.XLOOKUP(_xlfn.CONCAT($A15," - ",$B15),Food_Tratado!$A:$A,Food_Tratado!F:F,0,,)*$C15/$J15</f>
        <v>0</v>
      </c>
      <c r="I15" s="17">
        <f>_xlfn.XLOOKUP(_xlfn.CONCAT($A15," - ",$B15),Food_Tratado!$A:$A,Food_Tratado!G:G,0,,)*$C15/$J15</f>
        <v>197.10000000000002</v>
      </c>
      <c r="J15" s="18">
        <f>IF(B15="Gramas (100g)",100,1)</f>
        <v>1</v>
      </c>
    </row>
    <row r="16" spans="1:13" ht="21" x14ac:dyDescent="0.25">
      <c r="A16" s="17" t="s">
        <v>57</v>
      </c>
      <c r="B16" s="17" t="s">
        <v>54</v>
      </c>
      <c r="C16" s="17">
        <v>20</v>
      </c>
      <c r="D16" s="17">
        <f>_xlfn.XLOOKUP(_xlfn.CONCAT($A16," - ",$B16),Food_Tratado!$A:$A,Food_Tratado!B:B,0,,)*$C16/$J16</f>
        <v>24.4</v>
      </c>
      <c r="E16" s="17">
        <f>_xlfn.XLOOKUP(_xlfn.CONCAT($A16," - ",$B16),Food_Tratado!$A:$A,Food_Tratado!C:C,0,,)*$C16/$J16</f>
        <v>0.8</v>
      </c>
      <c r="F16" s="17">
        <f>_xlfn.XLOOKUP(_xlfn.CONCAT($A16," - ",$B16),Food_Tratado!$A:$A,Food_Tratado!D:D,0,,)*$C16/$J16</f>
        <v>4.5999999999999996</v>
      </c>
      <c r="G16" s="17">
        <f>_xlfn.XLOOKUP(_xlfn.CONCAT($A16," - ",$B16),Food_Tratado!$A:$A,Food_Tratado!E:E,0,,)*$C16/$J16</f>
        <v>0.32</v>
      </c>
      <c r="H16" s="17">
        <f>_xlfn.XLOOKUP(_xlfn.CONCAT($A16," - ",$B16),Food_Tratado!$A:$A,Food_Tratado!F:F,0,,)*$C16/$J16</f>
        <v>0</v>
      </c>
      <c r="I16" s="17">
        <f>_xlfn.XLOOKUP(_xlfn.CONCAT($A16," - ",$B16),Food_Tratado!$A:$A,Food_Tratado!G:G,0,,)*$C16/$J16</f>
        <v>10.6</v>
      </c>
      <c r="J16" s="18">
        <f t="shared" ref="J16:J21" si="0">IF(B16="Gramas (100g)",100,1)</f>
        <v>100</v>
      </c>
      <c r="K16" s="16"/>
      <c r="L16" s="16"/>
      <c r="M16" s="16"/>
    </row>
    <row r="17" spans="1:10" ht="21" x14ac:dyDescent="0.2">
      <c r="A17" s="17" t="s">
        <v>62</v>
      </c>
      <c r="B17" s="17" t="s">
        <v>54</v>
      </c>
      <c r="C17" s="17">
        <v>200</v>
      </c>
      <c r="D17" s="17">
        <f>_xlfn.XLOOKUP(_xlfn.CONCAT($A17," - ",$B17),Food_Tratado!$A:$A,Food_Tratado!B:B,0,,)*$C17/$J17</f>
        <v>138</v>
      </c>
      <c r="E17" s="17">
        <f>_xlfn.XLOOKUP(_xlfn.CONCAT($A17," - ",$B17),Food_Tratado!$A:$A,Food_Tratado!C:C,0,,)*$C17/$J17</f>
        <v>25</v>
      </c>
      <c r="F17" s="17">
        <f>_xlfn.XLOOKUP(_xlfn.CONCAT($A17," - ",$B17),Food_Tratado!$A:$A,Food_Tratado!D:D,0,,)*$C17/$J17</f>
        <v>4.7</v>
      </c>
      <c r="G17" s="17">
        <f>_xlfn.XLOOKUP(_xlfn.CONCAT($A17," - ",$B17),Food_Tratado!$A:$A,Food_Tratado!E:E,0,,)*$C17/$J17</f>
        <v>2.1</v>
      </c>
      <c r="H17" s="17">
        <f>_xlfn.XLOOKUP(_xlfn.CONCAT($A17," - ",$B17),Food_Tratado!$A:$A,Food_Tratado!F:F,0,,)*$C17/$J17</f>
        <v>2.3333333333333335</v>
      </c>
      <c r="I17" s="17">
        <f>_xlfn.XLOOKUP(_xlfn.CONCAT($A17," - ",$B17),Food_Tratado!$A:$A,Food_Tratado!G:G,0,,)*$C17/$J17</f>
        <v>200</v>
      </c>
      <c r="J17" s="18">
        <f t="shared" si="0"/>
        <v>100</v>
      </c>
    </row>
    <row r="18" spans="1:10" ht="21" x14ac:dyDescent="0.2">
      <c r="A18" s="17"/>
      <c r="B18" s="17"/>
      <c r="C18" s="17"/>
      <c r="D18" s="17">
        <f>_xlfn.XLOOKUP(_xlfn.CONCAT($A18," - ",$B18),Food_Tratado!$A:$A,Food_Tratado!B:B,0,,)*$C18/$J18</f>
        <v>0</v>
      </c>
      <c r="E18" s="17">
        <f>_xlfn.XLOOKUP(_xlfn.CONCAT($A18," - ",$B18),Food_Tratado!$A:$A,Food_Tratado!C:C,0,,)*$C18/$J18</f>
        <v>0</v>
      </c>
      <c r="F18" s="17">
        <f>_xlfn.XLOOKUP(_xlfn.CONCAT($A18," - ",$B18),Food_Tratado!$A:$A,Food_Tratado!D:D,0,,)*$C18/$J18</f>
        <v>0</v>
      </c>
      <c r="G18" s="17">
        <f>_xlfn.XLOOKUP(_xlfn.CONCAT($A18," - ",$B18),Food_Tratado!$A:$A,Food_Tratado!E:E,0,,)*$C18/$J18</f>
        <v>0</v>
      </c>
      <c r="H18" s="17">
        <f>_xlfn.XLOOKUP(_xlfn.CONCAT($A18," - ",$B18),Food_Tratado!$A:$A,Food_Tratado!F:F,0,,)*$C18/$J18</f>
        <v>0</v>
      </c>
      <c r="I18" s="17">
        <f>_xlfn.XLOOKUP(_xlfn.CONCAT($A18," - ",$B18),Food_Tratado!$A:$A,Food_Tratado!G:G,0,,)*$C18/$J18</f>
        <v>0</v>
      </c>
      <c r="J18" s="18">
        <f t="shared" si="0"/>
        <v>1</v>
      </c>
    </row>
    <row r="19" spans="1:10" ht="21" x14ac:dyDescent="0.2">
      <c r="A19" s="17"/>
      <c r="B19" s="17"/>
      <c r="C19" s="17"/>
      <c r="D19" s="17">
        <f>_xlfn.XLOOKUP(_xlfn.CONCAT($A19," - ",$B19),Food_Tratado!$A:$A,Food_Tratado!B:B,0,,)*$C19/$J19</f>
        <v>0</v>
      </c>
      <c r="E19" s="17">
        <f>_xlfn.XLOOKUP(_xlfn.CONCAT($A19," - ",$B19),Food_Tratado!$A:$A,Food_Tratado!C:C,0,,)*$C19/$J19</f>
        <v>0</v>
      </c>
      <c r="F19" s="17">
        <f>_xlfn.XLOOKUP(_xlfn.CONCAT($A19," - ",$B19),Food_Tratado!$A:$A,Food_Tratado!D:D,0,,)*$C19/$J19</f>
        <v>0</v>
      </c>
      <c r="G19" s="17">
        <f>_xlfn.XLOOKUP(_xlfn.CONCAT($A19," - ",$B19),Food_Tratado!$A:$A,Food_Tratado!E:E,0,,)*$C19/$J19</f>
        <v>0</v>
      </c>
      <c r="H19" s="17">
        <f>_xlfn.XLOOKUP(_xlfn.CONCAT($A19," - ",$B19),Food_Tratado!$A:$A,Food_Tratado!F:F,0,,)*$C19/$J19</f>
        <v>0</v>
      </c>
      <c r="I19" s="17">
        <f>_xlfn.XLOOKUP(_xlfn.CONCAT($A19," - ",$B19),Food_Tratado!$A:$A,Food_Tratado!G:G,0,,)*$C19/$J19</f>
        <v>0</v>
      </c>
      <c r="J19" s="18">
        <f t="shared" si="0"/>
        <v>1</v>
      </c>
    </row>
    <row r="20" spans="1:10" ht="21" x14ac:dyDescent="0.2">
      <c r="A20" s="17"/>
      <c r="B20" s="17"/>
      <c r="C20" s="17"/>
      <c r="D20" s="17">
        <f>_xlfn.XLOOKUP(_xlfn.CONCAT($A20," - ",$B20),Food_Tratado!$A:$A,Food_Tratado!B:B,0,,)*$C20/$J20</f>
        <v>0</v>
      </c>
      <c r="E20" s="17">
        <f>_xlfn.XLOOKUP(_xlfn.CONCAT($A20," - ",$B20),Food_Tratado!$A:$A,Food_Tratado!C:C,0,,)*$C20/$J20</f>
        <v>0</v>
      </c>
      <c r="F20" s="17">
        <f>_xlfn.XLOOKUP(_xlfn.CONCAT($A20," - ",$B20),Food_Tratado!$A:$A,Food_Tratado!D:D,0,,)*$C20/$J20</f>
        <v>0</v>
      </c>
      <c r="G20" s="17">
        <f>_xlfn.XLOOKUP(_xlfn.CONCAT($A20," - ",$B20),Food_Tratado!$A:$A,Food_Tratado!E:E,0,,)*$C20/$J20</f>
        <v>0</v>
      </c>
      <c r="H20" s="17">
        <f>_xlfn.XLOOKUP(_xlfn.CONCAT($A20," - ",$B20),Food_Tratado!$A:$A,Food_Tratado!F:F,0,,)*$C20/$J20</f>
        <v>0</v>
      </c>
      <c r="I20" s="17">
        <f>_xlfn.XLOOKUP(_xlfn.CONCAT($A20," - ",$B20),Food_Tratado!$A:$A,Food_Tratado!G:G,0,,)*$C20/$J20</f>
        <v>0</v>
      </c>
      <c r="J20" s="18">
        <f t="shared" si="0"/>
        <v>1</v>
      </c>
    </row>
    <row r="21" spans="1:10" ht="22" thickBot="1" x14ac:dyDescent="0.25">
      <c r="A21" s="17"/>
      <c r="B21" s="17"/>
      <c r="C21" s="17"/>
      <c r="D21" s="17">
        <f>_xlfn.XLOOKUP(_xlfn.CONCAT($A21," - ",$B21),Food_Tratado!$A:$A,Food_Tratado!B:B,0,,)*$C21/$J21</f>
        <v>0</v>
      </c>
      <c r="E21" s="17">
        <f>_xlfn.XLOOKUP(_xlfn.CONCAT($A21," - ",$B21),Food_Tratado!$A:$A,Food_Tratado!C:C,0,,)*$C21/$J21</f>
        <v>0</v>
      </c>
      <c r="F21" s="17">
        <f>_xlfn.XLOOKUP(_xlfn.CONCAT($A21," - ",$B21),Food_Tratado!$A:$A,Food_Tratado!D:D,0,,)*$C21/$J21</f>
        <v>0</v>
      </c>
      <c r="G21" s="17">
        <f>_xlfn.XLOOKUP(_xlfn.CONCAT($A21," - ",$B21),Food_Tratado!$A:$A,Food_Tratado!E:E,0,,)*$C21/$J21</f>
        <v>0</v>
      </c>
      <c r="H21" s="17">
        <f>_xlfn.XLOOKUP(_xlfn.CONCAT($A21," - ",$B21),Food_Tratado!$A:$A,Food_Tratado!F:F,0,,)*$C21/$J21</f>
        <v>0</v>
      </c>
      <c r="I21" s="17">
        <f>_xlfn.XLOOKUP(_xlfn.CONCAT($A21," - ",$B21),Food_Tratado!$A:$A,Food_Tratado!G:G,0,,)*$C21/$J21</f>
        <v>0</v>
      </c>
      <c r="J21" s="18">
        <f t="shared" si="0"/>
        <v>1</v>
      </c>
    </row>
    <row r="22" spans="1:10" ht="20" thickBot="1" x14ac:dyDescent="0.25">
      <c r="A22" s="24" t="s">
        <v>12</v>
      </c>
      <c r="B22" s="25"/>
      <c r="C22" s="26"/>
      <c r="D22" s="19">
        <f>SUM(D14:D21)</f>
        <v>623.5</v>
      </c>
      <c r="E22" s="19">
        <f t="shared" ref="E22:I22" si="1">SUM(E14:E21)</f>
        <v>66.61</v>
      </c>
      <c r="F22" s="19">
        <f t="shared" si="1"/>
        <v>44.870000000000005</v>
      </c>
      <c r="G22" s="19">
        <f t="shared" si="1"/>
        <v>20.86</v>
      </c>
      <c r="H22" s="19">
        <f t="shared" si="1"/>
        <v>2.7813333333333334</v>
      </c>
      <c r="I22" s="19">
        <f t="shared" si="1"/>
        <v>407.70000000000005</v>
      </c>
    </row>
    <row r="25" spans="1:10" ht="17" thickBot="1" x14ac:dyDescent="0.25"/>
    <row r="26" spans="1:10" ht="25" thickBot="1" x14ac:dyDescent="0.3">
      <c r="A26" s="21" t="s">
        <v>6</v>
      </c>
      <c r="B26" s="22"/>
      <c r="C26" s="22"/>
      <c r="D26" s="22"/>
      <c r="E26" s="22"/>
      <c r="F26" s="22"/>
      <c r="G26" s="22"/>
      <c r="H26" s="22"/>
      <c r="I26" s="23"/>
      <c r="J26" s="15"/>
    </row>
    <row r="27" spans="1:10" ht="21" x14ac:dyDescent="0.25">
      <c r="A27" s="20" t="s">
        <v>1</v>
      </c>
      <c r="B27" s="20" t="s">
        <v>39</v>
      </c>
      <c r="C27" s="20" t="s">
        <v>0</v>
      </c>
      <c r="D27" s="20" t="s">
        <v>47</v>
      </c>
      <c r="E27" s="20" t="s">
        <v>48</v>
      </c>
      <c r="F27" s="20" t="s">
        <v>49</v>
      </c>
      <c r="G27" s="20" t="s">
        <v>50</v>
      </c>
      <c r="H27" s="20" t="s">
        <v>51</v>
      </c>
      <c r="I27" s="20" t="s">
        <v>52</v>
      </c>
      <c r="J27" s="16"/>
    </row>
    <row r="28" spans="1:10" ht="21" x14ac:dyDescent="0.2">
      <c r="A28" s="17" t="s">
        <v>43</v>
      </c>
      <c r="B28" s="17" t="s">
        <v>54</v>
      </c>
      <c r="C28" s="17">
        <v>100</v>
      </c>
      <c r="D28" s="17">
        <f>_xlfn.XLOOKUP(_xlfn.CONCAT($A28," - ",$B28),Food_Tratado!$A:$A,Food_Tratado!B:B,0,,)*$C28/$J28</f>
        <v>128</v>
      </c>
      <c r="E28" s="17">
        <f>_xlfn.XLOOKUP(_xlfn.CONCAT($A28," - ",$B28),Food_Tratado!$A:$A,Food_Tratado!C:C,0,,)*$C28/$J28</f>
        <v>26.5</v>
      </c>
      <c r="F28" s="17">
        <f>_xlfn.XLOOKUP(_xlfn.CONCAT($A28," - ",$B28),Food_Tratado!$A:$A,Food_Tratado!D:D,0,,)*$C28/$J28</f>
        <v>2.5</v>
      </c>
      <c r="G28" s="17">
        <f>_xlfn.XLOOKUP(_xlfn.CONCAT($A28," - ",$B28),Food_Tratado!$A:$A,Food_Tratado!E:E,0,,)*$C28/$J28</f>
        <v>0.2</v>
      </c>
      <c r="H28" s="17">
        <f>_xlfn.XLOOKUP(_xlfn.CONCAT($A28," - ",$B28),Food_Tratado!$A:$A,Food_Tratado!F:F,0,,)*$C28/$J28</f>
        <v>1.6</v>
      </c>
      <c r="I28" s="17">
        <f>_xlfn.XLOOKUP(_xlfn.CONCAT($A28," - ",$B28),Food_Tratado!$A:$A,Food_Tratado!G:G,0,,)*$C28/$J28</f>
        <v>1</v>
      </c>
      <c r="J28" s="18">
        <f>IF(B28="Gramas (100g)",100,1)</f>
        <v>100</v>
      </c>
    </row>
    <row r="29" spans="1:10" ht="21" x14ac:dyDescent="0.2">
      <c r="A29" s="17" t="s">
        <v>68</v>
      </c>
      <c r="B29" s="17" t="s">
        <v>54</v>
      </c>
      <c r="C29" s="17">
        <v>100</v>
      </c>
      <c r="D29" s="17">
        <f>_xlfn.XLOOKUP(_xlfn.CONCAT($A29," - ",$B29),Food_Tratado!$A:$A,Food_Tratado!B:B,0,,)*$C29/$J29</f>
        <v>76</v>
      </c>
      <c r="E29" s="17">
        <f>_xlfn.XLOOKUP(_xlfn.CONCAT($A29," - ",$B29),Food_Tratado!$A:$A,Food_Tratado!C:C,0,,)*$C29/$J29</f>
        <v>5.0999999999999996</v>
      </c>
      <c r="F29" s="17">
        <f>_xlfn.XLOOKUP(_xlfn.CONCAT($A29," - ",$B29),Food_Tratado!$A:$A,Food_Tratado!D:D,0,,)*$C29/$J29</f>
        <v>4.8</v>
      </c>
      <c r="G29" s="17">
        <f>_xlfn.XLOOKUP(_xlfn.CONCAT($A29," - ",$B29),Food_Tratado!$A:$A,Food_Tratado!E:E,0,,)*$C29/$J29</f>
        <v>0.5</v>
      </c>
      <c r="H29" s="17">
        <f>_xlfn.XLOOKUP(_xlfn.CONCAT($A29," - ",$B29),Food_Tratado!$A:$A,Food_Tratado!F:F,0,,)*$C29/$J29</f>
        <v>0</v>
      </c>
      <c r="I29" s="17">
        <f>_xlfn.XLOOKUP(_xlfn.CONCAT($A29," - ",$B29),Food_Tratado!$A:$A,Food_Tratado!G:G,0,,)*$C29/$J29</f>
        <v>2</v>
      </c>
      <c r="J29" s="18">
        <f>IF(B29="Gramas (100g)",100,1)</f>
        <v>100</v>
      </c>
    </row>
    <row r="30" spans="1:10" ht="21" x14ac:dyDescent="0.2">
      <c r="A30" s="17" t="s">
        <v>69</v>
      </c>
      <c r="B30" s="17" t="s">
        <v>54</v>
      </c>
      <c r="C30" s="17">
        <v>150</v>
      </c>
      <c r="D30" s="17">
        <f>_xlfn.XLOOKUP(_xlfn.CONCAT($A30," - ",$B30),Food_Tratado!$A:$A,Food_Tratado!B:B,0,,)*$C30/$J30</f>
        <v>238.5</v>
      </c>
      <c r="E30" s="17">
        <f>_xlfn.XLOOKUP(_xlfn.CONCAT($A30," - ",$B30),Food_Tratado!$A:$A,Food_Tratado!C:C,0,,)*$C30/$J30</f>
        <v>0</v>
      </c>
      <c r="F30" s="17">
        <f>_xlfn.XLOOKUP(_xlfn.CONCAT($A30," - ",$B30),Food_Tratado!$A:$A,Food_Tratado!D:D,0,,)*$C30/$J30</f>
        <v>48</v>
      </c>
      <c r="G30" s="17">
        <f>_xlfn.XLOOKUP(_xlfn.CONCAT($A30," - ",$B30),Food_Tratado!$A:$A,Food_Tratado!E:E,0,,)*$C30/$J30</f>
        <v>3.75</v>
      </c>
      <c r="H30" s="17">
        <f>_xlfn.XLOOKUP(_xlfn.CONCAT($A30," - ",$B30),Food_Tratado!$A:$A,Food_Tratado!F:F,0,,)*$C30/$J30</f>
        <v>2.4</v>
      </c>
      <c r="I30" s="17">
        <f>_xlfn.XLOOKUP(_xlfn.CONCAT($A30," - ",$B30),Food_Tratado!$A:$A,Food_Tratado!G:G,0,,)*$C30/$J30</f>
        <v>75</v>
      </c>
      <c r="J30" s="18">
        <f t="shared" ref="J30:J35" si="2">IF(B30="Gramas (100g)",100,1)</f>
        <v>100</v>
      </c>
    </row>
    <row r="31" spans="1:10" ht="21" x14ac:dyDescent="0.2">
      <c r="A31" s="17" t="s">
        <v>78</v>
      </c>
      <c r="B31" s="17" t="s">
        <v>45</v>
      </c>
      <c r="C31" s="17">
        <v>1.5</v>
      </c>
      <c r="D31" s="17">
        <f>_xlfn.XLOOKUP(_xlfn.CONCAT($A31," - ",$B31),Food_Tratado!$A:$A,Food_Tratado!B:B,0,,)*$C31/$J31</f>
        <v>162</v>
      </c>
      <c r="E31" s="17">
        <f>_xlfn.XLOOKUP(_xlfn.CONCAT($A31," - ",$B31),Food_Tratado!$A:$A,Food_Tratado!C:C,0,,)*$C31/$J31</f>
        <v>0</v>
      </c>
      <c r="F31" s="17">
        <f>_xlfn.XLOOKUP(_xlfn.CONCAT($A31," - ",$B31),Food_Tratado!$A:$A,Food_Tratado!D:D,0,,)*$C31/$J31</f>
        <v>0</v>
      </c>
      <c r="G31" s="17">
        <f>_xlfn.XLOOKUP(_xlfn.CONCAT($A31," - ",$B31),Food_Tratado!$A:$A,Food_Tratado!E:E,0,,)*$C31/$J31</f>
        <v>18</v>
      </c>
      <c r="H31" s="17">
        <f>_xlfn.XLOOKUP(_xlfn.CONCAT($A31," - ",$B31),Food_Tratado!$A:$A,Food_Tratado!F:F,0,,)*$C31/$J31</f>
        <v>0</v>
      </c>
      <c r="I31" s="17">
        <f>_xlfn.XLOOKUP(_xlfn.CONCAT($A31," - ",$B31),Food_Tratado!$A:$A,Food_Tratado!G:G,0,,)*$C31/$J31</f>
        <v>0</v>
      </c>
      <c r="J31" s="18">
        <f t="shared" si="2"/>
        <v>1</v>
      </c>
    </row>
    <row r="32" spans="1:10" ht="21" x14ac:dyDescent="0.2">
      <c r="A32" s="17"/>
      <c r="B32" s="17"/>
      <c r="C32" s="17"/>
      <c r="D32" s="17">
        <f>_xlfn.XLOOKUP(_xlfn.CONCAT($A32," - ",$B32),Food_Tratado!$A:$A,Food_Tratado!B:B,0,,)*$C32/$J32</f>
        <v>0</v>
      </c>
      <c r="E32" s="17">
        <f>_xlfn.XLOOKUP(_xlfn.CONCAT($A32," - ",$B32),Food_Tratado!$A:$A,Food_Tratado!C:C,0,,)*$C32/$J32</f>
        <v>0</v>
      </c>
      <c r="F32" s="17">
        <f>_xlfn.XLOOKUP(_xlfn.CONCAT($A32," - ",$B32),Food_Tratado!$A:$A,Food_Tratado!D:D,0,,)*$C32/$J32</f>
        <v>0</v>
      </c>
      <c r="G32" s="17">
        <f>_xlfn.XLOOKUP(_xlfn.CONCAT($A32," - ",$B32),Food_Tratado!$A:$A,Food_Tratado!E:E,0,,)*$C32/$J32</f>
        <v>0</v>
      </c>
      <c r="H32" s="17">
        <f>_xlfn.XLOOKUP(_xlfn.CONCAT($A32," - ",$B32),Food_Tratado!$A:$A,Food_Tratado!F:F,0,,)*$C32/$J32</f>
        <v>0</v>
      </c>
      <c r="I32" s="17">
        <f>_xlfn.XLOOKUP(_xlfn.CONCAT($A32," - ",$B32),Food_Tratado!$A:$A,Food_Tratado!G:G,0,,)*$C32/$J32</f>
        <v>0</v>
      </c>
      <c r="J32" s="18">
        <f t="shared" si="2"/>
        <v>1</v>
      </c>
    </row>
    <row r="33" spans="1:10" ht="21" x14ac:dyDescent="0.2">
      <c r="A33" s="17"/>
      <c r="B33" s="17"/>
      <c r="C33" s="17"/>
      <c r="D33" s="17">
        <f>_xlfn.XLOOKUP(_xlfn.CONCAT($A33," - ",$B33),Food_Tratado!$A:$A,Food_Tratado!B:B,0,,)*$C33/$J33</f>
        <v>0</v>
      </c>
      <c r="E33" s="17">
        <f>_xlfn.XLOOKUP(_xlfn.CONCAT($A33," - ",$B33),Food_Tratado!$A:$A,Food_Tratado!C:C,0,,)*$C33/$J33</f>
        <v>0</v>
      </c>
      <c r="F33" s="17">
        <f>_xlfn.XLOOKUP(_xlfn.CONCAT($A33," - ",$B33),Food_Tratado!$A:$A,Food_Tratado!D:D,0,,)*$C33/$J33</f>
        <v>0</v>
      </c>
      <c r="G33" s="17">
        <f>_xlfn.XLOOKUP(_xlfn.CONCAT($A33," - ",$B33),Food_Tratado!$A:$A,Food_Tratado!E:E,0,,)*$C33/$J33</f>
        <v>0</v>
      </c>
      <c r="H33" s="17">
        <f>_xlfn.XLOOKUP(_xlfn.CONCAT($A33," - ",$B33),Food_Tratado!$A:$A,Food_Tratado!F:F,0,,)*$C33/$J33</f>
        <v>0</v>
      </c>
      <c r="I33" s="17">
        <f>_xlfn.XLOOKUP(_xlfn.CONCAT($A33," - ",$B33),Food_Tratado!$A:$A,Food_Tratado!G:G,0,,)*$C33/$J33</f>
        <v>0</v>
      </c>
      <c r="J33" s="18">
        <f t="shared" si="2"/>
        <v>1</v>
      </c>
    </row>
    <row r="34" spans="1:10" ht="21" x14ac:dyDescent="0.2">
      <c r="A34" s="17"/>
      <c r="B34" s="17"/>
      <c r="C34" s="17"/>
      <c r="D34" s="17">
        <f>_xlfn.XLOOKUP(_xlfn.CONCAT($A34," - ",$B34),Food_Tratado!$A:$A,Food_Tratado!B:B,0,,)*$C34/$J34</f>
        <v>0</v>
      </c>
      <c r="E34" s="17">
        <f>_xlfn.XLOOKUP(_xlfn.CONCAT($A34," - ",$B34),Food_Tratado!$A:$A,Food_Tratado!C:C,0,,)*$C34/$J34</f>
        <v>0</v>
      </c>
      <c r="F34" s="17">
        <f>_xlfn.XLOOKUP(_xlfn.CONCAT($A34," - ",$B34),Food_Tratado!$A:$A,Food_Tratado!D:D,0,,)*$C34/$J34</f>
        <v>0</v>
      </c>
      <c r="G34" s="17">
        <f>_xlfn.XLOOKUP(_xlfn.CONCAT($A34," - ",$B34),Food_Tratado!$A:$A,Food_Tratado!E:E,0,,)*$C34/$J34</f>
        <v>0</v>
      </c>
      <c r="H34" s="17">
        <f>_xlfn.XLOOKUP(_xlfn.CONCAT($A34," - ",$B34),Food_Tratado!$A:$A,Food_Tratado!F:F,0,,)*$C34/$J34</f>
        <v>0</v>
      </c>
      <c r="I34" s="17">
        <f>_xlfn.XLOOKUP(_xlfn.CONCAT($A34," - ",$B34),Food_Tratado!$A:$A,Food_Tratado!G:G,0,,)*$C34/$J34</f>
        <v>0</v>
      </c>
      <c r="J34" s="18">
        <f t="shared" si="2"/>
        <v>1</v>
      </c>
    </row>
    <row r="35" spans="1:10" ht="22" thickBot="1" x14ac:dyDescent="0.25">
      <c r="A35" s="17"/>
      <c r="B35" s="17"/>
      <c r="C35" s="17"/>
      <c r="D35" s="17">
        <f>_xlfn.XLOOKUP(_xlfn.CONCAT($A35," - ",$B35),Food_Tratado!$A:$A,Food_Tratado!B:B,0,,)*$C35/$J35</f>
        <v>0</v>
      </c>
      <c r="E35" s="17">
        <f>_xlfn.XLOOKUP(_xlfn.CONCAT($A35," - ",$B35),Food_Tratado!$A:$A,Food_Tratado!C:C,0,,)*$C35/$J35</f>
        <v>0</v>
      </c>
      <c r="F35" s="17">
        <f>_xlfn.XLOOKUP(_xlfn.CONCAT($A35," - ",$B35),Food_Tratado!$A:$A,Food_Tratado!D:D,0,,)*$C35/$J35</f>
        <v>0</v>
      </c>
      <c r="G35" s="17">
        <f>_xlfn.XLOOKUP(_xlfn.CONCAT($A35," - ",$B35),Food_Tratado!$A:$A,Food_Tratado!E:E,0,,)*$C35/$J35</f>
        <v>0</v>
      </c>
      <c r="H35" s="17">
        <f>_xlfn.XLOOKUP(_xlfn.CONCAT($A35," - ",$B35),Food_Tratado!$A:$A,Food_Tratado!F:F,0,,)*$C35/$J35</f>
        <v>0</v>
      </c>
      <c r="I35" s="17">
        <f>_xlfn.XLOOKUP(_xlfn.CONCAT($A35," - ",$B35),Food_Tratado!$A:$A,Food_Tratado!G:G,0,,)*$C35/$J35</f>
        <v>0</v>
      </c>
      <c r="J35" s="18">
        <f t="shared" si="2"/>
        <v>1</v>
      </c>
    </row>
    <row r="36" spans="1:10" ht="20" thickBot="1" x14ac:dyDescent="0.25">
      <c r="A36" s="24" t="s">
        <v>12</v>
      </c>
      <c r="B36" s="25"/>
      <c r="C36" s="26"/>
      <c r="D36" s="19">
        <f>SUM(D28:D35)</f>
        <v>604.5</v>
      </c>
      <c r="E36" s="19">
        <f t="shared" ref="E36:I36" si="3">SUM(E28:E35)</f>
        <v>31.6</v>
      </c>
      <c r="F36" s="19">
        <f t="shared" si="3"/>
        <v>55.3</v>
      </c>
      <c r="G36" s="19">
        <f t="shared" si="3"/>
        <v>22.45</v>
      </c>
      <c r="H36" s="19">
        <f t="shared" si="3"/>
        <v>4</v>
      </c>
      <c r="I36" s="19">
        <f t="shared" si="3"/>
        <v>78</v>
      </c>
    </row>
    <row r="39" spans="1:10" ht="17" thickBot="1" x14ac:dyDescent="0.25"/>
    <row r="40" spans="1:10" ht="25" thickBot="1" x14ac:dyDescent="0.3">
      <c r="A40" s="21" t="s">
        <v>55</v>
      </c>
      <c r="B40" s="22"/>
      <c r="C40" s="22"/>
      <c r="D40" s="22"/>
      <c r="E40" s="22"/>
      <c r="F40" s="22"/>
      <c r="G40" s="22"/>
      <c r="H40" s="22"/>
      <c r="I40" s="23"/>
      <c r="J40" s="15"/>
    </row>
    <row r="41" spans="1:10" ht="21" x14ac:dyDescent="0.25">
      <c r="A41" s="20" t="s">
        <v>1</v>
      </c>
      <c r="B41" s="20" t="s">
        <v>39</v>
      </c>
      <c r="C41" s="20" t="s">
        <v>0</v>
      </c>
      <c r="D41" s="20" t="s">
        <v>47</v>
      </c>
      <c r="E41" s="20" t="s">
        <v>48</v>
      </c>
      <c r="F41" s="20" t="s">
        <v>49</v>
      </c>
      <c r="G41" s="20" t="s">
        <v>50</v>
      </c>
      <c r="H41" s="20" t="s">
        <v>51</v>
      </c>
      <c r="I41" s="20" t="s">
        <v>52</v>
      </c>
      <c r="J41" s="16"/>
    </row>
    <row r="42" spans="1:10" ht="21" x14ac:dyDescent="0.2">
      <c r="A42" s="17" t="s">
        <v>43</v>
      </c>
      <c r="B42" s="17" t="s">
        <v>54</v>
      </c>
      <c r="C42" s="17">
        <v>80</v>
      </c>
      <c r="D42" s="17">
        <f>_xlfn.XLOOKUP(_xlfn.CONCAT($A42," - ",$B42),Food_Tratado!$A:$A,Food_Tratado!B:B,0,,)*$C42/$J42</f>
        <v>102.4</v>
      </c>
      <c r="E42" s="17">
        <f>_xlfn.XLOOKUP(_xlfn.CONCAT($A42," - ",$B42),Food_Tratado!$A:$A,Food_Tratado!C:C,0,,)*$C42/$J42</f>
        <v>21.2</v>
      </c>
      <c r="F42" s="17">
        <f>_xlfn.XLOOKUP(_xlfn.CONCAT($A42," - ",$B42),Food_Tratado!$A:$A,Food_Tratado!D:D,0,,)*$C42/$J42</f>
        <v>2</v>
      </c>
      <c r="G42" s="17">
        <f>_xlfn.XLOOKUP(_xlfn.CONCAT($A42," - ",$B42),Food_Tratado!$A:$A,Food_Tratado!E:E,0,,)*$C42/$J42</f>
        <v>0.16</v>
      </c>
      <c r="H42" s="17">
        <f>_xlfn.XLOOKUP(_xlfn.CONCAT($A42," - ",$B42),Food_Tratado!$A:$A,Food_Tratado!F:F,0,,)*$C42/$J42</f>
        <v>1.28</v>
      </c>
      <c r="I42" s="17">
        <f>_xlfn.XLOOKUP(_xlfn.CONCAT($A42," - ",$B42),Food_Tratado!$A:$A,Food_Tratado!G:G,0,,)*$C42/$J42</f>
        <v>0.8</v>
      </c>
      <c r="J42" s="18">
        <f>IF(B42="Gramas (100g)",100,1)</f>
        <v>100</v>
      </c>
    </row>
    <row r="43" spans="1:10" ht="21" x14ac:dyDescent="0.2">
      <c r="A43" s="17" t="s">
        <v>69</v>
      </c>
      <c r="B43" s="17" t="s">
        <v>54</v>
      </c>
      <c r="C43" s="17">
        <v>100</v>
      </c>
      <c r="D43" s="17">
        <f>_xlfn.XLOOKUP(_xlfn.CONCAT($A43," - ",$B43),Food_Tratado!$A:$A,Food_Tratado!B:B,0,,)*$C43/$J43</f>
        <v>159</v>
      </c>
      <c r="E43" s="17">
        <f>_xlfn.XLOOKUP(_xlfn.CONCAT($A43," - ",$B43),Food_Tratado!$A:$A,Food_Tratado!C:C,0,,)*$C43/$J43</f>
        <v>0</v>
      </c>
      <c r="F43" s="17">
        <f>_xlfn.XLOOKUP(_xlfn.CONCAT($A43," - ",$B43),Food_Tratado!$A:$A,Food_Tratado!D:D,0,,)*$C43/$J43</f>
        <v>32</v>
      </c>
      <c r="G43" s="17">
        <f>_xlfn.XLOOKUP(_xlfn.CONCAT($A43," - ",$B43),Food_Tratado!$A:$A,Food_Tratado!E:E,0,,)*$C43/$J43</f>
        <v>2.5</v>
      </c>
      <c r="H43" s="17">
        <f>_xlfn.XLOOKUP(_xlfn.CONCAT($A43," - ",$B43),Food_Tratado!$A:$A,Food_Tratado!F:F,0,,)*$C43/$J43</f>
        <v>1.6</v>
      </c>
      <c r="I43" s="17">
        <f>_xlfn.XLOOKUP(_xlfn.CONCAT($A43," - ",$B43),Food_Tratado!$A:$A,Food_Tratado!G:G,0,,)*$C43/$J43</f>
        <v>50</v>
      </c>
      <c r="J43" s="18">
        <f>IF(B43="Gramas (100g)",100,1)</f>
        <v>100</v>
      </c>
    </row>
    <row r="44" spans="1:10" ht="21" x14ac:dyDescent="0.2">
      <c r="A44" s="17" t="s">
        <v>73</v>
      </c>
      <c r="B44" s="17" t="s">
        <v>54</v>
      </c>
      <c r="C44" s="17">
        <v>15</v>
      </c>
      <c r="D44" s="17">
        <f>_xlfn.XLOOKUP(_xlfn.CONCAT($A44," - ",$B44),Food_Tratado!$A:$A,Food_Tratado!B:B,0,,)*$C44/$J44</f>
        <v>51.75</v>
      </c>
      <c r="E44" s="17">
        <f>_xlfn.XLOOKUP(_xlfn.CONCAT($A44," - ",$B44),Food_Tratado!$A:$A,Food_Tratado!C:C,0,,)*$C44/$J44</f>
        <v>9</v>
      </c>
      <c r="F44" s="17">
        <f>_xlfn.XLOOKUP(_xlfn.CONCAT($A44," - ",$B44),Food_Tratado!$A:$A,Food_Tratado!D:D,0,,)*$C44/$J44</f>
        <v>0.9</v>
      </c>
      <c r="G44" s="17">
        <f>_xlfn.XLOOKUP(_xlfn.CONCAT($A44," - ",$B44),Food_Tratado!$A:$A,Food_Tratado!E:E,0,,)*$C44/$J44</f>
        <v>1.125</v>
      </c>
      <c r="H44" s="17">
        <f>_xlfn.XLOOKUP(_xlfn.CONCAT($A44," - ",$B44),Food_Tratado!$A:$A,Food_Tratado!F:F,0,,)*$C44/$J44</f>
        <v>0</v>
      </c>
      <c r="I44" s="17">
        <f>_xlfn.XLOOKUP(_xlfn.CONCAT($A44," - ",$B44),Food_Tratado!$A:$A,Food_Tratado!G:G,0,,)*$C44/$J44</f>
        <v>20.25</v>
      </c>
      <c r="J44" s="18">
        <f t="shared" ref="J44:J49" si="4">IF(B44="Gramas (100g)",100,1)</f>
        <v>100</v>
      </c>
    </row>
    <row r="45" spans="1:10" ht="21" x14ac:dyDescent="0.2">
      <c r="A45" s="17"/>
      <c r="B45" s="17"/>
      <c r="C45" s="17"/>
      <c r="D45" s="17">
        <f>_xlfn.XLOOKUP(_xlfn.CONCAT($A45," - ",$B45),Food_Tratado!$A:$A,Food_Tratado!B:B,0,,)*$C45/$J45</f>
        <v>0</v>
      </c>
      <c r="E45" s="17">
        <f>_xlfn.XLOOKUP(_xlfn.CONCAT($A45," - ",$B45),Food_Tratado!$A:$A,Food_Tratado!C:C,0,,)*$C45/$J45</f>
        <v>0</v>
      </c>
      <c r="F45" s="17">
        <f>_xlfn.XLOOKUP(_xlfn.CONCAT($A45," - ",$B45),Food_Tratado!$A:$A,Food_Tratado!D:D,0,,)*$C45/$J45</f>
        <v>0</v>
      </c>
      <c r="G45" s="17">
        <f>_xlfn.XLOOKUP(_xlfn.CONCAT($A45," - ",$B45),Food_Tratado!$A:$A,Food_Tratado!E:E,0,,)*$C45/$J45</f>
        <v>0</v>
      </c>
      <c r="H45" s="17">
        <f>_xlfn.XLOOKUP(_xlfn.CONCAT($A45," - ",$B45),Food_Tratado!$A:$A,Food_Tratado!F:F,0,,)*$C45/$J45</f>
        <v>0</v>
      </c>
      <c r="I45" s="17">
        <f>_xlfn.XLOOKUP(_xlfn.CONCAT($A45," - ",$B45),Food_Tratado!$A:$A,Food_Tratado!G:G,0,,)*$C45/$J45</f>
        <v>0</v>
      </c>
      <c r="J45" s="18">
        <f t="shared" si="4"/>
        <v>1</v>
      </c>
    </row>
    <row r="46" spans="1:10" ht="21" x14ac:dyDescent="0.2">
      <c r="A46" s="17"/>
      <c r="B46" s="17"/>
      <c r="C46" s="17"/>
      <c r="D46" s="17">
        <f>_xlfn.XLOOKUP(_xlfn.CONCAT($A46," - ",$B46),Food_Tratado!$A:$A,Food_Tratado!B:B,0,,)*$C46/$J46</f>
        <v>0</v>
      </c>
      <c r="E46" s="17">
        <f>_xlfn.XLOOKUP(_xlfn.CONCAT($A46," - ",$B46),Food_Tratado!$A:$A,Food_Tratado!C:C,0,,)*$C46/$J46</f>
        <v>0</v>
      </c>
      <c r="F46" s="17">
        <f>_xlfn.XLOOKUP(_xlfn.CONCAT($A46," - ",$B46),Food_Tratado!$A:$A,Food_Tratado!D:D,0,,)*$C46/$J46</f>
        <v>0</v>
      </c>
      <c r="G46" s="17">
        <f>_xlfn.XLOOKUP(_xlfn.CONCAT($A46," - ",$B46),Food_Tratado!$A:$A,Food_Tratado!E:E,0,,)*$C46/$J46</f>
        <v>0</v>
      </c>
      <c r="H46" s="17">
        <f>_xlfn.XLOOKUP(_xlfn.CONCAT($A46," - ",$B46),Food_Tratado!$A:$A,Food_Tratado!F:F,0,,)*$C46/$J46</f>
        <v>0</v>
      </c>
      <c r="I46" s="17">
        <f>_xlfn.XLOOKUP(_xlfn.CONCAT($A46," - ",$B46),Food_Tratado!$A:$A,Food_Tratado!G:G,0,,)*$C46/$J46</f>
        <v>0</v>
      </c>
      <c r="J46" s="18">
        <f t="shared" si="4"/>
        <v>1</v>
      </c>
    </row>
    <row r="47" spans="1:10" ht="21" x14ac:dyDescent="0.2">
      <c r="A47" s="17"/>
      <c r="B47" s="17"/>
      <c r="C47" s="17"/>
      <c r="D47" s="17">
        <f>_xlfn.XLOOKUP(_xlfn.CONCAT($A47," - ",$B47),Food_Tratado!$A:$A,Food_Tratado!B:B,0,,)*$C47/$J47</f>
        <v>0</v>
      </c>
      <c r="E47" s="17">
        <f>_xlfn.XLOOKUP(_xlfn.CONCAT($A47," - ",$B47),Food_Tratado!$A:$A,Food_Tratado!C:C,0,,)*$C47/$J47</f>
        <v>0</v>
      </c>
      <c r="F47" s="17">
        <f>_xlfn.XLOOKUP(_xlfn.CONCAT($A47," - ",$B47),Food_Tratado!$A:$A,Food_Tratado!D:D,0,,)*$C47/$J47</f>
        <v>0</v>
      </c>
      <c r="G47" s="17">
        <f>_xlfn.XLOOKUP(_xlfn.CONCAT($A47," - ",$B47),Food_Tratado!$A:$A,Food_Tratado!E:E,0,,)*$C47/$J47</f>
        <v>0</v>
      </c>
      <c r="H47" s="17">
        <f>_xlfn.XLOOKUP(_xlfn.CONCAT($A47," - ",$B47),Food_Tratado!$A:$A,Food_Tratado!F:F,0,,)*$C47/$J47</f>
        <v>0</v>
      </c>
      <c r="I47" s="17">
        <f>_xlfn.XLOOKUP(_xlfn.CONCAT($A47," - ",$B47),Food_Tratado!$A:$A,Food_Tratado!G:G,0,,)*$C47/$J47</f>
        <v>0</v>
      </c>
      <c r="J47" s="18">
        <f t="shared" si="4"/>
        <v>1</v>
      </c>
    </row>
    <row r="48" spans="1:10" ht="21" x14ac:dyDescent="0.2">
      <c r="A48" s="17"/>
      <c r="B48" s="17"/>
      <c r="C48" s="17"/>
      <c r="D48" s="17">
        <f>_xlfn.XLOOKUP(_xlfn.CONCAT($A48," - ",$B48),Food_Tratado!$A:$A,Food_Tratado!B:B,0,,)*$C48/$J48</f>
        <v>0</v>
      </c>
      <c r="E48" s="17">
        <f>_xlfn.XLOOKUP(_xlfn.CONCAT($A48," - ",$B48),Food_Tratado!$A:$A,Food_Tratado!C:C,0,,)*$C48/$J48</f>
        <v>0</v>
      </c>
      <c r="F48" s="17">
        <f>_xlfn.XLOOKUP(_xlfn.CONCAT($A48," - ",$B48),Food_Tratado!$A:$A,Food_Tratado!D:D,0,,)*$C48/$J48</f>
        <v>0</v>
      </c>
      <c r="G48" s="17">
        <f>_xlfn.XLOOKUP(_xlfn.CONCAT($A48," - ",$B48),Food_Tratado!$A:$A,Food_Tratado!E:E,0,,)*$C48/$J48</f>
        <v>0</v>
      </c>
      <c r="H48" s="17">
        <f>_xlfn.XLOOKUP(_xlfn.CONCAT($A48," - ",$B48),Food_Tratado!$A:$A,Food_Tratado!F:F,0,,)*$C48/$J48</f>
        <v>0</v>
      </c>
      <c r="I48" s="17">
        <f>_xlfn.XLOOKUP(_xlfn.CONCAT($A48," - ",$B48),Food_Tratado!$A:$A,Food_Tratado!G:G,0,,)*$C48/$J48</f>
        <v>0</v>
      </c>
      <c r="J48" s="18">
        <f t="shared" si="4"/>
        <v>1</v>
      </c>
    </row>
    <row r="49" spans="1:10" ht="22" thickBot="1" x14ac:dyDescent="0.25">
      <c r="A49" s="17"/>
      <c r="B49" s="17"/>
      <c r="C49" s="17"/>
      <c r="D49" s="17">
        <f>_xlfn.XLOOKUP(_xlfn.CONCAT($A49," - ",$B49),Food_Tratado!$A:$A,Food_Tratado!B:B,0,,)*$C49/$J49</f>
        <v>0</v>
      </c>
      <c r="E49" s="17">
        <f>_xlfn.XLOOKUP(_xlfn.CONCAT($A49," - ",$B49),Food_Tratado!$A:$A,Food_Tratado!C:C,0,,)*$C49/$J49</f>
        <v>0</v>
      </c>
      <c r="F49" s="17">
        <f>_xlfn.XLOOKUP(_xlfn.CONCAT($A49," - ",$B49),Food_Tratado!$A:$A,Food_Tratado!D:D,0,,)*$C49/$J49</f>
        <v>0</v>
      </c>
      <c r="G49" s="17">
        <f>_xlfn.XLOOKUP(_xlfn.CONCAT($A49," - ",$B49),Food_Tratado!$A:$A,Food_Tratado!E:E,0,,)*$C49/$J49</f>
        <v>0</v>
      </c>
      <c r="H49" s="17">
        <f>_xlfn.XLOOKUP(_xlfn.CONCAT($A49," - ",$B49),Food_Tratado!$A:$A,Food_Tratado!F:F,0,,)*$C49/$J49</f>
        <v>0</v>
      </c>
      <c r="I49" s="17">
        <f>_xlfn.XLOOKUP(_xlfn.CONCAT($A49," - ",$B49),Food_Tratado!$A:$A,Food_Tratado!G:G,0,,)*$C49/$J49</f>
        <v>0</v>
      </c>
      <c r="J49" s="18">
        <f t="shared" si="4"/>
        <v>1</v>
      </c>
    </row>
    <row r="50" spans="1:10" ht="20" thickBot="1" x14ac:dyDescent="0.25">
      <c r="A50" s="24" t="s">
        <v>12</v>
      </c>
      <c r="B50" s="25"/>
      <c r="C50" s="26"/>
      <c r="D50" s="19">
        <f>SUM(D42:D49)</f>
        <v>313.14999999999998</v>
      </c>
      <c r="E50" s="19">
        <f t="shared" ref="E50:I50" si="5">SUM(E42:E49)</f>
        <v>30.2</v>
      </c>
      <c r="F50" s="19">
        <f t="shared" si="5"/>
        <v>34.9</v>
      </c>
      <c r="G50" s="19">
        <f t="shared" si="5"/>
        <v>3.7850000000000001</v>
      </c>
      <c r="H50" s="19">
        <f t="shared" si="5"/>
        <v>2.88</v>
      </c>
      <c r="I50" s="19">
        <f t="shared" si="5"/>
        <v>71.05</v>
      </c>
    </row>
    <row r="53" spans="1:10" ht="17" thickBot="1" x14ac:dyDescent="0.25"/>
    <row r="54" spans="1:10" ht="25" thickBot="1" x14ac:dyDescent="0.3">
      <c r="A54" s="21" t="s">
        <v>67</v>
      </c>
      <c r="B54" s="22"/>
      <c r="C54" s="22"/>
      <c r="D54" s="22"/>
      <c r="E54" s="22"/>
      <c r="F54" s="22"/>
      <c r="G54" s="22"/>
      <c r="H54" s="22"/>
      <c r="I54" s="23"/>
      <c r="J54" s="15"/>
    </row>
    <row r="55" spans="1:10" ht="21" x14ac:dyDescent="0.25">
      <c r="A55" s="20" t="s">
        <v>1</v>
      </c>
      <c r="B55" s="20" t="s">
        <v>39</v>
      </c>
      <c r="C55" s="20" t="s">
        <v>0</v>
      </c>
      <c r="D55" s="20" t="s">
        <v>47</v>
      </c>
      <c r="E55" s="20" t="s">
        <v>48</v>
      </c>
      <c r="F55" s="20" t="s">
        <v>49</v>
      </c>
      <c r="G55" s="20" t="s">
        <v>50</v>
      </c>
      <c r="H55" s="20" t="s">
        <v>51</v>
      </c>
      <c r="I55" s="20" t="s">
        <v>52</v>
      </c>
      <c r="J55" s="16"/>
    </row>
    <row r="56" spans="1:10" ht="21" x14ac:dyDescent="0.2">
      <c r="A56" s="17"/>
      <c r="B56" s="17"/>
      <c r="C56" s="17"/>
      <c r="D56" s="17">
        <f>_xlfn.XLOOKUP(_xlfn.CONCAT($A56," - ",$B56),Food_Tratado!$A:$A,Food_Tratado!B:B,0,,)*$C56/$J56</f>
        <v>0</v>
      </c>
      <c r="E56" s="17">
        <f>_xlfn.XLOOKUP(_xlfn.CONCAT($A56," - ",$B56),Food_Tratado!$A:$A,Food_Tratado!C:C,0,,)*$C56/$J56</f>
        <v>0</v>
      </c>
      <c r="F56" s="17">
        <f>_xlfn.XLOOKUP(_xlfn.CONCAT($A56," - ",$B56),Food_Tratado!$A:$A,Food_Tratado!D:D,0,,)*$C56/$J56</f>
        <v>0</v>
      </c>
      <c r="G56" s="17">
        <f>_xlfn.XLOOKUP(_xlfn.CONCAT($A56," - ",$B56),Food_Tratado!$A:$A,Food_Tratado!E:E,0,,)*$C56/$J56</f>
        <v>0</v>
      </c>
      <c r="H56" s="17">
        <f>_xlfn.XLOOKUP(_xlfn.CONCAT($A56," - ",$B56),Food_Tratado!$A:$A,Food_Tratado!F:F,0,,)*$C56/$J56</f>
        <v>0</v>
      </c>
      <c r="I56" s="17">
        <f>_xlfn.XLOOKUP(_xlfn.CONCAT($A56," - ",$B56),Food_Tratado!$A:$A,Food_Tratado!G:G,0,,)*$C56/$J56</f>
        <v>0</v>
      </c>
      <c r="J56" s="18">
        <f t="shared" ref="J56" si="6">IF(B56="Gramas (100g)",100,1)</f>
        <v>1</v>
      </c>
    </row>
    <row r="57" spans="1:10" ht="21" x14ac:dyDescent="0.2">
      <c r="A57" s="17"/>
      <c r="B57" s="17"/>
      <c r="C57" s="17"/>
      <c r="D57" s="17">
        <f>_xlfn.XLOOKUP(_xlfn.CONCAT($A57," - ",$B57),Food_Tratado!$A:$A,Food_Tratado!B:B,0,,)*$C57/$J57</f>
        <v>0</v>
      </c>
      <c r="E57" s="17">
        <f>_xlfn.XLOOKUP(_xlfn.CONCAT($A57," - ",$B57),Food_Tratado!$A:$A,Food_Tratado!C:C,0,,)*$C57/$J57</f>
        <v>0</v>
      </c>
      <c r="F57" s="17">
        <f>_xlfn.XLOOKUP(_xlfn.CONCAT($A57," - ",$B57),Food_Tratado!$A:$A,Food_Tratado!D:D,0,,)*$C57/$J57</f>
        <v>0</v>
      </c>
      <c r="G57" s="17">
        <f>_xlfn.XLOOKUP(_xlfn.CONCAT($A57," - ",$B57),Food_Tratado!$A:$A,Food_Tratado!E:E,0,,)*$C57/$J57</f>
        <v>0</v>
      </c>
      <c r="H57" s="17">
        <f>_xlfn.XLOOKUP(_xlfn.CONCAT($A57," - ",$B57),Food_Tratado!$A:$A,Food_Tratado!F:F,0,,)*$C57/$J57</f>
        <v>0</v>
      </c>
      <c r="I57" s="17">
        <f>_xlfn.XLOOKUP(_xlfn.CONCAT($A57," - ",$B57),Food_Tratado!$A:$A,Food_Tratado!G:G,0,,)*$C57/$J57</f>
        <v>0</v>
      </c>
      <c r="J57" s="18">
        <f>IF(B57="Gramas (100g)",100,1)</f>
        <v>1</v>
      </c>
    </row>
    <row r="58" spans="1:10" ht="21" x14ac:dyDescent="0.2">
      <c r="A58" s="17"/>
      <c r="B58" s="17"/>
      <c r="C58" s="17"/>
      <c r="D58" s="17">
        <f>_xlfn.XLOOKUP(_xlfn.CONCAT($A58," - ",$B58),Food_Tratado!$A:$A,Food_Tratado!B:B,0,,)*$C58/$J58</f>
        <v>0</v>
      </c>
      <c r="E58" s="17">
        <f>_xlfn.XLOOKUP(_xlfn.CONCAT($A58," - ",$B58),Food_Tratado!$A:$A,Food_Tratado!C:C,0,,)*$C58/$J58</f>
        <v>0</v>
      </c>
      <c r="F58" s="17">
        <f>_xlfn.XLOOKUP(_xlfn.CONCAT($A58," - ",$B58),Food_Tratado!$A:$A,Food_Tratado!D:D,0,,)*$C58/$J58</f>
        <v>0</v>
      </c>
      <c r="G58" s="17">
        <f>_xlfn.XLOOKUP(_xlfn.CONCAT($A58," - ",$B58),Food_Tratado!$A:$A,Food_Tratado!E:E,0,,)*$C58/$J58</f>
        <v>0</v>
      </c>
      <c r="H58" s="17">
        <f>_xlfn.XLOOKUP(_xlfn.CONCAT($A58," - ",$B58),Food_Tratado!$A:$A,Food_Tratado!F:F,0,,)*$C58/$J58</f>
        <v>0</v>
      </c>
      <c r="I58" s="17">
        <f>_xlfn.XLOOKUP(_xlfn.CONCAT($A58," - ",$B58),Food_Tratado!$A:$A,Food_Tratado!G:G,0,,)*$C58/$J58</f>
        <v>0</v>
      </c>
      <c r="J58" s="18">
        <f t="shared" ref="J58:J63" si="7">IF(B58="Gramas (100g)",100,1)</f>
        <v>1</v>
      </c>
    </row>
    <row r="59" spans="1:10" ht="21" x14ac:dyDescent="0.2">
      <c r="A59" s="17"/>
      <c r="B59" s="17"/>
      <c r="C59" s="17"/>
      <c r="D59" s="17">
        <f>_xlfn.XLOOKUP(_xlfn.CONCAT($A59," - ",$B59),Food_Tratado!$A:$A,Food_Tratado!B:B,0,,)*$C59/$J59</f>
        <v>0</v>
      </c>
      <c r="E59" s="17">
        <f>_xlfn.XLOOKUP(_xlfn.CONCAT($A59," - ",$B59),Food_Tratado!$A:$A,Food_Tratado!C:C,0,,)*$C59/$J59</f>
        <v>0</v>
      </c>
      <c r="F59" s="17">
        <f>_xlfn.XLOOKUP(_xlfn.CONCAT($A59," - ",$B59),Food_Tratado!$A:$A,Food_Tratado!D:D,0,,)*$C59/$J59</f>
        <v>0</v>
      </c>
      <c r="G59" s="17">
        <f>_xlfn.XLOOKUP(_xlfn.CONCAT($A59," - ",$B59),Food_Tratado!$A:$A,Food_Tratado!E:E,0,,)*$C59/$J59</f>
        <v>0</v>
      </c>
      <c r="H59" s="17">
        <f>_xlfn.XLOOKUP(_xlfn.CONCAT($A59," - ",$B59),Food_Tratado!$A:$A,Food_Tratado!F:F,0,,)*$C59/$J59</f>
        <v>0</v>
      </c>
      <c r="I59" s="17">
        <f>_xlfn.XLOOKUP(_xlfn.CONCAT($A59," - ",$B59),Food_Tratado!$A:$A,Food_Tratado!G:G,0,,)*$C59/$J59</f>
        <v>0</v>
      </c>
      <c r="J59" s="18">
        <f t="shared" si="7"/>
        <v>1</v>
      </c>
    </row>
    <row r="60" spans="1:10" ht="21" x14ac:dyDescent="0.2">
      <c r="A60" s="17"/>
      <c r="B60" s="17"/>
      <c r="C60" s="17"/>
      <c r="D60" s="17">
        <f>_xlfn.XLOOKUP(_xlfn.CONCAT($A60," - ",$B60),Food_Tratado!$A:$A,Food_Tratado!B:B,0,,)*$C60/$J60</f>
        <v>0</v>
      </c>
      <c r="E60" s="17">
        <f>_xlfn.XLOOKUP(_xlfn.CONCAT($A60," - ",$B60),Food_Tratado!$A:$A,Food_Tratado!C:C,0,,)*$C60/$J60</f>
        <v>0</v>
      </c>
      <c r="F60" s="17">
        <f>_xlfn.XLOOKUP(_xlfn.CONCAT($A60," - ",$B60),Food_Tratado!$A:$A,Food_Tratado!D:D,0,,)*$C60/$J60</f>
        <v>0</v>
      </c>
      <c r="G60" s="17">
        <f>_xlfn.XLOOKUP(_xlfn.CONCAT($A60," - ",$B60),Food_Tratado!$A:$A,Food_Tratado!E:E,0,,)*$C60/$J60</f>
        <v>0</v>
      </c>
      <c r="H60" s="17">
        <f>_xlfn.XLOOKUP(_xlfn.CONCAT($A60," - ",$B60),Food_Tratado!$A:$A,Food_Tratado!F:F,0,,)*$C60/$J60</f>
        <v>0</v>
      </c>
      <c r="I60" s="17">
        <f>_xlfn.XLOOKUP(_xlfn.CONCAT($A60," - ",$B60),Food_Tratado!$A:$A,Food_Tratado!G:G,0,,)*$C60/$J60</f>
        <v>0</v>
      </c>
      <c r="J60" s="18">
        <f t="shared" si="7"/>
        <v>1</v>
      </c>
    </row>
    <row r="61" spans="1:10" ht="21" x14ac:dyDescent="0.2">
      <c r="A61" s="17"/>
      <c r="B61" s="17"/>
      <c r="C61" s="17"/>
      <c r="D61" s="17">
        <f>_xlfn.XLOOKUP(_xlfn.CONCAT($A61," - ",$B61),Food_Tratado!$A:$A,Food_Tratado!B:B,0,,)*$C61/$J61</f>
        <v>0</v>
      </c>
      <c r="E61" s="17">
        <f>_xlfn.XLOOKUP(_xlfn.CONCAT($A61," - ",$B61),Food_Tratado!$A:$A,Food_Tratado!C:C,0,,)*$C61/$J61</f>
        <v>0</v>
      </c>
      <c r="F61" s="17">
        <f>_xlfn.XLOOKUP(_xlfn.CONCAT($A61," - ",$B61),Food_Tratado!$A:$A,Food_Tratado!D:D,0,,)*$C61/$J61</f>
        <v>0</v>
      </c>
      <c r="G61" s="17">
        <f>_xlfn.XLOOKUP(_xlfn.CONCAT($A61," - ",$B61),Food_Tratado!$A:$A,Food_Tratado!E:E,0,,)*$C61/$J61</f>
        <v>0</v>
      </c>
      <c r="H61" s="17">
        <f>_xlfn.XLOOKUP(_xlfn.CONCAT($A61," - ",$B61),Food_Tratado!$A:$A,Food_Tratado!F:F,0,,)*$C61/$J61</f>
        <v>0</v>
      </c>
      <c r="I61" s="17">
        <f>_xlfn.XLOOKUP(_xlfn.CONCAT($A61," - ",$B61),Food_Tratado!$A:$A,Food_Tratado!G:G,0,,)*$C61/$J61</f>
        <v>0</v>
      </c>
      <c r="J61" s="18">
        <f t="shared" si="7"/>
        <v>1</v>
      </c>
    </row>
    <row r="62" spans="1:10" ht="21" x14ac:dyDescent="0.2">
      <c r="A62" s="17"/>
      <c r="B62" s="17"/>
      <c r="C62" s="17"/>
      <c r="D62" s="17">
        <f>_xlfn.XLOOKUP(_xlfn.CONCAT($A62," - ",$B62),Food_Tratado!$A:$A,Food_Tratado!B:B,0,,)*$C62/$J62</f>
        <v>0</v>
      </c>
      <c r="E62" s="17">
        <f>_xlfn.XLOOKUP(_xlfn.CONCAT($A62," - ",$B62),Food_Tratado!$A:$A,Food_Tratado!C:C,0,,)*$C62/$J62</f>
        <v>0</v>
      </c>
      <c r="F62" s="17">
        <f>_xlfn.XLOOKUP(_xlfn.CONCAT($A62," - ",$B62),Food_Tratado!$A:$A,Food_Tratado!D:D,0,,)*$C62/$J62</f>
        <v>0</v>
      </c>
      <c r="G62" s="17">
        <f>_xlfn.XLOOKUP(_xlfn.CONCAT($A62," - ",$B62),Food_Tratado!$A:$A,Food_Tratado!E:E,0,,)*$C62/$J62</f>
        <v>0</v>
      </c>
      <c r="H62" s="17">
        <f>_xlfn.XLOOKUP(_xlfn.CONCAT($A62," - ",$B62),Food_Tratado!$A:$A,Food_Tratado!F:F,0,,)*$C62/$J62</f>
        <v>0</v>
      </c>
      <c r="I62" s="17">
        <f>_xlfn.XLOOKUP(_xlfn.CONCAT($A62," - ",$B62),Food_Tratado!$A:$A,Food_Tratado!G:G,0,,)*$C62/$J62</f>
        <v>0</v>
      </c>
      <c r="J62" s="18">
        <f t="shared" si="7"/>
        <v>1</v>
      </c>
    </row>
    <row r="63" spans="1:10" ht="22" thickBot="1" x14ac:dyDescent="0.25">
      <c r="A63" s="17"/>
      <c r="B63" s="17"/>
      <c r="C63" s="17"/>
      <c r="D63" s="17">
        <f>_xlfn.XLOOKUP(_xlfn.CONCAT($A63," - ",$B63),Food_Tratado!$A:$A,Food_Tratado!B:B,0,,)*$C63/$J63</f>
        <v>0</v>
      </c>
      <c r="E63" s="17">
        <f>_xlfn.XLOOKUP(_xlfn.CONCAT($A63," - ",$B63),Food_Tratado!$A:$A,Food_Tratado!C:C,0,,)*$C63/$J63</f>
        <v>0</v>
      </c>
      <c r="F63" s="17">
        <f>_xlfn.XLOOKUP(_xlfn.CONCAT($A63," - ",$B63),Food_Tratado!$A:$A,Food_Tratado!D:D,0,,)*$C63/$J63</f>
        <v>0</v>
      </c>
      <c r="G63" s="17">
        <f>_xlfn.XLOOKUP(_xlfn.CONCAT($A63," - ",$B63),Food_Tratado!$A:$A,Food_Tratado!E:E,0,,)*$C63/$J63</f>
        <v>0</v>
      </c>
      <c r="H63" s="17">
        <f>_xlfn.XLOOKUP(_xlfn.CONCAT($A63," - ",$B63),Food_Tratado!$A:$A,Food_Tratado!F:F,0,,)*$C63/$J63</f>
        <v>0</v>
      </c>
      <c r="I63" s="17">
        <f>_xlfn.XLOOKUP(_xlfn.CONCAT($A63," - ",$B63),Food_Tratado!$A:$A,Food_Tratado!G:G,0,,)*$C63/$J63</f>
        <v>0</v>
      </c>
      <c r="J63" s="18">
        <f t="shared" si="7"/>
        <v>1</v>
      </c>
    </row>
    <row r="64" spans="1:10" ht="20" thickBot="1" x14ac:dyDescent="0.25">
      <c r="A64" s="24" t="s">
        <v>12</v>
      </c>
      <c r="B64" s="25"/>
      <c r="C64" s="26"/>
      <c r="D64" s="19">
        <f>SUM(D56:D63)</f>
        <v>0</v>
      </c>
      <c r="E64" s="19">
        <f t="shared" ref="E64:I64" si="8">SUM(E56:E63)</f>
        <v>0</v>
      </c>
      <c r="F64" s="19">
        <f t="shared" si="8"/>
        <v>0</v>
      </c>
      <c r="G64" s="19">
        <f t="shared" si="8"/>
        <v>0</v>
      </c>
      <c r="H64" s="19">
        <f t="shared" si="8"/>
        <v>0</v>
      </c>
      <c r="I64" s="19">
        <f t="shared" si="8"/>
        <v>0</v>
      </c>
    </row>
    <row r="67" spans="1:10" ht="17" thickBot="1" x14ac:dyDescent="0.25"/>
    <row r="68" spans="1:10" ht="25" thickBot="1" x14ac:dyDescent="0.3">
      <c r="A68" s="21" t="s">
        <v>56</v>
      </c>
      <c r="B68" s="22"/>
      <c r="C68" s="22"/>
      <c r="D68" s="22"/>
      <c r="E68" s="22"/>
      <c r="F68" s="22"/>
      <c r="G68" s="22"/>
      <c r="H68" s="22"/>
      <c r="I68" s="23"/>
      <c r="J68" s="15"/>
    </row>
    <row r="69" spans="1:10" ht="21" x14ac:dyDescent="0.25">
      <c r="A69" s="20" t="s">
        <v>1</v>
      </c>
      <c r="B69" s="20" t="s">
        <v>39</v>
      </c>
      <c r="C69" s="20" t="s">
        <v>0</v>
      </c>
      <c r="D69" s="20" t="s">
        <v>47</v>
      </c>
      <c r="E69" s="20" t="s">
        <v>48</v>
      </c>
      <c r="F69" s="20" t="s">
        <v>49</v>
      </c>
      <c r="G69" s="20" t="s">
        <v>50</v>
      </c>
      <c r="H69" s="20" t="s">
        <v>51</v>
      </c>
      <c r="I69" s="20" t="s">
        <v>52</v>
      </c>
      <c r="J69" s="16"/>
    </row>
    <row r="70" spans="1:10" ht="21" x14ac:dyDescent="0.2">
      <c r="A70" s="17" t="s">
        <v>43</v>
      </c>
      <c r="B70" s="17" t="s">
        <v>54</v>
      </c>
      <c r="C70" s="17">
        <v>100</v>
      </c>
      <c r="D70" s="17">
        <f>_xlfn.XLOOKUP(_xlfn.CONCAT($A70," - ",$B70),Food_Tratado!$A:$A,Food_Tratado!B:B,0,,)*$C70/$J70</f>
        <v>128</v>
      </c>
      <c r="E70" s="17">
        <f>_xlfn.XLOOKUP(_xlfn.CONCAT($A70," - ",$B70),Food_Tratado!$A:$A,Food_Tratado!C:C,0,,)*$C70/$J70</f>
        <v>26.5</v>
      </c>
      <c r="F70" s="17">
        <f>_xlfn.XLOOKUP(_xlfn.CONCAT($A70," - ",$B70),Food_Tratado!$A:$A,Food_Tratado!D:D,0,,)*$C70/$J70</f>
        <v>2.5</v>
      </c>
      <c r="G70" s="17">
        <f>_xlfn.XLOOKUP(_xlfn.CONCAT($A70," - ",$B70),Food_Tratado!$A:$A,Food_Tratado!E:E,0,,)*$C70/$J70</f>
        <v>0.2</v>
      </c>
      <c r="H70" s="17">
        <f>_xlfn.XLOOKUP(_xlfn.CONCAT($A70," - ",$B70),Food_Tratado!$A:$A,Food_Tratado!F:F,0,,)*$C70/$J70</f>
        <v>1.6</v>
      </c>
      <c r="I70" s="17">
        <f>_xlfn.XLOOKUP(_xlfn.CONCAT($A70," - ",$B70),Food_Tratado!$A:$A,Food_Tratado!G:G,0,,)*$C70/$J70</f>
        <v>1</v>
      </c>
      <c r="J70" s="18">
        <f t="shared" ref="J70" si="9">IF(B70="Gramas (100g)",100,1)</f>
        <v>100</v>
      </c>
    </row>
    <row r="71" spans="1:10" ht="21" x14ac:dyDescent="0.2">
      <c r="A71" s="17" t="s">
        <v>68</v>
      </c>
      <c r="B71" s="17" t="s">
        <v>54</v>
      </c>
      <c r="C71" s="17">
        <v>70</v>
      </c>
      <c r="D71" s="17">
        <f>_xlfn.XLOOKUP(_xlfn.CONCAT($A71," - ",$B71),Food_Tratado!$A:$A,Food_Tratado!B:B,0,,)*$C71/$J71</f>
        <v>53.2</v>
      </c>
      <c r="E71" s="17">
        <f>_xlfn.XLOOKUP(_xlfn.CONCAT($A71," - ",$B71),Food_Tratado!$A:$A,Food_Tratado!C:C,0,,)*$C71/$J71</f>
        <v>3.57</v>
      </c>
      <c r="F71" s="17">
        <f>_xlfn.XLOOKUP(_xlfn.CONCAT($A71," - ",$B71),Food_Tratado!$A:$A,Food_Tratado!D:D,0,,)*$C71/$J71</f>
        <v>3.36</v>
      </c>
      <c r="G71" s="17">
        <f>_xlfn.XLOOKUP(_xlfn.CONCAT($A71," - ",$B71),Food_Tratado!$A:$A,Food_Tratado!E:E,0,,)*$C71/$J71</f>
        <v>0.35</v>
      </c>
      <c r="H71" s="17">
        <f>_xlfn.XLOOKUP(_xlfn.CONCAT($A71," - ",$B71),Food_Tratado!$A:$A,Food_Tratado!F:F,0,,)*$C71/$J71</f>
        <v>0</v>
      </c>
      <c r="I71" s="17">
        <f>_xlfn.XLOOKUP(_xlfn.CONCAT($A71," - ",$B71),Food_Tratado!$A:$A,Food_Tratado!G:G,0,,)*$C71/$J71</f>
        <v>1.4</v>
      </c>
      <c r="J71" s="18">
        <f>IF(B71="Gramas (100g)",100,1)</f>
        <v>100</v>
      </c>
    </row>
    <row r="72" spans="1:10" ht="21" x14ac:dyDescent="0.2">
      <c r="A72" s="17" t="s">
        <v>42</v>
      </c>
      <c r="B72" s="17" t="s">
        <v>54</v>
      </c>
      <c r="C72" s="17">
        <v>110</v>
      </c>
      <c r="D72" s="17">
        <f>_xlfn.XLOOKUP(_xlfn.CONCAT($A72," - ",$B72),Food_Tratado!$A:$A,Food_Tratado!B:B,0,,)*$C72/$J72</f>
        <v>240.9</v>
      </c>
      <c r="E72" s="17">
        <f>_xlfn.XLOOKUP(_xlfn.CONCAT($A72," - ",$B72),Food_Tratado!$A:$A,Food_Tratado!C:C,0,,)*$C72/$J72</f>
        <v>0</v>
      </c>
      <c r="F72" s="17">
        <f>_xlfn.XLOOKUP(_xlfn.CONCAT($A72," - ",$B72),Food_Tratado!$A:$A,Food_Tratado!D:D,0,,)*$C72/$J72</f>
        <v>39.49</v>
      </c>
      <c r="G72" s="17">
        <f>_xlfn.XLOOKUP(_xlfn.CONCAT($A72," - ",$B72),Food_Tratado!$A:$A,Food_Tratado!E:E,0,,)*$C72/$J72</f>
        <v>8.0299999999999994</v>
      </c>
      <c r="H72" s="17">
        <f>_xlfn.XLOOKUP(_xlfn.CONCAT($A72," - ",$B72),Food_Tratado!$A:$A,Food_Tratado!F:F,0,,)*$C72/$J72</f>
        <v>0</v>
      </c>
      <c r="I72" s="17">
        <f>_xlfn.XLOOKUP(_xlfn.CONCAT($A72," - ",$B72),Food_Tratado!$A:$A,Food_Tratado!G:G,0,,)*$C72/$J72</f>
        <v>66</v>
      </c>
      <c r="J72" s="18">
        <f t="shared" ref="J72:J77" si="10">IF(B72="Gramas (100g)",100,1)</f>
        <v>100</v>
      </c>
    </row>
    <row r="73" spans="1:10" ht="21" x14ac:dyDescent="0.2">
      <c r="A73" s="17"/>
      <c r="B73" s="17"/>
      <c r="C73" s="17"/>
      <c r="D73" s="17">
        <f>_xlfn.XLOOKUP(_xlfn.CONCAT($A73," - ",$B73),Food_Tratado!$A:$A,Food_Tratado!B:B,0,,)*$C73/$J73</f>
        <v>0</v>
      </c>
      <c r="E73" s="17">
        <f>_xlfn.XLOOKUP(_xlfn.CONCAT($A73," - ",$B73),Food_Tratado!$A:$A,Food_Tratado!C:C,0,,)*$C73/$J73</f>
        <v>0</v>
      </c>
      <c r="F73" s="17">
        <f>_xlfn.XLOOKUP(_xlfn.CONCAT($A73," - ",$B73),Food_Tratado!$A:$A,Food_Tratado!D:D,0,,)*$C73/$J73</f>
        <v>0</v>
      </c>
      <c r="G73" s="17">
        <f>_xlfn.XLOOKUP(_xlfn.CONCAT($A73," - ",$B73),Food_Tratado!$A:$A,Food_Tratado!E:E,0,,)*$C73/$J73</f>
        <v>0</v>
      </c>
      <c r="H73" s="17">
        <f>_xlfn.XLOOKUP(_xlfn.CONCAT($A73," - ",$B73),Food_Tratado!$A:$A,Food_Tratado!F:F,0,,)*$C73/$J73</f>
        <v>0</v>
      </c>
      <c r="I73" s="17">
        <f>_xlfn.XLOOKUP(_xlfn.CONCAT($A73," - ",$B73),Food_Tratado!$A:$A,Food_Tratado!G:G,0,,)*$C73/$J73</f>
        <v>0</v>
      </c>
      <c r="J73" s="18">
        <f t="shared" si="10"/>
        <v>1</v>
      </c>
    </row>
    <row r="74" spans="1:10" ht="21" x14ac:dyDescent="0.2">
      <c r="A74" s="17"/>
      <c r="B74" s="17"/>
      <c r="C74" s="17"/>
      <c r="D74" s="17">
        <f>_xlfn.XLOOKUP(_xlfn.CONCAT($A74," - ",$B74),Food_Tratado!$A:$A,Food_Tratado!B:B,0,,)*$C74/$J74</f>
        <v>0</v>
      </c>
      <c r="E74" s="17">
        <f>_xlfn.XLOOKUP(_xlfn.CONCAT($A74," - ",$B74),Food_Tratado!$A:$A,Food_Tratado!C:C,0,,)*$C74/$J74</f>
        <v>0</v>
      </c>
      <c r="F74" s="17">
        <f>_xlfn.XLOOKUP(_xlfn.CONCAT($A74," - ",$B74),Food_Tratado!$A:$A,Food_Tratado!D:D,0,,)*$C74/$J74</f>
        <v>0</v>
      </c>
      <c r="G74" s="17">
        <f>_xlfn.XLOOKUP(_xlfn.CONCAT($A74," - ",$B74),Food_Tratado!$A:$A,Food_Tratado!E:E,0,,)*$C74/$J74</f>
        <v>0</v>
      </c>
      <c r="H74" s="17">
        <f>_xlfn.XLOOKUP(_xlfn.CONCAT($A74," - ",$B74),Food_Tratado!$A:$A,Food_Tratado!F:F,0,,)*$C74/$J74</f>
        <v>0</v>
      </c>
      <c r="I74" s="17">
        <f>_xlfn.XLOOKUP(_xlfn.CONCAT($A74," - ",$B74),Food_Tratado!$A:$A,Food_Tratado!G:G,0,,)*$C74/$J74</f>
        <v>0</v>
      </c>
      <c r="J74" s="18">
        <f t="shared" si="10"/>
        <v>1</v>
      </c>
    </row>
    <row r="75" spans="1:10" ht="21" x14ac:dyDescent="0.2">
      <c r="A75" s="17"/>
      <c r="B75" s="17"/>
      <c r="C75" s="17"/>
      <c r="D75" s="17">
        <f>_xlfn.XLOOKUP(_xlfn.CONCAT($A75," - ",$B75),Food_Tratado!$A:$A,Food_Tratado!B:B,0,,)*$C75/$J75</f>
        <v>0</v>
      </c>
      <c r="E75" s="17">
        <f>_xlfn.XLOOKUP(_xlfn.CONCAT($A75," - ",$B75),Food_Tratado!$A:$A,Food_Tratado!C:C,0,,)*$C75/$J75</f>
        <v>0</v>
      </c>
      <c r="F75" s="17">
        <f>_xlfn.XLOOKUP(_xlfn.CONCAT($A75," - ",$B75),Food_Tratado!$A:$A,Food_Tratado!D:D,0,,)*$C75/$J75</f>
        <v>0</v>
      </c>
      <c r="G75" s="17">
        <f>_xlfn.XLOOKUP(_xlfn.CONCAT($A75," - ",$B75),Food_Tratado!$A:$A,Food_Tratado!E:E,0,,)*$C75/$J75</f>
        <v>0</v>
      </c>
      <c r="H75" s="17">
        <f>_xlfn.XLOOKUP(_xlfn.CONCAT($A75," - ",$B75),Food_Tratado!$A:$A,Food_Tratado!F:F,0,,)*$C75/$J75</f>
        <v>0</v>
      </c>
      <c r="I75" s="17">
        <f>_xlfn.XLOOKUP(_xlfn.CONCAT($A75," - ",$B75),Food_Tratado!$A:$A,Food_Tratado!G:G,0,,)*$C75/$J75</f>
        <v>0</v>
      </c>
      <c r="J75" s="18">
        <f t="shared" si="10"/>
        <v>1</v>
      </c>
    </row>
    <row r="76" spans="1:10" ht="21" x14ac:dyDescent="0.2">
      <c r="A76" s="17"/>
      <c r="B76" s="17"/>
      <c r="C76" s="17"/>
      <c r="D76" s="17">
        <f>_xlfn.XLOOKUP(_xlfn.CONCAT($A76," - ",$B76),Food_Tratado!$A:$A,Food_Tratado!B:B,0,,)*$C76/$J76</f>
        <v>0</v>
      </c>
      <c r="E76" s="17">
        <f>_xlfn.XLOOKUP(_xlfn.CONCAT($A76," - ",$B76),Food_Tratado!$A:$A,Food_Tratado!C:C,0,,)*$C76/$J76</f>
        <v>0</v>
      </c>
      <c r="F76" s="17">
        <f>_xlfn.XLOOKUP(_xlfn.CONCAT($A76," - ",$B76),Food_Tratado!$A:$A,Food_Tratado!D:D,0,,)*$C76/$J76</f>
        <v>0</v>
      </c>
      <c r="G76" s="17">
        <f>_xlfn.XLOOKUP(_xlfn.CONCAT($A76," - ",$B76),Food_Tratado!$A:$A,Food_Tratado!E:E,0,,)*$C76/$J76</f>
        <v>0</v>
      </c>
      <c r="H76" s="17">
        <f>_xlfn.XLOOKUP(_xlfn.CONCAT($A76," - ",$B76),Food_Tratado!$A:$A,Food_Tratado!F:F,0,,)*$C76/$J76</f>
        <v>0</v>
      </c>
      <c r="I76" s="17">
        <f>_xlfn.XLOOKUP(_xlfn.CONCAT($A76," - ",$B76),Food_Tratado!$A:$A,Food_Tratado!G:G,0,,)*$C76/$J76</f>
        <v>0</v>
      </c>
      <c r="J76" s="18">
        <f t="shared" si="10"/>
        <v>1</v>
      </c>
    </row>
    <row r="77" spans="1:10" ht="22" thickBot="1" x14ac:dyDescent="0.25">
      <c r="A77" s="17"/>
      <c r="B77" s="17"/>
      <c r="C77" s="17"/>
      <c r="D77" s="17">
        <f>_xlfn.XLOOKUP(_xlfn.CONCAT($A77," - ",$B77),Food_Tratado!$A:$A,Food_Tratado!B:B,0,,)*$C77/$J77</f>
        <v>0</v>
      </c>
      <c r="E77" s="17">
        <f>_xlfn.XLOOKUP(_xlfn.CONCAT($A77," - ",$B77),Food_Tratado!$A:$A,Food_Tratado!C:C,0,,)*$C77/$J77</f>
        <v>0</v>
      </c>
      <c r="F77" s="17">
        <f>_xlfn.XLOOKUP(_xlfn.CONCAT($A77," - ",$B77),Food_Tratado!$A:$A,Food_Tratado!D:D,0,,)*$C77/$J77</f>
        <v>0</v>
      </c>
      <c r="G77" s="17">
        <f>_xlfn.XLOOKUP(_xlfn.CONCAT($A77," - ",$B77),Food_Tratado!$A:$A,Food_Tratado!E:E,0,,)*$C77/$J77</f>
        <v>0</v>
      </c>
      <c r="H77" s="17">
        <f>_xlfn.XLOOKUP(_xlfn.CONCAT($A77," - ",$B77),Food_Tratado!$A:$A,Food_Tratado!F:F,0,,)*$C77/$J77</f>
        <v>0</v>
      </c>
      <c r="I77" s="17">
        <f>_xlfn.XLOOKUP(_xlfn.CONCAT($A77," - ",$B77),Food_Tratado!$A:$A,Food_Tratado!G:G,0,,)*$C77/$J77</f>
        <v>0</v>
      </c>
      <c r="J77" s="18">
        <f t="shared" si="10"/>
        <v>1</v>
      </c>
    </row>
    <row r="78" spans="1:10" ht="20" thickBot="1" x14ac:dyDescent="0.25">
      <c r="A78" s="24" t="s">
        <v>12</v>
      </c>
      <c r="B78" s="25"/>
      <c r="C78" s="26"/>
      <c r="D78" s="19">
        <f>SUM(D70:D77)</f>
        <v>422.1</v>
      </c>
      <c r="E78" s="19">
        <f t="shared" ref="E78:I78" si="11">SUM(E70:E77)</f>
        <v>30.07</v>
      </c>
      <c r="F78" s="19">
        <f t="shared" si="11"/>
        <v>45.35</v>
      </c>
      <c r="G78" s="19">
        <f t="shared" si="11"/>
        <v>8.58</v>
      </c>
      <c r="H78" s="19">
        <f t="shared" si="11"/>
        <v>1.6</v>
      </c>
      <c r="I78" s="19">
        <f t="shared" si="11"/>
        <v>68.400000000000006</v>
      </c>
    </row>
    <row r="1048508" spans="2:2" x14ac:dyDescent="0.2">
      <c r="B1048508" t="e" cm="1">
        <f t="array" ref="B1048508">A</f>
        <v>#NAME?</v>
      </c>
    </row>
  </sheetData>
  <mergeCells count="11">
    <mergeCell ref="A50:C50"/>
    <mergeCell ref="A54:I54"/>
    <mergeCell ref="A64:C64"/>
    <mergeCell ref="A68:I68"/>
    <mergeCell ref="A78:C78"/>
    <mergeCell ref="A2:D2"/>
    <mergeCell ref="A12:I12"/>
    <mergeCell ref="A22:C22"/>
    <mergeCell ref="A26:I26"/>
    <mergeCell ref="A36:C36"/>
    <mergeCell ref="A40:I40"/>
  </mergeCells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icinarRefeicao">
                <anchor moveWithCells="1" sizeWithCells="1">
                  <from>
                    <xdr:col>4</xdr:col>
                    <xdr:colOff>381000</xdr:colOff>
                    <xdr:row>0</xdr:row>
                    <xdr:rowOff>203200</xdr:rowOff>
                  </from>
                  <to>
                    <xdr:col>6</xdr:col>
                    <xdr:colOff>63500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adastrarRefeicao">
                <anchor moveWithCells="1" sizeWithCells="1">
                  <from>
                    <xdr:col>6</xdr:col>
                    <xdr:colOff>139700</xdr:colOff>
                    <xdr:row>0</xdr:row>
                    <xdr:rowOff>203200</xdr:rowOff>
                  </from>
                  <to>
                    <xdr:col>7</xdr:col>
                    <xdr:colOff>850900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544A42-B04B-134B-9DD3-CE3012A583FE}">
          <x14:formula1>
            <xm:f>Picklists!$Q$2:$Q$500</xm:f>
          </x14:formula1>
          <xm:sqref>A14:A21 A28:A35 A70:A77 A56:A63 A42:A49</xm:sqref>
        </x14:dataValidation>
        <x14:dataValidation type="list" allowBlank="1" showInputMessage="1" showErrorMessage="1" xr:uid="{A62D28F0-1D9C-6346-9B8D-FCE70C51DDA6}">
          <x14:formula1>
            <xm:f>Picklists!$O$2:$O$5</xm:f>
          </x14:formula1>
          <xm:sqref>B70:B77 B28:B35 B56:B63 B14:B21 B42:B49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14500-6FA8-6B48-91DC-64A46DBC605A}">
  <sheetPr codeName="Planilha3"/>
  <dimension ref="A1:H30"/>
  <sheetViews>
    <sheetView zoomScale="109" workbookViewId="0">
      <selection activeCell="J13" sqref="J13"/>
    </sheetView>
  </sheetViews>
  <sheetFormatPr baseColWidth="10" defaultRowHeight="16" x14ac:dyDescent="0.2"/>
  <cols>
    <col min="1" max="1" width="31.1640625" style="13" customWidth="1"/>
    <col min="2" max="2" width="22" style="13" customWidth="1"/>
    <col min="3" max="3" width="14.83203125" style="13" customWidth="1"/>
    <col min="4" max="4" width="16.5" style="13" customWidth="1"/>
    <col min="5" max="5" width="16" style="13" customWidth="1"/>
    <col min="6" max="6" width="19.83203125" style="13" customWidth="1"/>
    <col min="7" max="7" width="18.5" style="13" customWidth="1"/>
    <col min="8" max="8" width="14.33203125" style="13" customWidth="1"/>
    <col min="9" max="16384" width="10.83203125" style="13"/>
  </cols>
  <sheetData>
    <row r="1" spans="1:8" x14ac:dyDescent="0.2">
      <c r="A1" s="31" t="s">
        <v>1</v>
      </c>
      <c r="B1" s="31" t="s">
        <v>39</v>
      </c>
      <c r="C1" s="31" t="s">
        <v>47</v>
      </c>
      <c r="D1" s="31" t="s">
        <v>48</v>
      </c>
      <c r="E1" s="31" t="s">
        <v>49</v>
      </c>
      <c r="F1" s="31" t="s">
        <v>50</v>
      </c>
      <c r="G1" s="97" t="s">
        <v>51</v>
      </c>
      <c r="H1" s="31" t="s">
        <v>52</v>
      </c>
    </row>
    <row r="2" spans="1:8" x14ac:dyDescent="0.2">
      <c r="A2" s="32" t="s">
        <v>43</v>
      </c>
      <c r="B2" s="32" t="s">
        <v>45</v>
      </c>
      <c r="C2" s="98">
        <v>32</v>
      </c>
      <c r="D2" s="98">
        <v>6.63</v>
      </c>
      <c r="E2" s="98">
        <v>0.63</v>
      </c>
      <c r="F2" s="98">
        <v>0.05</v>
      </c>
      <c r="G2" s="98">
        <v>0.4</v>
      </c>
      <c r="H2" s="98">
        <v>0.25</v>
      </c>
    </row>
    <row r="3" spans="1:8" x14ac:dyDescent="0.2">
      <c r="A3" s="32" t="s">
        <v>43</v>
      </c>
      <c r="B3" s="32" t="s">
        <v>54</v>
      </c>
      <c r="C3" s="98">
        <v>128</v>
      </c>
      <c r="D3" s="98">
        <v>26.5</v>
      </c>
      <c r="E3" s="98">
        <v>2.5</v>
      </c>
      <c r="F3" s="98">
        <v>0.2</v>
      </c>
      <c r="G3" s="98">
        <v>1.6</v>
      </c>
      <c r="H3" s="98">
        <v>1</v>
      </c>
    </row>
    <row r="4" spans="1:8" x14ac:dyDescent="0.2">
      <c r="A4" s="32" t="s">
        <v>41</v>
      </c>
      <c r="B4" s="32" t="s">
        <v>54</v>
      </c>
      <c r="C4" s="98">
        <v>394</v>
      </c>
      <c r="D4" s="98">
        <v>57.5</v>
      </c>
      <c r="E4" s="98">
        <v>13.9</v>
      </c>
      <c r="F4" s="98">
        <v>0</v>
      </c>
      <c r="G4" s="98">
        <v>9.1</v>
      </c>
      <c r="H4" s="98">
        <v>5</v>
      </c>
    </row>
    <row r="5" spans="1:8" x14ac:dyDescent="0.2">
      <c r="A5" s="32" t="s">
        <v>78</v>
      </c>
      <c r="B5" s="32" t="s">
        <v>45</v>
      </c>
      <c r="C5" s="98">
        <v>108</v>
      </c>
      <c r="D5" s="98">
        <v>0</v>
      </c>
      <c r="E5" s="98">
        <v>0</v>
      </c>
      <c r="F5" s="98">
        <v>12</v>
      </c>
      <c r="G5" s="98">
        <v>0</v>
      </c>
      <c r="H5" s="98">
        <v>0</v>
      </c>
    </row>
    <row r="6" spans="1:8" x14ac:dyDescent="0.2">
      <c r="A6" s="33" t="s">
        <v>63</v>
      </c>
      <c r="B6" s="33" t="s">
        <v>54</v>
      </c>
      <c r="C6" s="98">
        <v>544</v>
      </c>
      <c r="D6" s="98">
        <v>48</v>
      </c>
      <c r="E6" s="98">
        <v>5.2</v>
      </c>
      <c r="F6" s="98">
        <v>37.200000000000003</v>
      </c>
      <c r="G6" s="98">
        <v>0</v>
      </c>
      <c r="H6" s="98">
        <v>372</v>
      </c>
    </row>
    <row r="7" spans="1:8" x14ac:dyDescent="0.2">
      <c r="A7" s="32" t="s">
        <v>72</v>
      </c>
      <c r="B7" s="32" t="s">
        <v>45</v>
      </c>
      <c r="C7" s="98">
        <v>5.4</v>
      </c>
      <c r="D7" s="98">
        <v>0.51</v>
      </c>
      <c r="E7" s="98">
        <v>0.51</v>
      </c>
      <c r="F7" s="98">
        <v>0.04</v>
      </c>
      <c r="G7" s="98">
        <v>0.57999999999999996</v>
      </c>
      <c r="H7" s="98">
        <v>48.2</v>
      </c>
    </row>
    <row r="8" spans="1:8" x14ac:dyDescent="0.2">
      <c r="A8" s="32" t="s">
        <v>72</v>
      </c>
      <c r="B8" s="32" t="s">
        <v>54</v>
      </c>
      <c r="C8" s="98">
        <v>27</v>
      </c>
      <c r="D8" s="98">
        <v>2.56</v>
      </c>
      <c r="E8" s="98">
        <v>2.57</v>
      </c>
      <c r="F8" s="98">
        <v>0.2</v>
      </c>
      <c r="G8" s="98">
        <v>2.9</v>
      </c>
      <c r="H8" s="98">
        <v>241</v>
      </c>
    </row>
    <row r="9" spans="1:8" x14ac:dyDescent="0.2">
      <c r="A9" s="32" t="s">
        <v>71</v>
      </c>
      <c r="B9" s="32" t="s">
        <v>44</v>
      </c>
      <c r="C9" s="98">
        <v>15</v>
      </c>
      <c r="D9" s="98">
        <v>0.6</v>
      </c>
      <c r="E9" s="98">
        <v>1.26</v>
      </c>
      <c r="F9" s="98">
        <v>0.3</v>
      </c>
      <c r="G9" s="98">
        <v>2.04</v>
      </c>
      <c r="H9" s="98">
        <v>1.2</v>
      </c>
    </row>
    <row r="10" spans="1:8" x14ac:dyDescent="0.2">
      <c r="A10" s="32" t="s">
        <v>71</v>
      </c>
      <c r="B10" s="32" t="s">
        <v>45</v>
      </c>
      <c r="C10" s="98">
        <v>2.5</v>
      </c>
      <c r="D10" s="98">
        <v>0.1</v>
      </c>
      <c r="E10" s="98">
        <v>0.21</v>
      </c>
      <c r="F10" s="98">
        <v>0.05</v>
      </c>
      <c r="G10" s="98">
        <v>0.34</v>
      </c>
      <c r="H10" s="98">
        <v>0.2</v>
      </c>
    </row>
    <row r="11" spans="1:8" x14ac:dyDescent="0.2">
      <c r="A11" s="32" t="s">
        <v>71</v>
      </c>
      <c r="B11" s="32" t="s">
        <v>54</v>
      </c>
      <c r="C11" s="98">
        <v>25</v>
      </c>
      <c r="D11" s="98">
        <v>1</v>
      </c>
      <c r="E11" s="98">
        <v>2.1</v>
      </c>
      <c r="F11" s="98">
        <v>0.5</v>
      </c>
      <c r="G11" s="98">
        <v>3.4</v>
      </c>
      <c r="H11" s="98">
        <v>2</v>
      </c>
    </row>
    <row r="12" spans="1:8" x14ac:dyDescent="0.2">
      <c r="A12" s="32" t="s">
        <v>42</v>
      </c>
      <c r="B12" s="32" t="s">
        <v>54</v>
      </c>
      <c r="C12" s="98">
        <v>219</v>
      </c>
      <c r="D12" s="98">
        <v>0</v>
      </c>
      <c r="E12" s="98">
        <v>35.9</v>
      </c>
      <c r="F12" s="98">
        <v>7.3</v>
      </c>
      <c r="G12" s="98">
        <v>0</v>
      </c>
      <c r="H12" s="98">
        <v>60</v>
      </c>
    </row>
    <row r="13" spans="1:8" x14ac:dyDescent="0.2">
      <c r="A13" s="32" t="s">
        <v>73</v>
      </c>
      <c r="B13" s="32" t="s">
        <v>54</v>
      </c>
      <c r="C13" s="98">
        <v>345</v>
      </c>
      <c r="D13" s="98">
        <v>60</v>
      </c>
      <c r="E13" s="98">
        <v>6</v>
      </c>
      <c r="F13" s="98">
        <v>7.5</v>
      </c>
      <c r="G13" s="98">
        <v>0</v>
      </c>
      <c r="H13" s="98">
        <v>135</v>
      </c>
    </row>
    <row r="14" spans="1:8" x14ac:dyDescent="0.2">
      <c r="A14" s="33" t="s">
        <v>58</v>
      </c>
      <c r="B14" s="33" t="s">
        <v>54</v>
      </c>
      <c r="C14" s="99">
        <v>330</v>
      </c>
      <c r="D14" s="99">
        <v>50</v>
      </c>
      <c r="E14" s="99">
        <v>22.000000000000004</v>
      </c>
      <c r="F14" s="99">
        <v>7</v>
      </c>
      <c r="G14" s="99">
        <v>20</v>
      </c>
      <c r="H14" s="99">
        <v>0</v>
      </c>
    </row>
    <row r="15" spans="1:8" x14ac:dyDescent="0.2">
      <c r="A15" s="32" t="s">
        <v>68</v>
      </c>
      <c r="B15" s="32" t="s">
        <v>45</v>
      </c>
      <c r="C15" s="98">
        <v>12.92</v>
      </c>
      <c r="D15" s="98">
        <v>0.87</v>
      </c>
      <c r="E15" s="98">
        <v>0.82</v>
      </c>
      <c r="F15" s="98">
        <v>0.09</v>
      </c>
      <c r="G15" s="98">
        <v>1.45</v>
      </c>
      <c r="H15" s="98">
        <v>0.34</v>
      </c>
    </row>
    <row r="16" spans="1:8" x14ac:dyDescent="0.2">
      <c r="A16" s="32" t="s">
        <v>68</v>
      </c>
      <c r="B16" s="32" t="s">
        <v>54</v>
      </c>
      <c r="C16" s="98">
        <v>76</v>
      </c>
      <c r="D16" s="98">
        <v>5.0999999999999996</v>
      </c>
      <c r="E16" s="98">
        <v>4.8</v>
      </c>
      <c r="F16" s="98">
        <v>0.5</v>
      </c>
      <c r="G16" s="98">
        <v>8.5</v>
      </c>
      <c r="H16" s="98">
        <v>2</v>
      </c>
    </row>
    <row r="17" spans="1:8" x14ac:dyDescent="0.2">
      <c r="A17" s="32" t="s">
        <v>69</v>
      </c>
      <c r="B17" s="32" t="s">
        <v>54</v>
      </c>
      <c r="C17" s="98">
        <v>159</v>
      </c>
      <c r="D17" s="98">
        <v>0</v>
      </c>
      <c r="E17" s="98">
        <v>32</v>
      </c>
      <c r="F17" s="98">
        <v>2.5</v>
      </c>
      <c r="G17" s="98">
        <v>0</v>
      </c>
      <c r="H17" s="98">
        <v>50</v>
      </c>
    </row>
    <row r="18" spans="1:8" x14ac:dyDescent="0.2">
      <c r="A18" s="33" t="s">
        <v>62</v>
      </c>
      <c r="B18" s="33" t="s">
        <v>54</v>
      </c>
      <c r="C18" s="98">
        <v>69</v>
      </c>
      <c r="D18" s="98">
        <v>12.5</v>
      </c>
      <c r="E18" s="98">
        <v>2.35</v>
      </c>
      <c r="F18" s="98">
        <v>1.05</v>
      </c>
      <c r="G18" s="98">
        <v>0</v>
      </c>
      <c r="H18" s="98">
        <v>100</v>
      </c>
    </row>
    <row r="19" spans="1:8" x14ac:dyDescent="0.2">
      <c r="A19" s="32" t="s">
        <v>64</v>
      </c>
      <c r="B19" s="33" t="s">
        <v>65</v>
      </c>
      <c r="C19" s="98">
        <v>0</v>
      </c>
      <c r="D19" s="98">
        <v>0</v>
      </c>
      <c r="E19" s="98">
        <v>0</v>
      </c>
      <c r="F19" s="98">
        <v>0</v>
      </c>
      <c r="G19" s="98">
        <v>0</v>
      </c>
      <c r="H19" s="98">
        <v>0</v>
      </c>
    </row>
    <row r="20" spans="1:8" x14ac:dyDescent="0.2">
      <c r="A20" s="32" t="s">
        <v>70</v>
      </c>
      <c r="B20" s="32" t="s">
        <v>45</v>
      </c>
      <c r="C20" s="98">
        <v>24.8</v>
      </c>
      <c r="D20" s="98">
        <v>4.75</v>
      </c>
      <c r="E20" s="98">
        <v>1.07</v>
      </c>
      <c r="F20" s="98">
        <v>0.11</v>
      </c>
      <c r="G20" s="98">
        <v>0.56000000000000005</v>
      </c>
      <c r="H20" s="98">
        <v>0.6</v>
      </c>
    </row>
    <row r="21" spans="1:8" x14ac:dyDescent="0.2">
      <c r="A21" s="32" t="s">
        <v>70</v>
      </c>
      <c r="B21" s="32" t="s">
        <v>54</v>
      </c>
      <c r="C21" s="98">
        <v>124</v>
      </c>
      <c r="D21" s="98">
        <v>23.74</v>
      </c>
      <c r="E21" s="98">
        <v>5.33</v>
      </c>
      <c r="F21" s="98">
        <v>0.54</v>
      </c>
      <c r="G21" s="98">
        <v>2.8</v>
      </c>
      <c r="H21" s="98">
        <v>3</v>
      </c>
    </row>
    <row r="22" spans="1:8" x14ac:dyDescent="0.2">
      <c r="A22" s="32" t="s">
        <v>66</v>
      </c>
      <c r="B22" s="33" t="s">
        <v>54</v>
      </c>
      <c r="C22" s="98">
        <v>770</v>
      </c>
      <c r="D22" s="98">
        <v>0</v>
      </c>
      <c r="E22" s="98">
        <v>0</v>
      </c>
      <c r="F22" s="98">
        <v>86</v>
      </c>
      <c r="G22" s="98">
        <v>0</v>
      </c>
      <c r="H22" s="98">
        <v>160</v>
      </c>
    </row>
    <row r="23" spans="1:8" x14ac:dyDescent="0.2">
      <c r="A23" s="32" t="s">
        <v>74</v>
      </c>
      <c r="B23" s="32" t="s">
        <v>45</v>
      </c>
      <c r="C23" s="98">
        <v>10</v>
      </c>
      <c r="D23" s="98">
        <v>1.34</v>
      </c>
      <c r="E23" s="98">
        <v>0.32</v>
      </c>
      <c r="F23" s="98">
        <v>0.16</v>
      </c>
      <c r="G23" s="98">
        <v>0.32</v>
      </c>
      <c r="H23" s="98">
        <v>96.66</v>
      </c>
    </row>
    <row r="24" spans="1:8" x14ac:dyDescent="0.2">
      <c r="A24" s="32" t="s">
        <v>74</v>
      </c>
      <c r="B24" s="32" t="s">
        <v>54</v>
      </c>
      <c r="C24" s="98">
        <v>50</v>
      </c>
      <c r="D24" s="98">
        <v>6.7</v>
      </c>
      <c r="E24" s="98">
        <v>1.6</v>
      </c>
      <c r="F24" s="98">
        <v>0.8</v>
      </c>
      <c r="G24" s="98">
        <v>1.6</v>
      </c>
      <c r="H24" s="98">
        <v>483.3</v>
      </c>
    </row>
    <row r="25" spans="1:8" x14ac:dyDescent="0.2">
      <c r="A25" s="33" t="s">
        <v>60</v>
      </c>
      <c r="B25" s="33" t="s">
        <v>54</v>
      </c>
      <c r="C25" s="99">
        <v>53.333333333333336</v>
      </c>
      <c r="D25" s="98">
        <v>11.666666666666666</v>
      </c>
      <c r="E25" s="98">
        <v>1</v>
      </c>
      <c r="F25" s="98">
        <v>0</v>
      </c>
      <c r="G25" s="98">
        <v>1.1666666666666667</v>
      </c>
      <c r="H25" s="98">
        <v>535</v>
      </c>
    </row>
    <row r="26" spans="1:8" x14ac:dyDescent="0.2">
      <c r="A26" s="32" t="s">
        <v>40</v>
      </c>
      <c r="B26" s="32" t="s">
        <v>44</v>
      </c>
      <c r="C26" s="98">
        <v>65.7</v>
      </c>
      <c r="D26" s="98">
        <v>0.27</v>
      </c>
      <c r="E26" s="98">
        <v>5.99</v>
      </c>
      <c r="F26" s="98">
        <v>4.28</v>
      </c>
      <c r="G26" s="98">
        <v>0</v>
      </c>
      <c r="H26" s="98">
        <v>65.7</v>
      </c>
    </row>
    <row r="27" spans="1:8" x14ac:dyDescent="0.2">
      <c r="A27" s="32" t="s">
        <v>40</v>
      </c>
      <c r="B27" s="32" t="s">
        <v>54</v>
      </c>
      <c r="C27" s="98">
        <v>146</v>
      </c>
      <c r="D27" s="98">
        <v>0.6</v>
      </c>
      <c r="E27" s="98">
        <v>13.3</v>
      </c>
      <c r="F27" s="98">
        <v>9.5</v>
      </c>
      <c r="G27" s="98">
        <v>0</v>
      </c>
      <c r="H27" s="98">
        <v>146</v>
      </c>
    </row>
    <row r="28" spans="1:8" x14ac:dyDescent="0.2">
      <c r="A28" s="33" t="s">
        <v>59</v>
      </c>
      <c r="B28" s="33" t="s">
        <v>54</v>
      </c>
      <c r="C28" s="99">
        <v>244</v>
      </c>
      <c r="D28" s="99">
        <v>36</v>
      </c>
      <c r="E28" s="99">
        <v>13.6</v>
      </c>
      <c r="F28" s="99">
        <v>2.7</v>
      </c>
      <c r="G28" s="99">
        <v>8</v>
      </c>
      <c r="H28" s="99">
        <v>372</v>
      </c>
    </row>
    <row r="29" spans="1:8" x14ac:dyDescent="0.2">
      <c r="A29" s="33" t="s">
        <v>61</v>
      </c>
      <c r="B29" s="33" t="s">
        <v>54</v>
      </c>
      <c r="C29" s="99">
        <v>225</v>
      </c>
      <c r="D29" s="98">
        <v>55.8</v>
      </c>
      <c r="E29" s="98">
        <v>0</v>
      </c>
      <c r="F29" s="98">
        <v>0</v>
      </c>
      <c r="G29" s="98">
        <v>0</v>
      </c>
      <c r="H29" s="99">
        <v>0</v>
      </c>
    </row>
    <row r="30" spans="1:8" x14ac:dyDescent="0.2">
      <c r="A30" s="32" t="s">
        <v>57</v>
      </c>
      <c r="B30" s="33" t="s">
        <v>54</v>
      </c>
      <c r="C30" s="98">
        <v>122</v>
      </c>
      <c r="D30" s="98">
        <v>4</v>
      </c>
      <c r="E30" s="98">
        <v>23</v>
      </c>
      <c r="F30" s="98">
        <v>1.6</v>
      </c>
      <c r="G30" s="98">
        <v>0</v>
      </c>
      <c r="H30" s="98">
        <v>53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A90A8-BBB0-EE46-82E8-4F9F61D78AC2}">
  <sheetPr codeName="Planilha2"/>
  <dimension ref="B1:Q23"/>
  <sheetViews>
    <sheetView topLeftCell="F1" zoomScale="138" workbookViewId="0">
      <selection activeCell="M16" sqref="M16"/>
    </sheetView>
  </sheetViews>
  <sheetFormatPr baseColWidth="10" defaultRowHeight="16" x14ac:dyDescent="0.2"/>
  <cols>
    <col min="1" max="1" width="4.83203125" customWidth="1"/>
    <col min="2" max="2" width="16.5" customWidth="1"/>
    <col min="3" max="3" width="4.1640625" customWidth="1"/>
    <col min="5" max="5" width="2.83203125" customWidth="1"/>
    <col min="6" max="6" width="21" bestFit="1" customWidth="1"/>
    <col min="7" max="7" width="18.5" customWidth="1"/>
    <col min="8" max="8" width="3.33203125" customWidth="1"/>
    <col min="11" max="11" width="4" customWidth="1"/>
    <col min="14" max="14" width="3.5" customWidth="1"/>
    <col min="15" max="15" width="18.1640625" customWidth="1"/>
    <col min="17" max="17" width="26.6640625" customWidth="1"/>
  </cols>
  <sheetData>
    <row r="1" spans="2:17" ht="17" thickBot="1" x14ac:dyDescent="0.25">
      <c r="B1" s="1" t="s">
        <v>29</v>
      </c>
      <c r="D1" s="1" t="s">
        <v>13</v>
      </c>
      <c r="F1" s="29" t="s">
        <v>17</v>
      </c>
      <c r="G1" s="30"/>
      <c r="I1" s="27" t="s">
        <v>20</v>
      </c>
      <c r="J1" s="28"/>
      <c r="L1" s="4" t="s">
        <v>7</v>
      </c>
      <c r="M1" s="1" t="s">
        <v>28</v>
      </c>
      <c r="O1" s="1" t="s">
        <v>39</v>
      </c>
      <c r="Q1" s="1" t="s">
        <v>53</v>
      </c>
    </row>
    <row r="2" spans="2:17" x14ac:dyDescent="0.2">
      <c r="B2" s="2" t="s">
        <v>31</v>
      </c>
      <c r="D2" s="2" t="s">
        <v>21</v>
      </c>
      <c r="F2" s="5" t="s">
        <v>18</v>
      </c>
      <c r="G2" s="6">
        <v>1.2</v>
      </c>
      <c r="I2" s="5" t="s">
        <v>21</v>
      </c>
      <c r="J2" s="6">
        <f>(10*Home1!B9)+(6.25*Home1!B10)-(5*Home1!B8)+5</f>
        <v>1722.5</v>
      </c>
      <c r="L2" s="5" t="s">
        <v>37</v>
      </c>
      <c r="M2" s="6">
        <v>4</v>
      </c>
      <c r="O2" s="2" t="str" cm="1">
        <f t="array" ref="O2:O6">_xlfn.UNIQUE(Food_Original!B2:B499,FALSE,FALSE)</f>
        <v>Colher de Sopa</v>
      </c>
      <c r="Q2" s="12" t="str" cm="1">
        <f t="array" ref="Q2:Q23">_xlfn.UNIQUE(Food_Original!A2:A499)</f>
        <v>Arroz branco cozido</v>
      </c>
    </row>
    <row r="3" spans="2:17" ht="17" thickBot="1" x14ac:dyDescent="0.25">
      <c r="B3" s="2" t="s">
        <v>30</v>
      </c>
      <c r="D3" s="3" t="s">
        <v>14</v>
      </c>
      <c r="F3" s="9" t="s">
        <v>27</v>
      </c>
      <c r="G3" s="10">
        <v>1.375</v>
      </c>
      <c r="I3" s="7" t="s">
        <v>22</v>
      </c>
      <c r="J3" s="8">
        <f>J2-166</f>
        <v>1556.5</v>
      </c>
      <c r="L3" s="9" t="s">
        <v>36</v>
      </c>
      <c r="M3" s="10">
        <v>4</v>
      </c>
      <c r="O3" s="2" t="str">
        <v>Gramas (100g)</v>
      </c>
      <c r="Q3" s="12" t="str">
        <v>Aveia em flocos finos Quaker</v>
      </c>
    </row>
    <row r="4" spans="2:17" ht="17" thickBot="1" x14ac:dyDescent="0.25">
      <c r="B4" s="14" t="s">
        <v>32</v>
      </c>
      <c r="F4" s="9" t="s">
        <v>24</v>
      </c>
      <c r="G4" s="10">
        <v>1.55</v>
      </c>
      <c r="L4" s="7" t="s">
        <v>4</v>
      </c>
      <c r="M4" s="8">
        <v>9</v>
      </c>
      <c r="O4" s="14" t="str">
        <v>Unidade</v>
      </c>
      <c r="Q4" s="12" t="str">
        <v>Azeite extra virgem Gallo</v>
      </c>
    </row>
    <row r="5" spans="2:17" x14ac:dyDescent="0.2">
      <c r="F5" s="9" t="s">
        <v>25</v>
      </c>
      <c r="G5" s="10">
        <v>1.7250000000000001</v>
      </c>
      <c r="O5" t="str">
        <v>Mililitros (100ml)</v>
      </c>
      <c r="Q5" s="12" t="str">
        <v>Batata Palha</v>
      </c>
    </row>
    <row r="6" spans="2:17" ht="17" thickBot="1" x14ac:dyDescent="0.25">
      <c r="F6" s="7" t="s">
        <v>26</v>
      </c>
      <c r="G6" s="8">
        <v>1.9</v>
      </c>
      <c r="O6">
        <v>0</v>
      </c>
      <c r="Q6" t="str">
        <v>Beterraba cozida</v>
      </c>
    </row>
    <row r="7" spans="2:17" x14ac:dyDescent="0.2">
      <c r="Q7" t="str">
        <v>Brócolis cozido</v>
      </c>
    </row>
    <row r="8" spans="2:17" x14ac:dyDescent="0.2">
      <c r="Q8" t="str">
        <v>Carne bovina patinho grelhado</v>
      </c>
    </row>
    <row r="9" spans="2:17" x14ac:dyDescent="0.2">
      <c r="Q9" t="str">
        <v>Doce de leite Aviação</v>
      </c>
    </row>
    <row r="10" spans="2:17" x14ac:dyDescent="0.2">
      <c r="Q10" t="str">
        <v>Farelo de Aveia</v>
      </c>
    </row>
    <row r="11" spans="2:17" x14ac:dyDescent="0.2">
      <c r="Q11" t="str">
        <v>Feijão carioca cozido</v>
      </c>
    </row>
    <row r="12" spans="2:17" x14ac:dyDescent="0.2">
      <c r="Q12" t="str">
        <v>Filé de frango grelhado</v>
      </c>
    </row>
    <row r="13" spans="2:17" x14ac:dyDescent="0.2">
      <c r="Q13" t="str">
        <v>Iogurte Normal Activa</v>
      </c>
    </row>
    <row r="14" spans="2:17" x14ac:dyDescent="0.2">
      <c r="Q14" t="str">
        <v>Leite descantado</v>
      </c>
    </row>
    <row r="15" spans="2:17" x14ac:dyDescent="0.2">
      <c r="Q15" t="str">
        <v>Macarrão integral cozido</v>
      </c>
    </row>
    <row r="16" spans="2:17" x14ac:dyDescent="0.2">
      <c r="Q16" t="str">
        <v>Manteiga</v>
      </c>
    </row>
    <row r="17" spans="17:17" x14ac:dyDescent="0.2">
      <c r="Q17" t="str">
        <v>Molho de tomate Pomarola</v>
      </c>
    </row>
    <row r="18" spans="17:17" x14ac:dyDescent="0.2">
      <c r="Q18" t="str">
        <v>Molho Tomoate heiz</v>
      </c>
    </row>
    <row r="19" spans="17:17" x14ac:dyDescent="0.2">
      <c r="Q19" t="str">
        <v>Ovo De Galinha Inteiro Cozido</v>
      </c>
    </row>
    <row r="20" spans="17:17" x14ac:dyDescent="0.2">
      <c r="Q20" t="str">
        <v>Pão Integral Wickbold</v>
      </c>
    </row>
    <row r="21" spans="17:17" x14ac:dyDescent="0.2">
      <c r="Q21" t="str">
        <v>Tapioca</v>
      </c>
    </row>
    <row r="22" spans="17:17" x14ac:dyDescent="0.2">
      <c r="Q22" t="str">
        <v>Whey Growth</v>
      </c>
    </row>
    <row r="23" spans="17:17" x14ac:dyDescent="0.2">
      <c r="Q23">
        <v>0</v>
      </c>
    </row>
  </sheetData>
  <sheetProtection sheet="1" objects="1" scenarios="1"/>
  <mergeCells count="2">
    <mergeCell ref="I1:J1"/>
    <mergeCell ref="F1:G1"/>
  </mergeCells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2019-B6DE-3D49-AFC7-D4BB3ECAB532}">
  <sheetPr codeName="Planilha5"/>
  <dimension ref="A1:G500"/>
  <sheetViews>
    <sheetView workbookViewId="0">
      <selection activeCell="G2" sqref="G2"/>
    </sheetView>
  </sheetViews>
  <sheetFormatPr baseColWidth="10" defaultRowHeight="16" x14ac:dyDescent="0.2"/>
  <cols>
    <col min="1" max="1" width="35.83203125" customWidth="1"/>
    <col min="3" max="3" width="13.33203125" customWidth="1"/>
    <col min="8" max="8" width="10.83203125" customWidth="1"/>
  </cols>
  <sheetData>
    <row r="1" spans="1:7" x14ac:dyDescent="0.2">
      <c r="A1" t="str">
        <f>_xlfn.CONCAT(Food_Original!A1," - ",Food_Original!B1)</f>
        <v>Alimento - Unidade de Medida</v>
      </c>
      <c r="B1" t="str">
        <f>Food_Original!C1</f>
        <v>Calorias (kcal)</v>
      </c>
      <c r="C1" t="str">
        <f>Food_Original!D1</f>
        <v>Carboidratos (g)</v>
      </c>
      <c r="D1" t="str">
        <f>Food_Original!E1</f>
        <v>Proteínas (g)</v>
      </c>
      <c r="E1" t="str">
        <f>Food_Original!F1</f>
        <v>Gorduras totais (g)</v>
      </c>
      <c r="F1" t="str">
        <f>Food_Original!G1</f>
        <v>Fibra alimentar (g)</v>
      </c>
      <c r="G1" t="str">
        <f>Food_Original!H1</f>
        <v>Sódio (mg)</v>
      </c>
    </row>
    <row r="2" spans="1:7" x14ac:dyDescent="0.2">
      <c r="A2" t="str">
        <f>_xlfn.CONCAT(Food_Original!A2," - ",Food_Original!B2)</f>
        <v>Arroz branco cozido - Colher de Sopa</v>
      </c>
      <c r="B2">
        <f>Food_Original!C2</f>
        <v>32</v>
      </c>
      <c r="C2">
        <f>Food_Original!D2</f>
        <v>6.63</v>
      </c>
      <c r="D2">
        <f>Food_Original!E2</f>
        <v>0.63</v>
      </c>
      <c r="E2">
        <f>Food_Original!F2</f>
        <v>0.05</v>
      </c>
      <c r="F2">
        <f>Food_Original!G2</f>
        <v>0.4</v>
      </c>
      <c r="G2">
        <f>Food_Original!H2</f>
        <v>0.25</v>
      </c>
    </row>
    <row r="3" spans="1:7" x14ac:dyDescent="0.2">
      <c r="A3" t="str">
        <f>_xlfn.CONCAT(Food_Original!A3," - ",Food_Original!B3)</f>
        <v>Arroz branco cozido - Gramas (100g)</v>
      </c>
      <c r="B3">
        <f>Food_Original!C3</f>
        <v>128</v>
      </c>
      <c r="C3">
        <f>Food_Original!D3</f>
        <v>26.5</v>
      </c>
      <c r="D3">
        <f>Food_Original!E3</f>
        <v>2.5</v>
      </c>
      <c r="E3">
        <f>Food_Original!F3</f>
        <v>0.2</v>
      </c>
      <c r="F3">
        <f>Food_Original!G3</f>
        <v>1.6</v>
      </c>
      <c r="G3">
        <f>Food_Original!H3</f>
        <v>1</v>
      </c>
    </row>
    <row r="4" spans="1:7" x14ac:dyDescent="0.2">
      <c r="A4" t="str">
        <f>_xlfn.CONCAT(Food_Original!A4," - ",Food_Original!B4)</f>
        <v>Aveia em flocos finos Quaker - Gramas (100g)</v>
      </c>
      <c r="B4">
        <f>Food_Original!C4</f>
        <v>394</v>
      </c>
      <c r="C4">
        <f>Food_Original!D4</f>
        <v>57.5</v>
      </c>
      <c r="D4">
        <f>Food_Original!E4</f>
        <v>13.9</v>
      </c>
      <c r="E4">
        <f>Food_Original!F4</f>
        <v>0</v>
      </c>
      <c r="F4">
        <f>Food_Original!G4</f>
        <v>9.1</v>
      </c>
      <c r="G4">
        <f>Food_Original!H4</f>
        <v>5</v>
      </c>
    </row>
    <row r="5" spans="1:7" x14ac:dyDescent="0.2">
      <c r="A5" t="str">
        <f>_xlfn.CONCAT(Food_Original!A5," - ",Food_Original!B5)</f>
        <v>Azeite extra virgem Gallo - Colher de Sopa</v>
      </c>
      <c r="B5">
        <f>Food_Original!C5</f>
        <v>108</v>
      </c>
      <c r="C5">
        <f>Food_Original!D5</f>
        <v>0</v>
      </c>
      <c r="D5">
        <f>Food_Original!E5</f>
        <v>0</v>
      </c>
      <c r="E5">
        <f>Food_Original!F5</f>
        <v>12</v>
      </c>
      <c r="F5">
        <f>Food_Original!G5</f>
        <v>0</v>
      </c>
      <c r="G5">
        <f>Food_Original!H5</f>
        <v>0</v>
      </c>
    </row>
    <row r="6" spans="1:7" x14ac:dyDescent="0.2">
      <c r="A6" t="str">
        <f>_xlfn.CONCAT(Food_Original!A6," - ",Food_Original!B6)</f>
        <v>Batata Palha - Gramas (100g)</v>
      </c>
      <c r="B6">
        <f>Food_Original!C6</f>
        <v>544</v>
      </c>
      <c r="C6">
        <f>Food_Original!D13</f>
        <v>60</v>
      </c>
      <c r="D6">
        <f>Food_Original!E13</f>
        <v>6</v>
      </c>
      <c r="E6">
        <f>Food_Original!F13</f>
        <v>7.5</v>
      </c>
      <c r="F6">
        <f>Food_Original!G13</f>
        <v>0</v>
      </c>
      <c r="G6">
        <f>Food_Original!H6</f>
        <v>372</v>
      </c>
    </row>
    <row r="7" spans="1:7" x14ac:dyDescent="0.2">
      <c r="A7" t="str">
        <f>_xlfn.CONCAT(Food_Original!A7," - ",Food_Original!B7)</f>
        <v>Beterraba cozida - Colher de Sopa</v>
      </c>
      <c r="B7">
        <f>Food_Original!C7</f>
        <v>5.4</v>
      </c>
      <c r="C7">
        <f>Food_Original!D7</f>
        <v>0.51</v>
      </c>
      <c r="D7">
        <f>Food_Original!E7</f>
        <v>0.51</v>
      </c>
      <c r="E7">
        <f>Food_Original!F7</f>
        <v>0.04</v>
      </c>
      <c r="F7">
        <f>Food_Original!G14</f>
        <v>20</v>
      </c>
      <c r="G7">
        <f>Food_Original!H7</f>
        <v>48.2</v>
      </c>
    </row>
    <row r="8" spans="1:7" x14ac:dyDescent="0.2">
      <c r="A8" t="str">
        <f>_xlfn.CONCAT(Food_Original!A8," - ",Food_Original!B8)</f>
        <v>Beterraba cozida - Gramas (100g)</v>
      </c>
      <c r="B8">
        <f>Food_Original!C8</f>
        <v>27</v>
      </c>
      <c r="C8">
        <f>Food_Original!D8</f>
        <v>2.56</v>
      </c>
      <c r="D8">
        <f>Food_Original!E8</f>
        <v>2.57</v>
      </c>
      <c r="E8">
        <f>Food_Original!F8</f>
        <v>0.2</v>
      </c>
      <c r="F8">
        <f>Food_Original!G15</f>
        <v>1.45</v>
      </c>
      <c r="G8">
        <f>Food_Original!H8</f>
        <v>241</v>
      </c>
    </row>
    <row r="9" spans="1:7" x14ac:dyDescent="0.2">
      <c r="A9" t="str">
        <f>_xlfn.CONCAT(Food_Original!A9," - ",Food_Original!B9)</f>
        <v>Brócolis cozido - Unidade</v>
      </c>
      <c r="B9">
        <f>Food_Original!C9</f>
        <v>15</v>
      </c>
      <c r="C9">
        <f>Food_Original!D9</f>
        <v>0.6</v>
      </c>
      <c r="D9">
        <f>Food_Original!E9</f>
        <v>1.26</v>
      </c>
      <c r="E9">
        <f>Food_Original!F9</f>
        <v>0.3</v>
      </c>
      <c r="F9">
        <f>Food_Original!G16</f>
        <v>8.5</v>
      </c>
      <c r="G9">
        <f>Food_Original!H9</f>
        <v>1.2</v>
      </c>
    </row>
    <row r="10" spans="1:7" x14ac:dyDescent="0.2">
      <c r="A10" t="str">
        <f>_xlfn.CONCAT(Food_Original!A10," - ",Food_Original!B10)</f>
        <v>Brócolis cozido - Colher de Sopa</v>
      </c>
      <c r="B10">
        <f>Food_Original!C10</f>
        <v>2.5</v>
      </c>
      <c r="C10">
        <f>Food_Original!D10</f>
        <v>0.1</v>
      </c>
      <c r="D10">
        <f>Food_Original!E10</f>
        <v>0.21</v>
      </c>
      <c r="E10">
        <f>Food_Original!F10</f>
        <v>0.05</v>
      </c>
      <c r="F10" t="e">
        <f>Food_Original!#REF!</f>
        <v>#REF!</v>
      </c>
      <c r="G10">
        <f>Food_Original!H10</f>
        <v>0.2</v>
      </c>
    </row>
    <row r="11" spans="1:7" x14ac:dyDescent="0.2">
      <c r="A11" t="str">
        <f>_xlfn.CONCAT(Food_Original!A11," - ",Food_Original!B11)</f>
        <v>Brócolis cozido - Gramas (100g)</v>
      </c>
      <c r="B11">
        <f>Food_Original!C11</f>
        <v>25</v>
      </c>
      <c r="C11">
        <f>Food_Original!D11</f>
        <v>1</v>
      </c>
      <c r="D11">
        <f>Food_Original!E11</f>
        <v>2.1</v>
      </c>
      <c r="E11">
        <f>Food_Original!F11</f>
        <v>0.5</v>
      </c>
      <c r="F11">
        <f>Food_Original!G17</f>
        <v>0</v>
      </c>
      <c r="G11">
        <f>Food_Original!H11</f>
        <v>2</v>
      </c>
    </row>
    <row r="12" spans="1:7" x14ac:dyDescent="0.2">
      <c r="A12" t="str">
        <f>_xlfn.CONCAT(Food_Original!A12," - ",Food_Original!B12)</f>
        <v>Carne bovina patinho grelhado - Gramas (100g)</v>
      </c>
      <c r="B12">
        <f>Food_Original!C12</f>
        <v>219</v>
      </c>
      <c r="C12">
        <f>Food_Original!D12</f>
        <v>0</v>
      </c>
      <c r="D12">
        <f>Food_Original!E12</f>
        <v>35.9</v>
      </c>
      <c r="E12">
        <f>Food_Original!F12</f>
        <v>7.3</v>
      </c>
      <c r="F12">
        <f>Food_Original!G18</f>
        <v>0</v>
      </c>
      <c r="G12">
        <f>Food_Original!H12</f>
        <v>60</v>
      </c>
    </row>
    <row r="13" spans="1:7" x14ac:dyDescent="0.2">
      <c r="A13" t="str">
        <f>_xlfn.CONCAT(Food_Original!A13," - ",Food_Original!B13)</f>
        <v>Doce de leite Aviação - Gramas (100g)</v>
      </c>
      <c r="B13">
        <f>Food_Original!C13</f>
        <v>345</v>
      </c>
      <c r="C13">
        <f>Food_Original!D13</f>
        <v>60</v>
      </c>
      <c r="D13">
        <f>Food_Original!E13</f>
        <v>6</v>
      </c>
      <c r="E13">
        <f>Food_Original!F13</f>
        <v>7.5</v>
      </c>
      <c r="F13">
        <f>Food_Original!G19</f>
        <v>0</v>
      </c>
      <c r="G13">
        <f>Food_Original!H13</f>
        <v>135</v>
      </c>
    </row>
    <row r="14" spans="1:7" x14ac:dyDescent="0.2">
      <c r="A14" t="str">
        <f>_xlfn.CONCAT(Food_Original!A14," - ",Food_Original!B14)</f>
        <v>Farelo de Aveia - Gramas (100g)</v>
      </c>
      <c r="B14">
        <f>Food_Original!C14</f>
        <v>330</v>
      </c>
      <c r="C14">
        <f>Food_Original!D14</f>
        <v>50</v>
      </c>
      <c r="D14">
        <f>Food_Original!E14</f>
        <v>22.000000000000004</v>
      </c>
      <c r="E14">
        <f>Food_Original!F14</f>
        <v>7</v>
      </c>
      <c r="F14">
        <f>Food_Original!G20</f>
        <v>0.56000000000000005</v>
      </c>
      <c r="G14">
        <f>Food_Original!H14</f>
        <v>0</v>
      </c>
    </row>
    <row r="15" spans="1:7" x14ac:dyDescent="0.2">
      <c r="A15" t="str">
        <f>_xlfn.CONCAT(Food_Original!A15," - ",Food_Original!B15)</f>
        <v>Feijão carioca cozido - Colher de Sopa</v>
      </c>
      <c r="B15">
        <f>Food_Original!C15</f>
        <v>12.92</v>
      </c>
      <c r="C15">
        <f>Food_Original!D15</f>
        <v>0.87</v>
      </c>
      <c r="D15">
        <f>Food_Original!E15</f>
        <v>0.82</v>
      </c>
      <c r="E15">
        <f>Food_Original!F15</f>
        <v>0.09</v>
      </c>
      <c r="F15">
        <f>Food_Original!G21</f>
        <v>2.8</v>
      </c>
      <c r="G15">
        <f>Food_Original!H15</f>
        <v>0.34</v>
      </c>
    </row>
    <row r="16" spans="1:7" x14ac:dyDescent="0.2">
      <c r="A16" t="str">
        <f>_xlfn.CONCAT(Food_Original!A16," - ",Food_Original!B16)</f>
        <v>Feijão carioca cozido - Gramas (100g)</v>
      </c>
      <c r="B16">
        <f>Food_Original!C16</f>
        <v>76</v>
      </c>
      <c r="C16">
        <f>Food_Original!D16</f>
        <v>5.0999999999999996</v>
      </c>
      <c r="D16">
        <f>Food_Original!E16</f>
        <v>4.8</v>
      </c>
      <c r="E16">
        <f>Food_Original!F16</f>
        <v>0.5</v>
      </c>
      <c r="F16">
        <f>Food_Original!G22</f>
        <v>0</v>
      </c>
      <c r="G16">
        <f>Food_Original!H16</f>
        <v>2</v>
      </c>
    </row>
    <row r="17" spans="1:7" x14ac:dyDescent="0.2">
      <c r="A17" t="e">
        <f>_xlfn.CONCAT(Food_Original!#REF!," - ",Food_Original!#REF!)</f>
        <v>#REF!</v>
      </c>
      <c r="B17" t="e">
        <f>Food_Original!#REF!</f>
        <v>#REF!</v>
      </c>
      <c r="C17" t="e">
        <f>Food_Original!#REF!</f>
        <v>#REF!</v>
      </c>
      <c r="D17" t="e">
        <f>Food_Original!#REF!</f>
        <v>#REF!</v>
      </c>
      <c r="E17" t="e">
        <f>Food_Original!#REF!</f>
        <v>#REF!</v>
      </c>
      <c r="F17">
        <f>Food_Original!G23</f>
        <v>0.32</v>
      </c>
      <c r="G17" t="e">
        <f>Food_Original!#REF!</f>
        <v>#REF!</v>
      </c>
    </row>
    <row r="18" spans="1:7" x14ac:dyDescent="0.2">
      <c r="A18" t="str">
        <f>_xlfn.CONCAT(Food_Original!A17," - ",Food_Original!B17)</f>
        <v>Filé de frango grelhado - Gramas (100g)</v>
      </c>
      <c r="B18">
        <f>Food_Original!C17</f>
        <v>159</v>
      </c>
      <c r="C18">
        <f>Food_Original!D17</f>
        <v>0</v>
      </c>
      <c r="D18">
        <f>Food_Original!E17</f>
        <v>32</v>
      </c>
      <c r="E18">
        <f>Food_Original!F17</f>
        <v>2.5</v>
      </c>
      <c r="F18">
        <f>Food_Original!G24</f>
        <v>1.6</v>
      </c>
      <c r="G18">
        <f>Food_Original!H17</f>
        <v>50</v>
      </c>
    </row>
    <row r="19" spans="1:7" x14ac:dyDescent="0.2">
      <c r="A19" t="str">
        <f>_xlfn.CONCAT(Food_Original!A18," - ",Food_Original!B18)</f>
        <v>Iogurte Normal Activa - Gramas (100g)</v>
      </c>
      <c r="B19">
        <f>Food_Original!C18</f>
        <v>69</v>
      </c>
      <c r="C19">
        <f>Food_Original!D18</f>
        <v>12.5</v>
      </c>
      <c r="D19">
        <f>Food_Original!E18</f>
        <v>2.35</v>
      </c>
      <c r="E19">
        <f>Food_Original!F18</f>
        <v>1.05</v>
      </c>
      <c r="F19">
        <f>Food_Original!G25</f>
        <v>1.1666666666666667</v>
      </c>
      <c r="G19">
        <f>Food_Original!H18</f>
        <v>100</v>
      </c>
    </row>
    <row r="20" spans="1:7" x14ac:dyDescent="0.2">
      <c r="A20" t="str">
        <f>_xlfn.CONCAT(Food_Original!A19," - ",Food_Original!B19)</f>
        <v>Leite descantado - Mililitros (100ml)</v>
      </c>
      <c r="B20">
        <f>Food_Original!C19</f>
        <v>0</v>
      </c>
      <c r="C20">
        <f>Food_Original!D19</f>
        <v>0</v>
      </c>
      <c r="D20">
        <f>Food_Original!E19</f>
        <v>0</v>
      </c>
      <c r="E20">
        <f>Food_Original!F19</f>
        <v>0</v>
      </c>
      <c r="F20">
        <f>Food_Original!G26</f>
        <v>0</v>
      </c>
      <c r="G20">
        <f>Food_Original!H19</f>
        <v>0</v>
      </c>
    </row>
    <row r="21" spans="1:7" x14ac:dyDescent="0.2">
      <c r="A21" t="str">
        <f>_xlfn.CONCAT(Food_Original!A20," - ",Food_Original!B20)</f>
        <v>Macarrão integral cozido - Colher de Sopa</v>
      </c>
      <c r="B21">
        <f>Food_Original!C20</f>
        <v>24.8</v>
      </c>
      <c r="C21">
        <f>Food_Original!D20</f>
        <v>4.75</v>
      </c>
      <c r="D21">
        <f>Food_Original!E20</f>
        <v>1.07</v>
      </c>
      <c r="E21">
        <f>Food_Original!F20</f>
        <v>0.11</v>
      </c>
      <c r="F21">
        <f>Food_Original!G20</f>
        <v>0.56000000000000005</v>
      </c>
      <c r="G21">
        <f>Food_Original!H20</f>
        <v>0.6</v>
      </c>
    </row>
    <row r="22" spans="1:7" x14ac:dyDescent="0.2">
      <c r="A22" t="str">
        <f>_xlfn.CONCAT(Food_Original!A21," - ",Food_Original!B21)</f>
        <v>Macarrão integral cozido - Gramas (100g)</v>
      </c>
      <c r="B22">
        <f>Food_Original!C21</f>
        <v>124</v>
      </c>
      <c r="C22">
        <f>Food_Original!D21</f>
        <v>23.74</v>
      </c>
      <c r="D22">
        <f>Food_Original!E21</f>
        <v>5.33</v>
      </c>
      <c r="E22">
        <f>Food_Original!F21</f>
        <v>0.54</v>
      </c>
      <c r="F22">
        <f>Food_Original!G21</f>
        <v>2.8</v>
      </c>
      <c r="G22">
        <f>Food_Original!H21</f>
        <v>3</v>
      </c>
    </row>
    <row r="23" spans="1:7" x14ac:dyDescent="0.2">
      <c r="A23" t="str">
        <f>_xlfn.CONCAT(Food_Original!A22," - ",Food_Original!B22)</f>
        <v>Manteiga - Gramas (100g)</v>
      </c>
      <c r="B23">
        <f>Food_Original!C22</f>
        <v>770</v>
      </c>
      <c r="C23">
        <f>Food_Original!D22</f>
        <v>0</v>
      </c>
      <c r="D23">
        <f>Food_Original!E22</f>
        <v>0</v>
      </c>
      <c r="E23">
        <f>Food_Original!F22</f>
        <v>86</v>
      </c>
      <c r="F23">
        <f>Food_Original!G22</f>
        <v>0</v>
      </c>
      <c r="G23">
        <f>Food_Original!H22</f>
        <v>160</v>
      </c>
    </row>
    <row r="24" spans="1:7" x14ac:dyDescent="0.2">
      <c r="A24" t="str">
        <f>_xlfn.CONCAT(Food_Original!A23," - ",Food_Original!B23)</f>
        <v>Molho de tomate Pomarola - Colher de Sopa</v>
      </c>
      <c r="B24">
        <f>Food_Original!C23</f>
        <v>10</v>
      </c>
      <c r="C24">
        <f>Food_Original!D23</f>
        <v>1.34</v>
      </c>
      <c r="D24">
        <f>Food_Original!E23</f>
        <v>0.32</v>
      </c>
      <c r="E24">
        <f>Food_Original!F23</f>
        <v>0.16</v>
      </c>
      <c r="F24">
        <f>Food_Original!G23</f>
        <v>0.32</v>
      </c>
      <c r="G24">
        <f>Food_Original!H23</f>
        <v>96.66</v>
      </c>
    </row>
    <row r="25" spans="1:7" x14ac:dyDescent="0.2">
      <c r="A25" t="str">
        <f>_xlfn.CONCAT(Food_Original!A24," - ",Food_Original!B24)</f>
        <v>Molho de tomate Pomarola - Gramas (100g)</v>
      </c>
      <c r="B25">
        <f>Food_Original!C24</f>
        <v>50</v>
      </c>
      <c r="C25">
        <f>Food_Original!D24</f>
        <v>6.7</v>
      </c>
      <c r="D25">
        <f>Food_Original!E24</f>
        <v>1.6</v>
      </c>
      <c r="E25">
        <f>Food_Original!F24</f>
        <v>0.8</v>
      </c>
      <c r="F25">
        <f>Food_Original!G24</f>
        <v>1.6</v>
      </c>
      <c r="G25">
        <f>Food_Original!H24</f>
        <v>483.3</v>
      </c>
    </row>
    <row r="26" spans="1:7" x14ac:dyDescent="0.2">
      <c r="A26" t="str">
        <f>_xlfn.CONCAT(Food_Original!A25," - ",Food_Original!B25)</f>
        <v>Molho Tomoate heiz - Gramas (100g)</v>
      </c>
      <c r="B26">
        <f>Food_Original!C25</f>
        <v>53.333333333333336</v>
      </c>
      <c r="C26">
        <f>Food_Original!D25</f>
        <v>11.666666666666666</v>
      </c>
      <c r="D26">
        <f>Food_Original!E25</f>
        <v>1</v>
      </c>
      <c r="E26">
        <f>Food_Original!F25</f>
        <v>0</v>
      </c>
      <c r="F26">
        <f>Food_Original!G25</f>
        <v>1.1666666666666667</v>
      </c>
      <c r="G26">
        <f>Food_Original!H25</f>
        <v>535</v>
      </c>
    </row>
    <row r="27" spans="1:7" x14ac:dyDescent="0.2">
      <c r="A27" t="str">
        <f>_xlfn.CONCAT(Food_Original!A26," - ",Food_Original!B26)</f>
        <v>Ovo De Galinha Inteiro Cozido - Unidade</v>
      </c>
      <c r="B27">
        <f>Food_Original!C26</f>
        <v>65.7</v>
      </c>
      <c r="C27">
        <f>Food_Original!D26</f>
        <v>0.27</v>
      </c>
      <c r="D27">
        <f>Food_Original!E26</f>
        <v>5.99</v>
      </c>
      <c r="E27">
        <f>Food_Original!F26</f>
        <v>4.28</v>
      </c>
      <c r="F27">
        <f>Food_Original!G26</f>
        <v>0</v>
      </c>
      <c r="G27">
        <f>Food_Original!H26</f>
        <v>65.7</v>
      </c>
    </row>
    <row r="28" spans="1:7" x14ac:dyDescent="0.2">
      <c r="A28" t="str">
        <f>_xlfn.CONCAT(Food_Original!A27," - ",Food_Original!B27)</f>
        <v>Ovo De Galinha Inteiro Cozido - Gramas (100g)</v>
      </c>
      <c r="B28">
        <f>Food_Original!C27</f>
        <v>146</v>
      </c>
      <c r="C28">
        <f>Food_Original!D27</f>
        <v>0.6</v>
      </c>
      <c r="D28">
        <f>Food_Original!E27</f>
        <v>13.3</v>
      </c>
      <c r="E28">
        <f>Food_Original!F27</f>
        <v>9.5</v>
      </c>
      <c r="F28">
        <f>Food_Original!G27</f>
        <v>0</v>
      </c>
      <c r="G28">
        <f>Food_Original!H27</f>
        <v>146</v>
      </c>
    </row>
    <row r="29" spans="1:7" x14ac:dyDescent="0.2">
      <c r="A29" t="str">
        <f>_xlfn.CONCAT(Food_Original!A28," - ",Food_Original!B28)</f>
        <v>Pão Integral Wickbold - Gramas (100g)</v>
      </c>
      <c r="B29">
        <f>Food_Original!C28</f>
        <v>244</v>
      </c>
      <c r="C29">
        <f>Food_Original!D28</f>
        <v>36</v>
      </c>
      <c r="D29">
        <f>Food_Original!E28</f>
        <v>13.6</v>
      </c>
      <c r="E29">
        <f>Food_Original!F28</f>
        <v>2.7</v>
      </c>
      <c r="F29">
        <f>Food_Original!G28</f>
        <v>8</v>
      </c>
      <c r="G29">
        <f>Food_Original!H28</f>
        <v>372</v>
      </c>
    </row>
    <row r="30" spans="1:7" x14ac:dyDescent="0.2">
      <c r="A30" t="str">
        <f>_xlfn.CONCAT(Food_Original!A29," - ",Food_Original!B29)</f>
        <v>Tapioca - Gramas (100g)</v>
      </c>
      <c r="B30">
        <f>Food_Original!C29</f>
        <v>225</v>
      </c>
      <c r="C30">
        <f>Food_Original!D29</f>
        <v>55.8</v>
      </c>
      <c r="D30">
        <f>Food_Original!E29</f>
        <v>0</v>
      </c>
      <c r="E30">
        <f>Food_Original!F29</f>
        <v>0</v>
      </c>
      <c r="F30">
        <f>Food_Original!G29</f>
        <v>0</v>
      </c>
      <c r="G30">
        <f>Food_Original!H29</f>
        <v>0</v>
      </c>
    </row>
    <row r="31" spans="1:7" x14ac:dyDescent="0.2">
      <c r="A31" t="str">
        <f>_xlfn.CONCAT(Food_Original!A30," - ",Food_Original!B30)</f>
        <v>Whey Growth - Gramas (100g)</v>
      </c>
      <c r="B31">
        <f>Food_Original!C30</f>
        <v>122</v>
      </c>
      <c r="C31">
        <f>Food_Original!D30</f>
        <v>4</v>
      </c>
      <c r="D31">
        <f>Food_Original!E30</f>
        <v>23</v>
      </c>
      <c r="E31">
        <f>Food_Original!F30</f>
        <v>1.6</v>
      </c>
      <c r="F31">
        <f>Food_Original!G30</f>
        <v>0</v>
      </c>
      <c r="G31">
        <f>Food_Original!H30</f>
        <v>53</v>
      </c>
    </row>
    <row r="32" spans="1:7" x14ac:dyDescent="0.2">
      <c r="A32" t="str">
        <f>_xlfn.CONCAT(Food_Original!A31," - ",Food_Original!B31)</f>
        <v xml:space="preserve"> - </v>
      </c>
      <c r="B32">
        <f>Food_Original!C31</f>
        <v>0</v>
      </c>
      <c r="C32">
        <f>Food_Original!D31</f>
        <v>0</v>
      </c>
      <c r="D32">
        <f>Food_Original!E31</f>
        <v>0</v>
      </c>
      <c r="E32">
        <f>Food_Original!F31</f>
        <v>0</v>
      </c>
      <c r="F32">
        <f>Food_Original!G31</f>
        <v>0</v>
      </c>
      <c r="G32">
        <f>Food_Original!H31</f>
        <v>0</v>
      </c>
    </row>
    <row r="33" spans="1:7" x14ac:dyDescent="0.2">
      <c r="A33" t="str">
        <f>_xlfn.CONCAT(Food_Original!A32," - ",Food_Original!B32)</f>
        <v xml:space="preserve"> - </v>
      </c>
      <c r="B33">
        <f>Food_Original!C32</f>
        <v>0</v>
      </c>
      <c r="C33">
        <f>Food_Original!D32</f>
        <v>0</v>
      </c>
      <c r="D33">
        <f>Food_Original!E32</f>
        <v>0</v>
      </c>
      <c r="E33">
        <f>Food_Original!F32</f>
        <v>0</v>
      </c>
      <c r="F33">
        <f>Food_Original!G32</f>
        <v>0</v>
      </c>
      <c r="G33">
        <f>Food_Original!H32</f>
        <v>0</v>
      </c>
    </row>
    <row r="34" spans="1:7" x14ac:dyDescent="0.2">
      <c r="A34" t="str">
        <f>_xlfn.CONCAT(Food_Original!A33," - ",Food_Original!B33)</f>
        <v xml:space="preserve"> - </v>
      </c>
      <c r="B34">
        <f>Food_Original!C33</f>
        <v>0</v>
      </c>
      <c r="C34">
        <f>Food_Original!D33</f>
        <v>0</v>
      </c>
      <c r="D34">
        <f>Food_Original!E33</f>
        <v>0</v>
      </c>
      <c r="E34">
        <f>Food_Original!F33</f>
        <v>0</v>
      </c>
      <c r="F34">
        <f>Food_Original!G33</f>
        <v>0</v>
      </c>
      <c r="G34">
        <f>Food_Original!H33</f>
        <v>0</v>
      </c>
    </row>
    <row r="35" spans="1:7" x14ac:dyDescent="0.2">
      <c r="A35" t="str">
        <f>_xlfn.CONCAT(Food_Original!A34," - ",Food_Original!B34)</f>
        <v xml:space="preserve"> - </v>
      </c>
      <c r="B35">
        <f>Food_Original!C34</f>
        <v>0</v>
      </c>
      <c r="C35">
        <f>Food_Original!D34</f>
        <v>0</v>
      </c>
      <c r="D35">
        <f>Food_Original!E34</f>
        <v>0</v>
      </c>
      <c r="E35">
        <f>Food_Original!F34</f>
        <v>0</v>
      </c>
      <c r="F35">
        <f>Food_Original!G34</f>
        <v>0</v>
      </c>
      <c r="G35">
        <f>Food_Original!H34</f>
        <v>0</v>
      </c>
    </row>
    <row r="36" spans="1:7" x14ac:dyDescent="0.2">
      <c r="A36" t="str">
        <f>_xlfn.CONCAT(Food_Original!A35," - ",Food_Original!B35)</f>
        <v xml:space="preserve"> - </v>
      </c>
      <c r="B36">
        <f>Food_Original!C35</f>
        <v>0</v>
      </c>
      <c r="C36">
        <f>Food_Original!D35</f>
        <v>0</v>
      </c>
      <c r="D36">
        <f>Food_Original!E35</f>
        <v>0</v>
      </c>
      <c r="E36">
        <f>Food_Original!F35</f>
        <v>0</v>
      </c>
      <c r="F36">
        <f>Food_Original!G35</f>
        <v>0</v>
      </c>
      <c r="G36">
        <f>Food_Original!H35</f>
        <v>0</v>
      </c>
    </row>
    <row r="37" spans="1:7" x14ac:dyDescent="0.2">
      <c r="A37" t="str">
        <f>_xlfn.CONCAT(Food_Original!A36," - ",Food_Original!B36)</f>
        <v xml:space="preserve"> - </v>
      </c>
      <c r="B37">
        <f>Food_Original!C36</f>
        <v>0</v>
      </c>
      <c r="C37">
        <f>Food_Original!D36</f>
        <v>0</v>
      </c>
      <c r="D37">
        <f>Food_Original!E36</f>
        <v>0</v>
      </c>
      <c r="E37">
        <f>Food_Original!F36</f>
        <v>0</v>
      </c>
      <c r="F37">
        <f>Food_Original!G36</f>
        <v>0</v>
      </c>
      <c r="G37">
        <f>Food_Original!H36</f>
        <v>0</v>
      </c>
    </row>
    <row r="38" spans="1:7" x14ac:dyDescent="0.2">
      <c r="A38" t="str">
        <f>_xlfn.CONCAT(Food_Original!A37," - ",Food_Original!B37)</f>
        <v xml:space="preserve"> - </v>
      </c>
      <c r="B38">
        <f>Food_Original!C37</f>
        <v>0</v>
      </c>
      <c r="C38">
        <f>Food_Original!D37</f>
        <v>0</v>
      </c>
      <c r="D38">
        <f>Food_Original!E37</f>
        <v>0</v>
      </c>
      <c r="E38">
        <f>Food_Original!F37</f>
        <v>0</v>
      </c>
      <c r="F38">
        <f>Food_Original!G37</f>
        <v>0</v>
      </c>
      <c r="G38">
        <f>Food_Original!H37</f>
        <v>0</v>
      </c>
    </row>
    <row r="39" spans="1:7" x14ac:dyDescent="0.2">
      <c r="A39" t="str">
        <f>_xlfn.CONCAT(Food_Original!A38," - ",Food_Original!B38)</f>
        <v xml:space="preserve"> - </v>
      </c>
      <c r="B39">
        <f>Food_Original!C38</f>
        <v>0</v>
      </c>
      <c r="C39">
        <f>Food_Original!D38</f>
        <v>0</v>
      </c>
      <c r="D39">
        <f>Food_Original!E38</f>
        <v>0</v>
      </c>
      <c r="E39">
        <f>Food_Original!F38</f>
        <v>0</v>
      </c>
      <c r="F39">
        <f>Food_Original!G38</f>
        <v>0</v>
      </c>
      <c r="G39">
        <f>Food_Original!H38</f>
        <v>0</v>
      </c>
    </row>
    <row r="40" spans="1:7" x14ac:dyDescent="0.2">
      <c r="A40" t="str">
        <f>_xlfn.CONCAT(Food_Original!A39," - ",Food_Original!B39)</f>
        <v xml:space="preserve"> - </v>
      </c>
      <c r="B40">
        <f>Food_Original!C39</f>
        <v>0</v>
      </c>
      <c r="C40">
        <f>Food_Original!D39</f>
        <v>0</v>
      </c>
      <c r="D40">
        <f>Food_Original!E39</f>
        <v>0</v>
      </c>
      <c r="E40">
        <f>Food_Original!F39</f>
        <v>0</v>
      </c>
      <c r="F40">
        <f>Food_Original!G39</f>
        <v>0</v>
      </c>
      <c r="G40">
        <f>Food_Original!H39</f>
        <v>0</v>
      </c>
    </row>
    <row r="41" spans="1:7" x14ac:dyDescent="0.2">
      <c r="A41" t="str">
        <f>_xlfn.CONCAT(Food_Original!A40," - ",Food_Original!B40)</f>
        <v xml:space="preserve"> - </v>
      </c>
      <c r="B41">
        <f>Food_Original!C40</f>
        <v>0</v>
      </c>
      <c r="C41">
        <f>Food_Original!D40</f>
        <v>0</v>
      </c>
      <c r="D41">
        <f>Food_Original!E40</f>
        <v>0</v>
      </c>
      <c r="E41">
        <f>Food_Original!F40</f>
        <v>0</v>
      </c>
      <c r="F41">
        <f>Food_Original!G40</f>
        <v>0</v>
      </c>
      <c r="G41">
        <f>Food_Original!H40</f>
        <v>0</v>
      </c>
    </row>
    <row r="42" spans="1:7" x14ac:dyDescent="0.2">
      <c r="A42" t="str">
        <f>_xlfn.CONCAT(Food_Original!A41," - ",Food_Original!B41)</f>
        <v xml:space="preserve"> - </v>
      </c>
      <c r="B42">
        <f>Food_Original!C41</f>
        <v>0</v>
      </c>
      <c r="C42">
        <f>Food_Original!D41</f>
        <v>0</v>
      </c>
      <c r="D42">
        <f>Food_Original!E41</f>
        <v>0</v>
      </c>
      <c r="E42">
        <f>Food_Original!F41</f>
        <v>0</v>
      </c>
      <c r="F42">
        <f>Food_Original!G41</f>
        <v>0</v>
      </c>
      <c r="G42">
        <f>Food_Original!H41</f>
        <v>0</v>
      </c>
    </row>
    <row r="43" spans="1:7" x14ac:dyDescent="0.2">
      <c r="A43" t="str">
        <f>_xlfn.CONCAT(Food_Original!A42," - ",Food_Original!B42)</f>
        <v xml:space="preserve"> - </v>
      </c>
      <c r="B43">
        <f>Food_Original!C42</f>
        <v>0</v>
      </c>
      <c r="C43">
        <f>Food_Original!D42</f>
        <v>0</v>
      </c>
      <c r="D43">
        <f>Food_Original!E42</f>
        <v>0</v>
      </c>
      <c r="E43">
        <f>Food_Original!F42</f>
        <v>0</v>
      </c>
      <c r="F43">
        <f>Food_Original!G42</f>
        <v>0</v>
      </c>
      <c r="G43">
        <f>Food_Original!H42</f>
        <v>0</v>
      </c>
    </row>
    <row r="44" spans="1:7" x14ac:dyDescent="0.2">
      <c r="A44" t="str">
        <f>_xlfn.CONCAT(Food_Original!A43," - ",Food_Original!B43)</f>
        <v xml:space="preserve"> - </v>
      </c>
      <c r="B44">
        <f>Food_Original!C43</f>
        <v>0</v>
      </c>
      <c r="C44">
        <f>Food_Original!D43</f>
        <v>0</v>
      </c>
      <c r="D44">
        <f>Food_Original!E43</f>
        <v>0</v>
      </c>
      <c r="E44">
        <f>Food_Original!F43</f>
        <v>0</v>
      </c>
      <c r="F44">
        <f>Food_Original!G43</f>
        <v>0</v>
      </c>
      <c r="G44">
        <f>Food_Original!H43</f>
        <v>0</v>
      </c>
    </row>
    <row r="45" spans="1:7" x14ac:dyDescent="0.2">
      <c r="A45" t="str">
        <f>_xlfn.CONCAT(Food_Original!A44," - ",Food_Original!B44)</f>
        <v xml:space="preserve"> - </v>
      </c>
      <c r="B45">
        <f>Food_Original!C44</f>
        <v>0</v>
      </c>
      <c r="C45">
        <f>Food_Original!D44</f>
        <v>0</v>
      </c>
      <c r="D45">
        <f>Food_Original!E44</f>
        <v>0</v>
      </c>
      <c r="E45">
        <f>Food_Original!F44</f>
        <v>0</v>
      </c>
      <c r="F45">
        <f>Food_Original!G44</f>
        <v>0</v>
      </c>
      <c r="G45">
        <f>Food_Original!H44</f>
        <v>0</v>
      </c>
    </row>
    <row r="46" spans="1:7" x14ac:dyDescent="0.2">
      <c r="A46" t="str">
        <f>_xlfn.CONCAT(Food_Original!A45," - ",Food_Original!B45)</f>
        <v xml:space="preserve"> - </v>
      </c>
      <c r="B46">
        <f>Food_Original!C45</f>
        <v>0</v>
      </c>
      <c r="C46">
        <f>Food_Original!D45</f>
        <v>0</v>
      </c>
      <c r="D46">
        <f>Food_Original!E45</f>
        <v>0</v>
      </c>
      <c r="E46">
        <f>Food_Original!F45</f>
        <v>0</v>
      </c>
      <c r="F46">
        <f>Food_Original!G45</f>
        <v>0</v>
      </c>
      <c r="G46">
        <f>Food_Original!H45</f>
        <v>0</v>
      </c>
    </row>
    <row r="47" spans="1:7" x14ac:dyDescent="0.2">
      <c r="A47" t="str">
        <f>_xlfn.CONCAT(Food_Original!A46," - ",Food_Original!B46)</f>
        <v xml:space="preserve"> - </v>
      </c>
      <c r="B47">
        <f>Food_Original!C46</f>
        <v>0</v>
      </c>
      <c r="C47">
        <f>Food_Original!D46</f>
        <v>0</v>
      </c>
      <c r="D47">
        <f>Food_Original!E46</f>
        <v>0</v>
      </c>
      <c r="E47">
        <f>Food_Original!F46</f>
        <v>0</v>
      </c>
      <c r="F47">
        <f>Food_Original!G46</f>
        <v>0</v>
      </c>
      <c r="G47">
        <f>Food_Original!H46</f>
        <v>0</v>
      </c>
    </row>
    <row r="48" spans="1:7" x14ac:dyDescent="0.2">
      <c r="A48" t="str">
        <f>_xlfn.CONCAT(Food_Original!A47," - ",Food_Original!B47)</f>
        <v xml:space="preserve"> - </v>
      </c>
      <c r="B48">
        <f>Food_Original!C47</f>
        <v>0</v>
      </c>
      <c r="C48">
        <f>Food_Original!D47</f>
        <v>0</v>
      </c>
      <c r="D48">
        <f>Food_Original!E47</f>
        <v>0</v>
      </c>
      <c r="E48">
        <f>Food_Original!F47</f>
        <v>0</v>
      </c>
      <c r="F48">
        <f>Food_Original!G47</f>
        <v>0</v>
      </c>
      <c r="G48">
        <f>Food_Original!H47</f>
        <v>0</v>
      </c>
    </row>
    <row r="49" spans="1:7" x14ac:dyDescent="0.2">
      <c r="A49" t="str">
        <f>_xlfn.CONCAT(Food_Original!A48," - ",Food_Original!B48)</f>
        <v xml:space="preserve"> - </v>
      </c>
      <c r="B49">
        <f>Food_Original!C48</f>
        <v>0</v>
      </c>
      <c r="C49">
        <f>Food_Original!D48</f>
        <v>0</v>
      </c>
      <c r="D49">
        <f>Food_Original!E48</f>
        <v>0</v>
      </c>
      <c r="E49">
        <f>Food_Original!F48</f>
        <v>0</v>
      </c>
      <c r="F49">
        <f>Food_Original!G48</f>
        <v>0</v>
      </c>
      <c r="G49">
        <f>Food_Original!H48</f>
        <v>0</v>
      </c>
    </row>
    <row r="50" spans="1:7" x14ac:dyDescent="0.2">
      <c r="A50" t="str">
        <f>_xlfn.CONCAT(Food_Original!A49," - ",Food_Original!B49)</f>
        <v xml:space="preserve"> - </v>
      </c>
      <c r="B50">
        <f>Food_Original!C49</f>
        <v>0</v>
      </c>
      <c r="C50">
        <f>Food_Original!D49</f>
        <v>0</v>
      </c>
      <c r="D50">
        <f>Food_Original!E49</f>
        <v>0</v>
      </c>
      <c r="E50">
        <f>Food_Original!F49</f>
        <v>0</v>
      </c>
      <c r="F50">
        <f>Food_Original!G49</f>
        <v>0</v>
      </c>
      <c r="G50">
        <f>Food_Original!H49</f>
        <v>0</v>
      </c>
    </row>
    <row r="51" spans="1:7" x14ac:dyDescent="0.2">
      <c r="A51" t="str">
        <f>_xlfn.CONCAT(Food_Original!A50," - ",Food_Original!B50)</f>
        <v xml:space="preserve"> - </v>
      </c>
      <c r="B51">
        <f>Food_Original!C50</f>
        <v>0</v>
      </c>
      <c r="C51">
        <f>Food_Original!D50</f>
        <v>0</v>
      </c>
      <c r="D51">
        <f>Food_Original!E50</f>
        <v>0</v>
      </c>
      <c r="E51">
        <f>Food_Original!F50</f>
        <v>0</v>
      </c>
      <c r="F51">
        <f>Food_Original!G50</f>
        <v>0</v>
      </c>
      <c r="G51">
        <f>Food_Original!H50</f>
        <v>0</v>
      </c>
    </row>
    <row r="52" spans="1:7" x14ac:dyDescent="0.2">
      <c r="A52" t="str">
        <f>_xlfn.CONCAT(Food_Original!A51," - ",Food_Original!B51)</f>
        <v xml:space="preserve"> - </v>
      </c>
      <c r="B52">
        <f>Food_Original!C51</f>
        <v>0</v>
      </c>
      <c r="C52">
        <f>Food_Original!D51</f>
        <v>0</v>
      </c>
      <c r="D52">
        <f>Food_Original!E51</f>
        <v>0</v>
      </c>
      <c r="E52">
        <f>Food_Original!F51</f>
        <v>0</v>
      </c>
      <c r="F52">
        <f>Food_Original!G51</f>
        <v>0</v>
      </c>
      <c r="G52">
        <f>Food_Original!H51</f>
        <v>0</v>
      </c>
    </row>
    <row r="53" spans="1:7" x14ac:dyDescent="0.2">
      <c r="A53" t="str">
        <f>_xlfn.CONCAT(Food_Original!A52," - ",Food_Original!B52)</f>
        <v xml:space="preserve"> - </v>
      </c>
      <c r="B53">
        <f>Food_Original!C52</f>
        <v>0</v>
      </c>
      <c r="C53">
        <f>Food_Original!D52</f>
        <v>0</v>
      </c>
      <c r="D53">
        <f>Food_Original!E52</f>
        <v>0</v>
      </c>
      <c r="E53">
        <f>Food_Original!F52</f>
        <v>0</v>
      </c>
      <c r="F53">
        <f>Food_Original!G52</f>
        <v>0</v>
      </c>
      <c r="G53">
        <f>Food_Original!H52</f>
        <v>0</v>
      </c>
    </row>
    <row r="54" spans="1:7" x14ac:dyDescent="0.2">
      <c r="A54" t="str">
        <f>_xlfn.CONCAT(Food_Original!A53," - ",Food_Original!B53)</f>
        <v xml:space="preserve"> - </v>
      </c>
      <c r="B54">
        <f>Food_Original!C53</f>
        <v>0</v>
      </c>
      <c r="C54">
        <f>Food_Original!D53</f>
        <v>0</v>
      </c>
      <c r="D54">
        <f>Food_Original!E53</f>
        <v>0</v>
      </c>
      <c r="E54">
        <f>Food_Original!F53</f>
        <v>0</v>
      </c>
      <c r="F54">
        <f>Food_Original!G53</f>
        <v>0</v>
      </c>
      <c r="G54">
        <f>Food_Original!H53</f>
        <v>0</v>
      </c>
    </row>
    <row r="55" spans="1:7" x14ac:dyDescent="0.2">
      <c r="A55" t="str">
        <f>_xlfn.CONCAT(Food_Original!A54," - ",Food_Original!B54)</f>
        <v xml:space="preserve"> - </v>
      </c>
      <c r="B55">
        <f>Food_Original!C54</f>
        <v>0</v>
      </c>
      <c r="C55">
        <f>Food_Original!D54</f>
        <v>0</v>
      </c>
      <c r="D55">
        <f>Food_Original!E54</f>
        <v>0</v>
      </c>
      <c r="E55">
        <f>Food_Original!F54</f>
        <v>0</v>
      </c>
      <c r="F55">
        <f>Food_Original!G54</f>
        <v>0</v>
      </c>
      <c r="G55">
        <f>Food_Original!H54</f>
        <v>0</v>
      </c>
    </row>
    <row r="56" spans="1:7" x14ac:dyDescent="0.2">
      <c r="A56" t="str">
        <f>_xlfn.CONCAT(Food_Original!A55," - ",Food_Original!B55)</f>
        <v xml:space="preserve"> - </v>
      </c>
      <c r="B56">
        <f>Food_Original!C55</f>
        <v>0</v>
      </c>
      <c r="C56">
        <f>Food_Original!D55</f>
        <v>0</v>
      </c>
      <c r="D56">
        <f>Food_Original!E55</f>
        <v>0</v>
      </c>
      <c r="E56">
        <f>Food_Original!F55</f>
        <v>0</v>
      </c>
      <c r="F56">
        <f>Food_Original!G55</f>
        <v>0</v>
      </c>
      <c r="G56">
        <f>Food_Original!H55</f>
        <v>0</v>
      </c>
    </row>
    <row r="57" spans="1:7" x14ac:dyDescent="0.2">
      <c r="A57" t="str">
        <f>_xlfn.CONCAT(Food_Original!A56," - ",Food_Original!B56)</f>
        <v xml:space="preserve"> - </v>
      </c>
      <c r="B57">
        <f>Food_Original!C56</f>
        <v>0</v>
      </c>
      <c r="C57">
        <f>Food_Original!D56</f>
        <v>0</v>
      </c>
      <c r="D57">
        <f>Food_Original!E56</f>
        <v>0</v>
      </c>
      <c r="E57">
        <f>Food_Original!F56</f>
        <v>0</v>
      </c>
      <c r="F57">
        <f>Food_Original!G56</f>
        <v>0</v>
      </c>
      <c r="G57">
        <f>Food_Original!H56</f>
        <v>0</v>
      </c>
    </row>
    <row r="58" spans="1:7" x14ac:dyDescent="0.2">
      <c r="A58" t="str">
        <f>_xlfn.CONCAT(Food_Original!A57," - ",Food_Original!B57)</f>
        <v xml:space="preserve"> - </v>
      </c>
      <c r="B58">
        <f>Food_Original!C57</f>
        <v>0</v>
      </c>
      <c r="C58">
        <f>Food_Original!D57</f>
        <v>0</v>
      </c>
      <c r="D58">
        <f>Food_Original!E57</f>
        <v>0</v>
      </c>
      <c r="E58">
        <f>Food_Original!F57</f>
        <v>0</v>
      </c>
      <c r="F58">
        <f>Food_Original!G57</f>
        <v>0</v>
      </c>
      <c r="G58">
        <f>Food_Original!H57</f>
        <v>0</v>
      </c>
    </row>
    <row r="59" spans="1:7" x14ac:dyDescent="0.2">
      <c r="A59" t="str">
        <f>_xlfn.CONCAT(Food_Original!A58," - ",Food_Original!B58)</f>
        <v xml:space="preserve"> - </v>
      </c>
      <c r="B59">
        <f>Food_Original!C58</f>
        <v>0</v>
      </c>
      <c r="C59">
        <f>Food_Original!D58</f>
        <v>0</v>
      </c>
      <c r="D59">
        <f>Food_Original!E58</f>
        <v>0</v>
      </c>
      <c r="E59">
        <f>Food_Original!F58</f>
        <v>0</v>
      </c>
      <c r="F59">
        <f>Food_Original!G58</f>
        <v>0</v>
      </c>
      <c r="G59">
        <f>Food_Original!H58</f>
        <v>0</v>
      </c>
    </row>
    <row r="60" spans="1:7" x14ac:dyDescent="0.2">
      <c r="A60" t="str">
        <f>_xlfn.CONCAT(Food_Original!A59," - ",Food_Original!B59)</f>
        <v xml:space="preserve"> - </v>
      </c>
      <c r="B60">
        <f>Food_Original!C59</f>
        <v>0</v>
      </c>
      <c r="C60">
        <f>Food_Original!D59</f>
        <v>0</v>
      </c>
      <c r="D60">
        <f>Food_Original!E59</f>
        <v>0</v>
      </c>
      <c r="E60">
        <f>Food_Original!F59</f>
        <v>0</v>
      </c>
      <c r="F60">
        <f>Food_Original!G59</f>
        <v>0</v>
      </c>
      <c r="G60">
        <f>Food_Original!H59</f>
        <v>0</v>
      </c>
    </row>
    <row r="61" spans="1:7" x14ac:dyDescent="0.2">
      <c r="A61" t="str">
        <f>_xlfn.CONCAT(Food_Original!A60," - ",Food_Original!B60)</f>
        <v xml:space="preserve"> - </v>
      </c>
      <c r="B61">
        <f>Food_Original!C60</f>
        <v>0</v>
      </c>
      <c r="C61">
        <f>Food_Original!D60</f>
        <v>0</v>
      </c>
      <c r="D61">
        <f>Food_Original!E60</f>
        <v>0</v>
      </c>
      <c r="E61">
        <f>Food_Original!F60</f>
        <v>0</v>
      </c>
      <c r="F61">
        <f>Food_Original!G60</f>
        <v>0</v>
      </c>
      <c r="G61">
        <f>Food_Original!H60</f>
        <v>0</v>
      </c>
    </row>
    <row r="62" spans="1:7" x14ac:dyDescent="0.2">
      <c r="A62" t="str">
        <f>_xlfn.CONCAT(Food_Original!A61," - ",Food_Original!B61)</f>
        <v xml:space="preserve"> - </v>
      </c>
      <c r="B62">
        <f>Food_Original!C61</f>
        <v>0</v>
      </c>
      <c r="C62">
        <f>Food_Original!D61</f>
        <v>0</v>
      </c>
      <c r="D62">
        <f>Food_Original!E61</f>
        <v>0</v>
      </c>
      <c r="E62">
        <f>Food_Original!F61</f>
        <v>0</v>
      </c>
      <c r="F62">
        <f>Food_Original!G61</f>
        <v>0</v>
      </c>
      <c r="G62">
        <f>Food_Original!H61</f>
        <v>0</v>
      </c>
    </row>
    <row r="63" spans="1:7" x14ac:dyDescent="0.2">
      <c r="A63" t="str">
        <f>_xlfn.CONCAT(Food_Original!A62," - ",Food_Original!B62)</f>
        <v xml:space="preserve"> - </v>
      </c>
      <c r="B63">
        <f>Food_Original!C62</f>
        <v>0</v>
      </c>
      <c r="C63">
        <f>Food_Original!D62</f>
        <v>0</v>
      </c>
      <c r="D63">
        <f>Food_Original!E62</f>
        <v>0</v>
      </c>
      <c r="E63">
        <f>Food_Original!F62</f>
        <v>0</v>
      </c>
      <c r="F63">
        <f>Food_Original!G62</f>
        <v>0</v>
      </c>
      <c r="G63">
        <f>Food_Original!H62</f>
        <v>0</v>
      </c>
    </row>
    <row r="64" spans="1:7" x14ac:dyDescent="0.2">
      <c r="A64" t="str">
        <f>_xlfn.CONCAT(Food_Original!A63," - ",Food_Original!B63)</f>
        <v xml:space="preserve"> - </v>
      </c>
      <c r="B64">
        <f>Food_Original!C63</f>
        <v>0</v>
      </c>
      <c r="C64">
        <f>Food_Original!D63</f>
        <v>0</v>
      </c>
      <c r="D64">
        <f>Food_Original!E63</f>
        <v>0</v>
      </c>
      <c r="E64">
        <f>Food_Original!F63</f>
        <v>0</v>
      </c>
      <c r="F64">
        <f>Food_Original!G63</f>
        <v>0</v>
      </c>
      <c r="G64">
        <f>Food_Original!H63</f>
        <v>0</v>
      </c>
    </row>
    <row r="65" spans="1:7" x14ac:dyDescent="0.2">
      <c r="A65" t="str">
        <f>_xlfn.CONCAT(Food_Original!A64," - ",Food_Original!B64)</f>
        <v xml:space="preserve"> - </v>
      </c>
      <c r="B65">
        <f>Food_Original!C64</f>
        <v>0</v>
      </c>
      <c r="C65">
        <f>Food_Original!D64</f>
        <v>0</v>
      </c>
      <c r="D65">
        <f>Food_Original!E64</f>
        <v>0</v>
      </c>
      <c r="E65">
        <f>Food_Original!F64</f>
        <v>0</v>
      </c>
      <c r="F65">
        <f>Food_Original!G64</f>
        <v>0</v>
      </c>
      <c r="G65">
        <f>Food_Original!H64</f>
        <v>0</v>
      </c>
    </row>
    <row r="66" spans="1:7" x14ac:dyDescent="0.2">
      <c r="A66" t="str">
        <f>_xlfn.CONCAT(Food_Original!A65," - ",Food_Original!B65)</f>
        <v xml:space="preserve"> - </v>
      </c>
      <c r="B66">
        <f>Food_Original!C65</f>
        <v>0</v>
      </c>
      <c r="C66">
        <f>Food_Original!D65</f>
        <v>0</v>
      </c>
      <c r="D66">
        <f>Food_Original!E65</f>
        <v>0</v>
      </c>
      <c r="E66">
        <f>Food_Original!F65</f>
        <v>0</v>
      </c>
      <c r="F66">
        <f>Food_Original!G65</f>
        <v>0</v>
      </c>
      <c r="G66">
        <f>Food_Original!H65</f>
        <v>0</v>
      </c>
    </row>
    <row r="67" spans="1:7" x14ac:dyDescent="0.2">
      <c r="A67" t="str">
        <f>_xlfn.CONCAT(Food_Original!A66," - ",Food_Original!B66)</f>
        <v xml:space="preserve"> - </v>
      </c>
      <c r="B67">
        <f>Food_Original!C66</f>
        <v>0</v>
      </c>
      <c r="C67">
        <f>Food_Original!D66</f>
        <v>0</v>
      </c>
      <c r="D67">
        <f>Food_Original!E66</f>
        <v>0</v>
      </c>
      <c r="E67">
        <f>Food_Original!F66</f>
        <v>0</v>
      </c>
      <c r="F67">
        <f>Food_Original!G66</f>
        <v>0</v>
      </c>
      <c r="G67">
        <f>Food_Original!H66</f>
        <v>0</v>
      </c>
    </row>
    <row r="68" spans="1:7" x14ac:dyDescent="0.2">
      <c r="A68" t="str">
        <f>_xlfn.CONCAT(Food_Original!A67," - ",Food_Original!B67)</f>
        <v xml:space="preserve"> - </v>
      </c>
      <c r="B68">
        <f>Food_Original!C67</f>
        <v>0</v>
      </c>
      <c r="C68">
        <f>Food_Original!D67</f>
        <v>0</v>
      </c>
      <c r="D68">
        <f>Food_Original!E67</f>
        <v>0</v>
      </c>
      <c r="E68">
        <f>Food_Original!F67</f>
        <v>0</v>
      </c>
      <c r="F68">
        <f>Food_Original!G67</f>
        <v>0</v>
      </c>
      <c r="G68">
        <f>Food_Original!H67</f>
        <v>0</v>
      </c>
    </row>
    <row r="69" spans="1:7" x14ac:dyDescent="0.2">
      <c r="A69" t="str">
        <f>_xlfn.CONCAT(Food_Original!A68," - ",Food_Original!B68)</f>
        <v xml:space="preserve"> - </v>
      </c>
      <c r="B69">
        <f>Food_Original!C68</f>
        <v>0</v>
      </c>
      <c r="C69">
        <f>Food_Original!D68</f>
        <v>0</v>
      </c>
      <c r="D69">
        <f>Food_Original!E68</f>
        <v>0</v>
      </c>
      <c r="E69">
        <f>Food_Original!F68</f>
        <v>0</v>
      </c>
      <c r="F69">
        <f>Food_Original!G68</f>
        <v>0</v>
      </c>
      <c r="G69">
        <f>Food_Original!H68</f>
        <v>0</v>
      </c>
    </row>
    <row r="70" spans="1:7" x14ac:dyDescent="0.2">
      <c r="A70" t="str">
        <f>_xlfn.CONCAT(Food_Original!A69," - ",Food_Original!B69)</f>
        <v xml:space="preserve"> - </v>
      </c>
      <c r="B70">
        <f>Food_Original!C69</f>
        <v>0</v>
      </c>
      <c r="C70">
        <f>Food_Original!D69</f>
        <v>0</v>
      </c>
      <c r="D70">
        <f>Food_Original!E69</f>
        <v>0</v>
      </c>
      <c r="E70">
        <f>Food_Original!F69</f>
        <v>0</v>
      </c>
      <c r="F70">
        <f>Food_Original!G69</f>
        <v>0</v>
      </c>
      <c r="G70">
        <f>Food_Original!H69</f>
        <v>0</v>
      </c>
    </row>
    <row r="71" spans="1:7" x14ac:dyDescent="0.2">
      <c r="A71" t="str">
        <f>_xlfn.CONCAT(Food_Original!A70," - ",Food_Original!B70)</f>
        <v xml:space="preserve"> - </v>
      </c>
      <c r="B71">
        <f>Food_Original!C70</f>
        <v>0</v>
      </c>
      <c r="C71">
        <f>Food_Original!D70</f>
        <v>0</v>
      </c>
      <c r="D71">
        <f>Food_Original!E70</f>
        <v>0</v>
      </c>
      <c r="E71">
        <f>Food_Original!F70</f>
        <v>0</v>
      </c>
      <c r="F71">
        <f>Food_Original!G70</f>
        <v>0</v>
      </c>
      <c r="G71">
        <f>Food_Original!H70</f>
        <v>0</v>
      </c>
    </row>
    <row r="72" spans="1:7" x14ac:dyDescent="0.2">
      <c r="A72" t="str">
        <f>_xlfn.CONCAT(Food_Original!A71," - ",Food_Original!B71)</f>
        <v xml:space="preserve"> - </v>
      </c>
      <c r="B72">
        <f>Food_Original!C71</f>
        <v>0</v>
      </c>
      <c r="C72">
        <f>Food_Original!D71</f>
        <v>0</v>
      </c>
      <c r="D72">
        <f>Food_Original!E71</f>
        <v>0</v>
      </c>
      <c r="E72">
        <f>Food_Original!F71</f>
        <v>0</v>
      </c>
      <c r="F72">
        <f>Food_Original!G71</f>
        <v>0</v>
      </c>
      <c r="G72">
        <f>Food_Original!H71</f>
        <v>0</v>
      </c>
    </row>
    <row r="73" spans="1:7" x14ac:dyDescent="0.2">
      <c r="A73" t="str">
        <f>_xlfn.CONCAT(Food_Original!A72," - ",Food_Original!B72)</f>
        <v xml:space="preserve"> - </v>
      </c>
      <c r="B73">
        <f>Food_Original!C72</f>
        <v>0</v>
      </c>
      <c r="C73">
        <f>Food_Original!D72</f>
        <v>0</v>
      </c>
      <c r="D73">
        <f>Food_Original!E72</f>
        <v>0</v>
      </c>
      <c r="E73">
        <f>Food_Original!F72</f>
        <v>0</v>
      </c>
      <c r="F73">
        <f>Food_Original!G72</f>
        <v>0</v>
      </c>
      <c r="G73">
        <f>Food_Original!H72</f>
        <v>0</v>
      </c>
    </row>
    <row r="74" spans="1:7" x14ac:dyDescent="0.2">
      <c r="A74" t="str">
        <f>_xlfn.CONCAT(Food_Original!A73," - ",Food_Original!B73)</f>
        <v xml:space="preserve"> - </v>
      </c>
      <c r="B74">
        <f>Food_Original!C73</f>
        <v>0</v>
      </c>
      <c r="C74">
        <f>Food_Original!D73</f>
        <v>0</v>
      </c>
      <c r="D74">
        <f>Food_Original!E73</f>
        <v>0</v>
      </c>
      <c r="E74">
        <f>Food_Original!F73</f>
        <v>0</v>
      </c>
      <c r="F74">
        <f>Food_Original!G73</f>
        <v>0</v>
      </c>
      <c r="G74">
        <f>Food_Original!H73</f>
        <v>0</v>
      </c>
    </row>
    <row r="75" spans="1:7" x14ac:dyDescent="0.2">
      <c r="A75" t="str">
        <f>_xlfn.CONCAT(Food_Original!A74," - ",Food_Original!B74)</f>
        <v xml:space="preserve"> - </v>
      </c>
      <c r="B75">
        <f>Food_Original!C74</f>
        <v>0</v>
      </c>
      <c r="C75">
        <f>Food_Original!D74</f>
        <v>0</v>
      </c>
      <c r="D75">
        <f>Food_Original!E74</f>
        <v>0</v>
      </c>
      <c r="E75">
        <f>Food_Original!F74</f>
        <v>0</v>
      </c>
      <c r="F75">
        <f>Food_Original!G74</f>
        <v>0</v>
      </c>
      <c r="G75">
        <f>Food_Original!H74</f>
        <v>0</v>
      </c>
    </row>
    <row r="76" spans="1:7" x14ac:dyDescent="0.2">
      <c r="A76" t="str">
        <f>_xlfn.CONCAT(Food_Original!A75," - ",Food_Original!B75)</f>
        <v xml:space="preserve"> - </v>
      </c>
      <c r="B76">
        <f>Food_Original!C75</f>
        <v>0</v>
      </c>
      <c r="C76">
        <f>Food_Original!D75</f>
        <v>0</v>
      </c>
      <c r="D76">
        <f>Food_Original!E75</f>
        <v>0</v>
      </c>
      <c r="E76">
        <f>Food_Original!F75</f>
        <v>0</v>
      </c>
      <c r="F76">
        <f>Food_Original!G75</f>
        <v>0</v>
      </c>
      <c r="G76">
        <f>Food_Original!H75</f>
        <v>0</v>
      </c>
    </row>
    <row r="77" spans="1:7" x14ac:dyDescent="0.2">
      <c r="A77" t="str">
        <f>_xlfn.CONCAT(Food_Original!A76," - ",Food_Original!B76)</f>
        <v xml:space="preserve"> - </v>
      </c>
      <c r="B77">
        <f>Food_Original!C76</f>
        <v>0</v>
      </c>
      <c r="C77">
        <f>Food_Original!D76</f>
        <v>0</v>
      </c>
      <c r="D77">
        <f>Food_Original!E76</f>
        <v>0</v>
      </c>
      <c r="E77">
        <f>Food_Original!F76</f>
        <v>0</v>
      </c>
      <c r="F77">
        <f>Food_Original!G76</f>
        <v>0</v>
      </c>
      <c r="G77">
        <f>Food_Original!H76</f>
        <v>0</v>
      </c>
    </row>
    <row r="78" spans="1:7" x14ac:dyDescent="0.2">
      <c r="A78" t="str">
        <f>_xlfn.CONCAT(Food_Original!A77," - ",Food_Original!B77)</f>
        <v xml:space="preserve"> - </v>
      </c>
      <c r="B78">
        <f>Food_Original!C77</f>
        <v>0</v>
      </c>
      <c r="C78">
        <f>Food_Original!D77</f>
        <v>0</v>
      </c>
      <c r="D78">
        <f>Food_Original!E77</f>
        <v>0</v>
      </c>
      <c r="E78">
        <f>Food_Original!F77</f>
        <v>0</v>
      </c>
      <c r="F78">
        <f>Food_Original!G77</f>
        <v>0</v>
      </c>
      <c r="G78">
        <f>Food_Original!H77</f>
        <v>0</v>
      </c>
    </row>
    <row r="79" spans="1:7" x14ac:dyDescent="0.2">
      <c r="A79" t="str">
        <f>_xlfn.CONCAT(Food_Original!A78," - ",Food_Original!B78)</f>
        <v xml:space="preserve"> - </v>
      </c>
      <c r="B79">
        <f>Food_Original!C78</f>
        <v>0</v>
      </c>
      <c r="C79">
        <f>Food_Original!D78</f>
        <v>0</v>
      </c>
      <c r="D79">
        <f>Food_Original!E78</f>
        <v>0</v>
      </c>
      <c r="E79">
        <f>Food_Original!F78</f>
        <v>0</v>
      </c>
      <c r="F79">
        <f>Food_Original!G78</f>
        <v>0</v>
      </c>
      <c r="G79">
        <f>Food_Original!H78</f>
        <v>0</v>
      </c>
    </row>
    <row r="80" spans="1:7" x14ac:dyDescent="0.2">
      <c r="A80" t="str">
        <f>_xlfn.CONCAT(Food_Original!A79," - ",Food_Original!B79)</f>
        <v xml:space="preserve"> - </v>
      </c>
      <c r="B80">
        <f>Food_Original!C79</f>
        <v>0</v>
      </c>
      <c r="C80">
        <f>Food_Original!D79</f>
        <v>0</v>
      </c>
      <c r="D80">
        <f>Food_Original!E79</f>
        <v>0</v>
      </c>
      <c r="E80">
        <f>Food_Original!F79</f>
        <v>0</v>
      </c>
      <c r="F80">
        <f>Food_Original!G79</f>
        <v>0</v>
      </c>
      <c r="G80">
        <f>Food_Original!H79</f>
        <v>0</v>
      </c>
    </row>
    <row r="81" spans="1:7" x14ac:dyDescent="0.2">
      <c r="A81" t="str">
        <f>_xlfn.CONCAT(Food_Original!A80," - ",Food_Original!B80)</f>
        <v xml:space="preserve"> - </v>
      </c>
      <c r="B81">
        <f>Food_Original!C80</f>
        <v>0</v>
      </c>
      <c r="C81">
        <f>Food_Original!D80</f>
        <v>0</v>
      </c>
      <c r="D81">
        <f>Food_Original!E80</f>
        <v>0</v>
      </c>
      <c r="E81">
        <f>Food_Original!F80</f>
        <v>0</v>
      </c>
      <c r="F81">
        <f>Food_Original!G80</f>
        <v>0</v>
      </c>
      <c r="G81">
        <f>Food_Original!H80</f>
        <v>0</v>
      </c>
    </row>
    <row r="82" spans="1:7" x14ac:dyDescent="0.2">
      <c r="A82" t="str">
        <f>_xlfn.CONCAT(Food_Original!A81," - ",Food_Original!B81)</f>
        <v xml:space="preserve"> - </v>
      </c>
      <c r="B82">
        <f>Food_Original!C81</f>
        <v>0</v>
      </c>
      <c r="C82">
        <f>Food_Original!D81</f>
        <v>0</v>
      </c>
      <c r="D82">
        <f>Food_Original!E81</f>
        <v>0</v>
      </c>
      <c r="E82">
        <f>Food_Original!F81</f>
        <v>0</v>
      </c>
      <c r="F82">
        <f>Food_Original!G81</f>
        <v>0</v>
      </c>
      <c r="G82">
        <f>Food_Original!H81</f>
        <v>0</v>
      </c>
    </row>
    <row r="83" spans="1:7" x14ac:dyDescent="0.2">
      <c r="A83" t="str">
        <f>_xlfn.CONCAT(Food_Original!A82," - ",Food_Original!B82)</f>
        <v xml:space="preserve"> - </v>
      </c>
      <c r="B83">
        <f>Food_Original!C82</f>
        <v>0</v>
      </c>
      <c r="C83">
        <f>Food_Original!D82</f>
        <v>0</v>
      </c>
      <c r="D83">
        <f>Food_Original!E82</f>
        <v>0</v>
      </c>
      <c r="E83">
        <f>Food_Original!F82</f>
        <v>0</v>
      </c>
      <c r="F83">
        <f>Food_Original!G82</f>
        <v>0</v>
      </c>
      <c r="G83">
        <f>Food_Original!H82</f>
        <v>0</v>
      </c>
    </row>
    <row r="84" spans="1:7" x14ac:dyDescent="0.2">
      <c r="A84" t="str">
        <f>_xlfn.CONCAT(Food_Original!A83," - ",Food_Original!B83)</f>
        <v xml:space="preserve"> - </v>
      </c>
      <c r="B84">
        <f>Food_Original!C83</f>
        <v>0</v>
      </c>
      <c r="C84">
        <f>Food_Original!D83</f>
        <v>0</v>
      </c>
      <c r="D84">
        <f>Food_Original!E83</f>
        <v>0</v>
      </c>
      <c r="E84">
        <f>Food_Original!F83</f>
        <v>0</v>
      </c>
      <c r="F84">
        <f>Food_Original!G83</f>
        <v>0</v>
      </c>
      <c r="G84">
        <f>Food_Original!H83</f>
        <v>0</v>
      </c>
    </row>
    <row r="85" spans="1:7" x14ac:dyDescent="0.2">
      <c r="A85" t="str">
        <f>_xlfn.CONCAT(Food_Original!A84," - ",Food_Original!B84)</f>
        <v xml:space="preserve"> - </v>
      </c>
      <c r="B85">
        <f>Food_Original!C84</f>
        <v>0</v>
      </c>
      <c r="C85">
        <f>Food_Original!D84</f>
        <v>0</v>
      </c>
      <c r="D85">
        <f>Food_Original!E84</f>
        <v>0</v>
      </c>
      <c r="E85">
        <f>Food_Original!F84</f>
        <v>0</v>
      </c>
      <c r="F85">
        <f>Food_Original!G84</f>
        <v>0</v>
      </c>
      <c r="G85">
        <f>Food_Original!H84</f>
        <v>0</v>
      </c>
    </row>
    <row r="86" spans="1:7" x14ac:dyDescent="0.2">
      <c r="A86" t="str">
        <f>_xlfn.CONCAT(Food_Original!A85," - ",Food_Original!B85)</f>
        <v xml:space="preserve"> - </v>
      </c>
      <c r="B86">
        <f>Food_Original!C85</f>
        <v>0</v>
      </c>
      <c r="C86">
        <f>Food_Original!D85</f>
        <v>0</v>
      </c>
      <c r="D86">
        <f>Food_Original!E85</f>
        <v>0</v>
      </c>
      <c r="E86">
        <f>Food_Original!F85</f>
        <v>0</v>
      </c>
      <c r="F86">
        <f>Food_Original!G85</f>
        <v>0</v>
      </c>
      <c r="G86">
        <f>Food_Original!H85</f>
        <v>0</v>
      </c>
    </row>
    <row r="87" spans="1:7" x14ac:dyDescent="0.2">
      <c r="A87" t="str">
        <f>_xlfn.CONCAT(Food_Original!A86," - ",Food_Original!B86)</f>
        <v xml:space="preserve"> - </v>
      </c>
      <c r="B87">
        <f>Food_Original!C86</f>
        <v>0</v>
      </c>
      <c r="C87">
        <f>Food_Original!D86</f>
        <v>0</v>
      </c>
      <c r="D87">
        <f>Food_Original!E86</f>
        <v>0</v>
      </c>
      <c r="E87">
        <f>Food_Original!F86</f>
        <v>0</v>
      </c>
      <c r="F87">
        <f>Food_Original!G86</f>
        <v>0</v>
      </c>
      <c r="G87">
        <f>Food_Original!H86</f>
        <v>0</v>
      </c>
    </row>
    <row r="88" spans="1:7" x14ac:dyDescent="0.2">
      <c r="A88" t="str">
        <f>_xlfn.CONCAT(Food_Original!A87," - ",Food_Original!B87)</f>
        <v xml:space="preserve"> - </v>
      </c>
      <c r="B88">
        <f>Food_Original!C87</f>
        <v>0</v>
      </c>
      <c r="C88">
        <f>Food_Original!D87</f>
        <v>0</v>
      </c>
      <c r="D88">
        <f>Food_Original!E87</f>
        <v>0</v>
      </c>
      <c r="E88">
        <f>Food_Original!F87</f>
        <v>0</v>
      </c>
      <c r="F88">
        <f>Food_Original!G87</f>
        <v>0</v>
      </c>
      <c r="G88">
        <f>Food_Original!H87</f>
        <v>0</v>
      </c>
    </row>
    <row r="89" spans="1:7" x14ac:dyDescent="0.2">
      <c r="A89" t="str">
        <f>_xlfn.CONCAT(Food_Original!A88," - ",Food_Original!B88)</f>
        <v xml:space="preserve"> - </v>
      </c>
      <c r="B89">
        <f>Food_Original!C88</f>
        <v>0</v>
      </c>
      <c r="C89">
        <f>Food_Original!D88</f>
        <v>0</v>
      </c>
      <c r="D89">
        <f>Food_Original!E88</f>
        <v>0</v>
      </c>
      <c r="E89">
        <f>Food_Original!F88</f>
        <v>0</v>
      </c>
      <c r="F89">
        <f>Food_Original!G88</f>
        <v>0</v>
      </c>
      <c r="G89">
        <f>Food_Original!H88</f>
        <v>0</v>
      </c>
    </row>
    <row r="90" spans="1:7" x14ac:dyDescent="0.2">
      <c r="A90" t="str">
        <f>_xlfn.CONCAT(Food_Original!A89," - ",Food_Original!B89)</f>
        <v xml:space="preserve"> - </v>
      </c>
      <c r="B90">
        <f>Food_Original!C89</f>
        <v>0</v>
      </c>
      <c r="C90">
        <f>Food_Original!D89</f>
        <v>0</v>
      </c>
      <c r="D90">
        <f>Food_Original!E89</f>
        <v>0</v>
      </c>
      <c r="E90">
        <f>Food_Original!F89</f>
        <v>0</v>
      </c>
      <c r="F90">
        <f>Food_Original!G89</f>
        <v>0</v>
      </c>
      <c r="G90">
        <f>Food_Original!H89</f>
        <v>0</v>
      </c>
    </row>
    <row r="91" spans="1:7" x14ac:dyDescent="0.2">
      <c r="A91" t="str">
        <f>_xlfn.CONCAT(Food_Original!A90," - ",Food_Original!B90)</f>
        <v xml:space="preserve"> - </v>
      </c>
      <c r="B91">
        <f>Food_Original!C90</f>
        <v>0</v>
      </c>
      <c r="C91">
        <f>Food_Original!D90</f>
        <v>0</v>
      </c>
      <c r="D91">
        <f>Food_Original!E90</f>
        <v>0</v>
      </c>
      <c r="E91">
        <f>Food_Original!F90</f>
        <v>0</v>
      </c>
      <c r="F91">
        <f>Food_Original!G90</f>
        <v>0</v>
      </c>
      <c r="G91">
        <f>Food_Original!H90</f>
        <v>0</v>
      </c>
    </row>
    <row r="92" spans="1:7" x14ac:dyDescent="0.2">
      <c r="A92" t="str">
        <f>_xlfn.CONCAT(Food_Original!A91," - ",Food_Original!B91)</f>
        <v xml:space="preserve"> - </v>
      </c>
      <c r="B92">
        <f>Food_Original!C91</f>
        <v>0</v>
      </c>
      <c r="C92">
        <f>Food_Original!D91</f>
        <v>0</v>
      </c>
      <c r="D92">
        <f>Food_Original!E91</f>
        <v>0</v>
      </c>
      <c r="E92">
        <f>Food_Original!F91</f>
        <v>0</v>
      </c>
      <c r="F92">
        <f>Food_Original!G91</f>
        <v>0</v>
      </c>
      <c r="G92">
        <f>Food_Original!H91</f>
        <v>0</v>
      </c>
    </row>
    <row r="93" spans="1:7" x14ac:dyDescent="0.2">
      <c r="A93" t="str">
        <f>_xlfn.CONCAT(Food_Original!A92," - ",Food_Original!B92)</f>
        <v xml:space="preserve"> - </v>
      </c>
      <c r="B93">
        <f>Food_Original!C92</f>
        <v>0</v>
      </c>
      <c r="C93">
        <f>Food_Original!D92</f>
        <v>0</v>
      </c>
      <c r="D93">
        <f>Food_Original!E92</f>
        <v>0</v>
      </c>
      <c r="E93">
        <f>Food_Original!F92</f>
        <v>0</v>
      </c>
      <c r="F93">
        <f>Food_Original!G92</f>
        <v>0</v>
      </c>
      <c r="G93">
        <f>Food_Original!H92</f>
        <v>0</v>
      </c>
    </row>
    <row r="94" spans="1:7" x14ac:dyDescent="0.2">
      <c r="A94" t="str">
        <f>_xlfn.CONCAT(Food_Original!A93," - ",Food_Original!B93)</f>
        <v xml:space="preserve"> - </v>
      </c>
      <c r="B94">
        <f>Food_Original!C93</f>
        <v>0</v>
      </c>
      <c r="C94">
        <f>Food_Original!D93</f>
        <v>0</v>
      </c>
      <c r="D94">
        <f>Food_Original!E93</f>
        <v>0</v>
      </c>
      <c r="E94">
        <f>Food_Original!F93</f>
        <v>0</v>
      </c>
      <c r="F94">
        <f>Food_Original!G93</f>
        <v>0</v>
      </c>
      <c r="G94">
        <f>Food_Original!H93</f>
        <v>0</v>
      </c>
    </row>
    <row r="95" spans="1:7" x14ac:dyDescent="0.2">
      <c r="A95" t="str">
        <f>_xlfn.CONCAT(Food_Original!A94," - ",Food_Original!B94)</f>
        <v xml:space="preserve"> - </v>
      </c>
      <c r="B95">
        <f>Food_Original!C94</f>
        <v>0</v>
      </c>
      <c r="C95">
        <f>Food_Original!D94</f>
        <v>0</v>
      </c>
      <c r="D95">
        <f>Food_Original!E94</f>
        <v>0</v>
      </c>
      <c r="E95">
        <f>Food_Original!F94</f>
        <v>0</v>
      </c>
      <c r="F95">
        <f>Food_Original!G94</f>
        <v>0</v>
      </c>
      <c r="G95">
        <f>Food_Original!H94</f>
        <v>0</v>
      </c>
    </row>
    <row r="96" spans="1:7" x14ac:dyDescent="0.2">
      <c r="A96" t="str">
        <f>_xlfn.CONCAT(Food_Original!A95," - ",Food_Original!B95)</f>
        <v xml:space="preserve"> - </v>
      </c>
      <c r="B96">
        <f>Food_Original!C95</f>
        <v>0</v>
      </c>
      <c r="C96">
        <f>Food_Original!D95</f>
        <v>0</v>
      </c>
      <c r="D96">
        <f>Food_Original!E95</f>
        <v>0</v>
      </c>
      <c r="E96">
        <f>Food_Original!F95</f>
        <v>0</v>
      </c>
      <c r="F96">
        <f>Food_Original!G95</f>
        <v>0</v>
      </c>
      <c r="G96">
        <f>Food_Original!H95</f>
        <v>0</v>
      </c>
    </row>
    <row r="97" spans="1:7" x14ac:dyDescent="0.2">
      <c r="A97" t="str">
        <f>_xlfn.CONCAT(Food_Original!A96," - ",Food_Original!B96)</f>
        <v xml:space="preserve"> - </v>
      </c>
      <c r="B97">
        <f>Food_Original!C96</f>
        <v>0</v>
      </c>
      <c r="C97">
        <f>Food_Original!D96</f>
        <v>0</v>
      </c>
      <c r="D97">
        <f>Food_Original!E96</f>
        <v>0</v>
      </c>
      <c r="E97">
        <f>Food_Original!F96</f>
        <v>0</v>
      </c>
      <c r="F97">
        <f>Food_Original!G96</f>
        <v>0</v>
      </c>
      <c r="G97">
        <f>Food_Original!H96</f>
        <v>0</v>
      </c>
    </row>
    <row r="98" spans="1:7" x14ac:dyDescent="0.2">
      <c r="A98" t="str">
        <f>_xlfn.CONCAT(Food_Original!A97," - ",Food_Original!B97)</f>
        <v xml:space="preserve"> - </v>
      </c>
      <c r="B98">
        <f>Food_Original!C97</f>
        <v>0</v>
      </c>
      <c r="C98">
        <f>Food_Original!D97</f>
        <v>0</v>
      </c>
      <c r="D98">
        <f>Food_Original!E97</f>
        <v>0</v>
      </c>
      <c r="E98">
        <f>Food_Original!F97</f>
        <v>0</v>
      </c>
      <c r="F98">
        <f>Food_Original!G97</f>
        <v>0</v>
      </c>
      <c r="G98">
        <f>Food_Original!H97</f>
        <v>0</v>
      </c>
    </row>
    <row r="99" spans="1:7" x14ac:dyDescent="0.2">
      <c r="A99" t="str">
        <f>_xlfn.CONCAT(Food_Original!A98," - ",Food_Original!B98)</f>
        <v xml:space="preserve"> - </v>
      </c>
      <c r="B99">
        <f>Food_Original!C98</f>
        <v>0</v>
      </c>
      <c r="C99">
        <f>Food_Original!D98</f>
        <v>0</v>
      </c>
      <c r="D99">
        <f>Food_Original!E98</f>
        <v>0</v>
      </c>
      <c r="E99">
        <f>Food_Original!F98</f>
        <v>0</v>
      </c>
      <c r="F99">
        <f>Food_Original!G98</f>
        <v>0</v>
      </c>
      <c r="G99">
        <f>Food_Original!H98</f>
        <v>0</v>
      </c>
    </row>
    <row r="100" spans="1:7" x14ac:dyDescent="0.2">
      <c r="A100" t="str">
        <f>_xlfn.CONCAT(Food_Original!A99," - ",Food_Original!B99)</f>
        <v xml:space="preserve"> - </v>
      </c>
      <c r="B100">
        <f>Food_Original!C99</f>
        <v>0</v>
      </c>
      <c r="C100">
        <f>Food_Original!D99</f>
        <v>0</v>
      </c>
      <c r="D100">
        <f>Food_Original!E99</f>
        <v>0</v>
      </c>
      <c r="E100">
        <f>Food_Original!F99</f>
        <v>0</v>
      </c>
      <c r="F100">
        <f>Food_Original!G99</f>
        <v>0</v>
      </c>
      <c r="G100">
        <f>Food_Original!H99</f>
        <v>0</v>
      </c>
    </row>
    <row r="101" spans="1:7" x14ac:dyDescent="0.2">
      <c r="A101" t="str">
        <f>_xlfn.CONCAT(Food_Original!A100," - ",Food_Original!B100)</f>
        <v xml:space="preserve"> - </v>
      </c>
      <c r="B101">
        <f>Food_Original!C100</f>
        <v>0</v>
      </c>
      <c r="C101">
        <f>Food_Original!D100</f>
        <v>0</v>
      </c>
      <c r="D101">
        <f>Food_Original!E100</f>
        <v>0</v>
      </c>
      <c r="E101">
        <f>Food_Original!F100</f>
        <v>0</v>
      </c>
      <c r="F101">
        <f>Food_Original!G100</f>
        <v>0</v>
      </c>
      <c r="G101">
        <f>Food_Original!H100</f>
        <v>0</v>
      </c>
    </row>
    <row r="102" spans="1:7" x14ac:dyDescent="0.2">
      <c r="A102" t="str">
        <f>_xlfn.CONCAT(Food_Original!A101," - ",Food_Original!B101)</f>
        <v xml:space="preserve"> - </v>
      </c>
      <c r="B102">
        <f>Food_Original!C101</f>
        <v>0</v>
      </c>
      <c r="C102">
        <f>Food_Original!D101</f>
        <v>0</v>
      </c>
      <c r="D102">
        <f>Food_Original!E101</f>
        <v>0</v>
      </c>
      <c r="E102">
        <f>Food_Original!F101</f>
        <v>0</v>
      </c>
      <c r="F102">
        <f>Food_Original!G101</f>
        <v>0</v>
      </c>
      <c r="G102">
        <f>Food_Original!H101</f>
        <v>0</v>
      </c>
    </row>
    <row r="103" spans="1:7" x14ac:dyDescent="0.2">
      <c r="A103" t="str">
        <f>_xlfn.CONCAT(Food_Original!A102," - ",Food_Original!B102)</f>
        <v xml:space="preserve"> - </v>
      </c>
      <c r="B103">
        <f>Food_Original!C102</f>
        <v>0</v>
      </c>
      <c r="C103">
        <f>Food_Original!D102</f>
        <v>0</v>
      </c>
      <c r="D103">
        <f>Food_Original!E102</f>
        <v>0</v>
      </c>
      <c r="E103">
        <f>Food_Original!F102</f>
        <v>0</v>
      </c>
      <c r="F103">
        <f>Food_Original!G102</f>
        <v>0</v>
      </c>
      <c r="G103">
        <f>Food_Original!H102</f>
        <v>0</v>
      </c>
    </row>
    <row r="104" spans="1:7" x14ac:dyDescent="0.2">
      <c r="A104" t="str">
        <f>_xlfn.CONCAT(Food_Original!A103," - ",Food_Original!B103)</f>
        <v xml:space="preserve"> - </v>
      </c>
      <c r="B104">
        <f>Food_Original!C103</f>
        <v>0</v>
      </c>
      <c r="C104">
        <f>Food_Original!D103</f>
        <v>0</v>
      </c>
      <c r="D104">
        <f>Food_Original!E103</f>
        <v>0</v>
      </c>
      <c r="E104">
        <f>Food_Original!F103</f>
        <v>0</v>
      </c>
      <c r="F104">
        <f>Food_Original!G103</f>
        <v>0</v>
      </c>
      <c r="G104">
        <f>Food_Original!H103</f>
        <v>0</v>
      </c>
    </row>
    <row r="105" spans="1:7" x14ac:dyDescent="0.2">
      <c r="A105" t="str">
        <f>_xlfn.CONCAT(Food_Original!A104," - ",Food_Original!B104)</f>
        <v xml:space="preserve"> - </v>
      </c>
      <c r="B105">
        <f>Food_Original!C104</f>
        <v>0</v>
      </c>
      <c r="C105">
        <f>Food_Original!D104</f>
        <v>0</v>
      </c>
      <c r="D105">
        <f>Food_Original!E104</f>
        <v>0</v>
      </c>
      <c r="E105">
        <f>Food_Original!F104</f>
        <v>0</v>
      </c>
      <c r="F105">
        <f>Food_Original!G104</f>
        <v>0</v>
      </c>
      <c r="G105">
        <f>Food_Original!H104</f>
        <v>0</v>
      </c>
    </row>
    <row r="106" spans="1:7" x14ac:dyDescent="0.2">
      <c r="A106" t="str">
        <f>_xlfn.CONCAT(Food_Original!A105," - ",Food_Original!B105)</f>
        <v xml:space="preserve"> - </v>
      </c>
      <c r="B106">
        <f>Food_Original!C105</f>
        <v>0</v>
      </c>
      <c r="C106">
        <f>Food_Original!D105</f>
        <v>0</v>
      </c>
      <c r="D106">
        <f>Food_Original!E105</f>
        <v>0</v>
      </c>
      <c r="E106">
        <f>Food_Original!F105</f>
        <v>0</v>
      </c>
      <c r="F106">
        <f>Food_Original!G105</f>
        <v>0</v>
      </c>
      <c r="G106">
        <f>Food_Original!H105</f>
        <v>0</v>
      </c>
    </row>
    <row r="107" spans="1:7" x14ac:dyDescent="0.2">
      <c r="A107" t="str">
        <f>_xlfn.CONCAT(Food_Original!A106," - ",Food_Original!B106)</f>
        <v xml:space="preserve"> - </v>
      </c>
      <c r="B107">
        <f>Food_Original!C106</f>
        <v>0</v>
      </c>
      <c r="C107">
        <f>Food_Original!D106</f>
        <v>0</v>
      </c>
      <c r="D107">
        <f>Food_Original!E106</f>
        <v>0</v>
      </c>
      <c r="E107">
        <f>Food_Original!F106</f>
        <v>0</v>
      </c>
      <c r="F107">
        <f>Food_Original!G106</f>
        <v>0</v>
      </c>
      <c r="G107">
        <f>Food_Original!H106</f>
        <v>0</v>
      </c>
    </row>
    <row r="108" spans="1:7" x14ac:dyDescent="0.2">
      <c r="A108" t="str">
        <f>_xlfn.CONCAT(Food_Original!A107," - ",Food_Original!B107)</f>
        <v xml:space="preserve"> - </v>
      </c>
      <c r="B108">
        <f>Food_Original!C107</f>
        <v>0</v>
      </c>
      <c r="C108">
        <f>Food_Original!D107</f>
        <v>0</v>
      </c>
      <c r="D108">
        <f>Food_Original!E107</f>
        <v>0</v>
      </c>
      <c r="E108">
        <f>Food_Original!F107</f>
        <v>0</v>
      </c>
      <c r="F108">
        <f>Food_Original!G107</f>
        <v>0</v>
      </c>
      <c r="G108">
        <f>Food_Original!H107</f>
        <v>0</v>
      </c>
    </row>
    <row r="109" spans="1:7" x14ac:dyDescent="0.2">
      <c r="A109" t="str">
        <f>_xlfn.CONCAT(Food_Original!A108," - ",Food_Original!B108)</f>
        <v xml:space="preserve"> - </v>
      </c>
      <c r="B109">
        <f>Food_Original!C108</f>
        <v>0</v>
      </c>
      <c r="C109">
        <f>Food_Original!D108</f>
        <v>0</v>
      </c>
      <c r="D109">
        <f>Food_Original!E108</f>
        <v>0</v>
      </c>
      <c r="E109">
        <f>Food_Original!F108</f>
        <v>0</v>
      </c>
      <c r="F109">
        <f>Food_Original!G108</f>
        <v>0</v>
      </c>
      <c r="G109">
        <f>Food_Original!H108</f>
        <v>0</v>
      </c>
    </row>
    <row r="110" spans="1:7" x14ac:dyDescent="0.2">
      <c r="A110" t="str">
        <f>_xlfn.CONCAT(Food_Original!A109," - ",Food_Original!B109)</f>
        <v xml:space="preserve"> - </v>
      </c>
      <c r="B110">
        <f>Food_Original!C109</f>
        <v>0</v>
      </c>
      <c r="C110">
        <f>Food_Original!D109</f>
        <v>0</v>
      </c>
      <c r="D110">
        <f>Food_Original!E109</f>
        <v>0</v>
      </c>
      <c r="E110">
        <f>Food_Original!F109</f>
        <v>0</v>
      </c>
      <c r="F110">
        <f>Food_Original!G109</f>
        <v>0</v>
      </c>
      <c r="G110">
        <f>Food_Original!H109</f>
        <v>0</v>
      </c>
    </row>
    <row r="111" spans="1:7" x14ac:dyDescent="0.2">
      <c r="A111" t="str">
        <f>_xlfn.CONCAT(Food_Original!A110," - ",Food_Original!B110)</f>
        <v xml:space="preserve"> - </v>
      </c>
      <c r="B111">
        <f>Food_Original!C110</f>
        <v>0</v>
      </c>
      <c r="C111">
        <f>Food_Original!D110</f>
        <v>0</v>
      </c>
      <c r="D111">
        <f>Food_Original!E110</f>
        <v>0</v>
      </c>
      <c r="E111">
        <f>Food_Original!F110</f>
        <v>0</v>
      </c>
      <c r="F111">
        <f>Food_Original!G110</f>
        <v>0</v>
      </c>
      <c r="G111">
        <f>Food_Original!H110</f>
        <v>0</v>
      </c>
    </row>
    <row r="112" spans="1:7" x14ac:dyDescent="0.2">
      <c r="A112" t="str">
        <f>_xlfn.CONCAT(Food_Original!A111," - ",Food_Original!B111)</f>
        <v xml:space="preserve"> - </v>
      </c>
      <c r="B112">
        <f>Food_Original!C111</f>
        <v>0</v>
      </c>
      <c r="C112">
        <f>Food_Original!D111</f>
        <v>0</v>
      </c>
      <c r="D112">
        <f>Food_Original!E111</f>
        <v>0</v>
      </c>
      <c r="E112">
        <f>Food_Original!F111</f>
        <v>0</v>
      </c>
      <c r="F112">
        <f>Food_Original!G111</f>
        <v>0</v>
      </c>
      <c r="G112">
        <f>Food_Original!H111</f>
        <v>0</v>
      </c>
    </row>
    <row r="113" spans="1:7" x14ac:dyDescent="0.2">
      <c r="A113" t="str">
        <f>_xlfn.CONCAT(Food_Original!A112," - ",Food_Original!B112)</f>
        <v xml:space="preserve"> - </v>
      </c>
      <c r="B113">
        <f>Food_Original!C112</f>
        <v>0</v>
      </c>
      <c r="C113">
        <f>Food_Original!D112</f>
        <v>0</v>
      </c>
      <c r="D113">
        <f>Food_Original!E112</f>
        <v>0</v>
      </c>
      <c r="E113">
        <f>Food_Original!F112</f>
        <v>0</v>
      </c>
      <c r="F113">
        <f>Food_Original!G112</f>
        <v>0</v>
      </c>
      <c r="G113">
        <f>Food_Original!H112</f>
        <v>0</v>
      </c>
    </row>
    <row r="114" spans="1:7" x14ac:dyDescent="0.2">
      <c r="A114" t="str">
        <f>_xlfn.CONCAT(Food_Original!A113," - ",Food_Original!B113)</f>
        <v xml:space="preserve"> - </v>
      </c>
      <c r="B114">
        <f>Food_Original!C113</f>
        <v>0</v>
      </c>
      <c r="C114">
        <f>Food_Original!D113</f>
        <v>0</v>
      </c>
      <c r="D114">
        <f>Food_Original!E113</f>
        <v>0</v>
      </c>
      <c r="E114">
        <f>Food_Original!F113</f>
        <v>0</v>
      </c>
      <c r="F114">
        <f>Food_Original!G113</f>
        <v>0</v>
      </c>
      <c r="G114">
        <f>Food_Original!H113</f>
        <v>0</v>
      </c>
    </row>
    <row r="115" spans="1:7" x14ac:dyDescent="0.2">
      <c r="A115" t="str">
        <f>_xlfn.CONCAT(Food_Original!A114," - ",Food_Original!B114)</f>
        <v xml:space="preserve"> - </v>
      </c>
      <c r="B115">
        <f>Food_Original!C114</f>
        <v>0</v>
      </c>
      <c r="C115">
        <f>Food_Original!D114</f>
        <v>0</v>
      </c>
      <c r="D115">
        <f>Food_Original!E114</f>
        <v>0</v>
      </c>
      <c r="E115">
        <f>Food_Original!F114</f>
        <v>0</v>
      </c>
      <c r="F115">
        <f>Food_Original!G114</f>
        <v>0</v>
      </c>
      <c r="G115">
        <f>Food_Original!H114</f>
        <v>0</v>
      </c>
    </row>
    <row r="116" spans="1:7" x14ac:dyDescent="0.2">
      <c r="A116" t="str">
        <f>_xlfn.CONCAT(Food_Original!A115," - ",Food_Original!B115)</f>
        <v xml:space="preserve"> - </v>
      </c>
      <c r="B116">
        <f>Food_Original!C115</f>
        <v>0</v>
      </c>
      <c r="C116">
        <f>Food_Original!D115</f>
        <v>0</v>
      </c>
      <c r="D116">
        <f>Food_Original!E115</f>
        <v>0</v>
      </c>
      <c r="E116">
        <f>Food_Original!F115</f>
        <v>0</v>
      </c>
      <c r="F116">
        <f>Food_Original!G115</f>
        <v>0</v>
      </c>
      <c r="G116">
        <f>Food_Original!H115</f>
        <v>0</v>
      </c>
    </row>
    <row r="117" spans="1:7" x14ac:dyDescent="0.2">
      <c r="A117" t="str">
        <f>_xlfn.CONCAT(Food_Original!A116," - ",Food_Original!B116)</f>
        <v xml:space="preserve"> - </v>
      </c>
      <c r="B117">
        <f>Food_Original!C116</f>
        <v>0</v>
      </c>
      <c r="C117">
        <f>Food_Original!D116</f>
        <v>0</v>
      </c>
      <c r="D117">
        <f>Food_Original!E116</f>
        <v>0</v>
      </c>
      <c r="E117">
        <f>Food_Original!F116</f>
        <v>0</v>
      </c>
      <c r="F117">
        <f>Food_Original!G116</f>
        <v>0</v>
      </c>
      <c r="G117">
        <f>Food_Original!H116</f>
        <v>0</v>
      </c>
    </row>
    <row r="118" spans="1:7" x14ac:dyDescent="0.2">
      <c r="A118" t="str">
        <f>_xlfn.CONCAT(Food_Original!A117," - ",Food_Original!B117)</f>
        <v xml:space="preserve"> - </v>
      </c>
      <c r="B118">
        <f>Food_Original!C117</f>
        <v>0</v>
      </c>
      <c r="C118">
        <f>Food_Original!D117</f>
        <v>0</v>
      </c>
      <c r="D118">
        <f>Food_Original!E117</f>
        <v>0</v>
      </c>
      <c r="E118">
        <f>Food_Original!F117</f>
        <v>0</v>
      </c>
      <c r="F118">
        <f>Food_Original!G117</f>
        <v>0</v>
      </c>
      <c r="G118">
        <f>Food_Original!H117</f>
        <v>0</v>
      </c>
    </row>
    <row r="119" spans="1:7" x14ac:dyDescent="0.2">
      <c r="A119" t="str">
        <f>_xlfn.CONCAT(Food_Original!A118," - ",Food_Original!B118)</f>
        <v xml:space="preserve"> - </v>
      </c>
      <c r="B119">
        <f>Food_Original!C118</f>
        <v>0</v>
      </c>
      <c r="C119">
        <f>Food_Original!D118</f>
        <v>0</v>
      </c>
      <c r="D119">
        <f>Food_Original!E118</f>
        <v>0</v>
      </c>
      <c r="E119">
        <f>Food_Original!F118</f>
        <v>0</v>
      </c>
      <c r="F119">
        <f>Food_Original!G118</f>
        <v>0</v>
      </c>
      <c r="G119">
        <f>Food_Original!H118</f>
        <v>0</v>
      </c>
    </row>
    <row r="120" spans="1:7" x14ac:dyDescent="0.2">
      <c r="A120" t="str">
        <f>_xlfn.CONCAT(Food_Original!A119," - ",Food_Original!B119)</f>
        <v xml:space="preserve"> - </v>
      </c>
      <c r="B120">
        <f>Food_Original!C119</f>
        <v>0</v>
      </c>
      <c r="C120">
        <f>Food_Original!D119</f>
        <v>0</v>
      </c>
      <c r="D120">
        <f>Food_Original!E119</f>
        <v>0</v>
      </c>
      <c r="E120">
        <f>Food_Original!F119</f>
        <v>0</v>
      </c>
      <c r="F120">
        <f>Food_Original!G119</f>
        <v>0</v>
      </c>
      <c r="G120">
        <f>Food_Original!H119</f>
        <v>0</v>
      </c>
    </row>
    <row r="121" spans="1:7" x14ac:dyDescent="0.2">
      <c r="A121" t="str">
        <f>_xlfn.CONCAT(Food_Original!A120," - ",Food_Original!B120)</f>
        <v xml:space="preserve"> - </v>
      </c>
      <c r="B121">
        <f>Food_Original!C120</f>
        <v>0</v>
      </c>
      <c r="C121">
        <f>Food_Original!D120</f>
        <v>0</v>
      </c>
      <c r="D121">
        <f>Food_Original!E120</f>
        <v>0</v>
      </c>
      <c r="E121">
        <f>Food_Original!F120</f>
        <v>0</v>
      </c>
      <c r="F121">
        <f>Food_Original!G120</f>
        <v>0</v>
      </c>
      <c r="G121">
        <f>Food_Original!H120</f>
        <v>0</v>
      </c>
    </row>
    <row r="122" spans="1:7" x14ac:dyDescent="0.2">
      <c r="A122" t="str">
        <f>_xlfn.CONCAT(Food_Original!A121," - ",Food_Original!B121)</f>
        <v xml:space="preserve"> - </v>
      </c>
      <c r="B122">
        <f>Food_Original!C121</f>
        <v>0</v>
      </c>
      <c r="C122">
        <f>Food_Original!D121</f>
        <v>0</v>
      </c>
      <c r="D122">
        <f>Food_Original!E121</f>
        <v>0</v>
      </c>
      <c r="E122">
        <f>Food_Original!F121</f>
        <v>0</v>
      </c>
      <c r="F122">
        <f>Food_Original!G121</f>
        <v>0</v>
      </c>
      <c r="G122">
        <f>Food_Original!H121</f>
        <v>0</v>
      </c>
    </row>
    <row r="123" spans="1:7" x14ac:dyDescent="0.2">
      <c r="A123" t="str">
        <f>_xlfn.CONCAT(Food_Original!A122," - ",Food_Original!B122)</f>
        <v xml:space="preserve"> - </v>
      </c>
      <c r="B123">
        <f>Food_Original!C122</f>
        <v>0</v>
      </c>
      <c r="C123">
        <f>Food_Original!D122</f>
        <v>0</v>
      </c>
      <c r="D123">
        <f>Food_Original!E122</f>
        <v>0</v>
      </c>
      <c r="E123">
        <f>Food_Original!F122</f>
        <v>0</v>
      </c>
      <c r="F123">
        <f>Food_Original!G122</f>
        <v>0</v>
      </c>
      <c r="G123">
        <f>Food_Original!H122</f>
        <v>0</v>
      </c>
    </row>
    <row r="124" spans="1:7" x14ac:dyDescent="0.2">
      <c r="A124" t="str">
        <f>_xlfn.CONCAT(Food_Original!A123," - ",Food_Original!B123)</f>
        <v xml:space="preserve"> - </v>
      </c>
      <c r="B124">
        <f>Food_Original!C123</f>
        <v>0</v>
      </c>
      <c r="C124">
        <f>Food_Original!D123</f>
        <v>0</v>
      </c>
      <c r="D124">
        <f>Food_Original!E123</f>
        <v>0</v>
      </c>
      <c r="E124">
        <f>Food_Original!F123</f>
        <v>0</v>
      </c>
      <c r="F124">
        <f>Food_Original!G123</f>
        <v>0</v>
      </c>
      <c r="G124">
        <f>Food_Original!H123</f>
        <v>0</v>
      </c>
    </row>
    <row r="125" spans="1:7" x14ac:dyDescent="0.2">
      <c r="A125" t="str">
        <f>_xlfn.CONCAT(Food_Original!A124," - ",Food_Original!B124)</f>
        <v xml:space="preserve"> - </v>
      </c>
      <c r="B125">
        <f>Food_Original!C124</f>
        <v>0</v>
      </c>
      <c r="C125">
        <f>Food_Original!D124</f>
        <v>0</v>
      </c>
      <c r="D125">
        <f>Food_Original!E124</f>
        <v>0</v>
      </c>
      <c r="E125">
        <f>Food_Original!F124</f>
        <v>0</v>
      </c>
      <c r="F125">
        <f>Food_Original!G124</f>
        <v>0</v>
      </c>
      <c r="G125">
        <f>Food_Original!H124</f>
        <v>0</v>
      </c>
    </row>
    <row r="126" spans="1:7" x14ac:dyDescent="0.2">
      <c r="A126" t="str">
        <f>_xlfn.CONCAT(Food_Original!A125," - ",Food_Original!B125)</f>
        <v xml:space="preserve"> - </v>
      </c>
      <c r="B126">
        <f>Food_Original!C125</f>
        <v>0</v>
      </c>
      <c r="C126">
        <f>Food_Original!D125</f>
        <v>0</v>
      </c>
      <c r="D126">
        <f>Food_Original!E125</f>
        <v>0</v>
      </c>
      <c r="E126">
        <f>Food_Original!F125</f>
        <v>0</v>
      </c>
      <c r="F126">
        <f>Food_Original!G125</f>
        <v>0</v>
      </c>
      <c r="G126">
        <f>Food_Original!H125</f>
        <v>0</v>
      </c>
    </row>
    <row r="127" spans="1:7" x14ac:dyDescent="0.2">
      <c r="A127" t="str">
        <f>_xlfn.CONCAT(Food_Original!A126," - ",Food_Original!B126)</f>
        <v xml:space="preserve"> - </v>
      </c>
      <c r="B127">
        <f>Food_Original!C126</f>
        <v>0</v>
      </c>
      <c r="C127">
        <f>Food_Original!D126</f>
        <v>0</v>
      </c>
      <c r="D127">
        <f>Food_Original!E126</f>
        <v>0</v>
      </c>
      <c r="E127">
        <f>Food_Original!F126</f>
        <v>0</v>
      </c>
      <c r="F127">
        <f>Food_Original!G126</f>
        <v>0</v>
      </c>
      <c r="G127">
        <f>Food_Original!H126</f>
        <v>0</v>
      </c>
    </row>
    <row r="128" spans="1:7" x14ac:dyDescent="0.2">
      <c r="A128" t="str">
        <f>_xlfn.CONCAT(Food_Original!A127," - ",Food_Original!B127)</f>
        <v xml:space="preserve"> - </v>
      </c>
      <c r="B128">
        <f>Food_Original!C127</f>
        <v>0</v>
      </c>
      <c r="C128">
        <f>Food_Original!D127</f>
        <v>0</v>
      </c>
      <c r="D128">
        <f>Food_Original!E127</f>
        <v>0</v>
      </c>
      <c r="E128">
        <f>Food_Original!F127</f>
        <v>0</v>
      </c>
      <c r="F128">
        <f>Food_Original!G127</f>
        <v>0</v>
      </c>
      <c r="G128">
        <f>Food_Original!H127</f>
        <v>0</v>
      </c>
    </row>
    <row r="129" spans="1:7" x14ac:dyDescent="0.2">
      <c r="A129" t="str">
        <f>_xlfn.CONCAT(Food_Original!A128," - ",Food_Original!B128)</f>
        <v xml:space="preserve"> - </v>
      </c>
      <c r="B129">
        <f>Food_Original!C128</f>
        <v>0</v>
      </c>
      <c r="C129">
        <f>Food_Original!D128</f>
        <v>0</v>
      </c>
      <c r="D129">
        <f>Food_Original!E128</f>
        <v>0</v>
      </c>
      <c r="E129">
        <f>Food_Original!F128</f>
        <v>0</v>
      </c>
      <c r="F129">
        <f>Food_Original!G128</f>
        <v>0</v>
      </c>
      <c r="G129">
        <f>Food_Original!H128</f>
        <v>0</v>
      </c>
    </row>
    <row r="130" spans="1:7" x14ac:dyDescent="0.2">
      <c r="A130" t="str">
        <f>_xlfn.CONCAT(Food_Original!A129," - ",Food_Original!B129)</f>
        <v xml:space="preserve"> - </v>
      </c>
      <c r="B130">
        <f>Food_Original!C129</f>
        <v>0</v>
      </c>
      <c r="C130">
        <f>Food_Original!D129</f>
        <v>0</v>
      </c>
      <c r="D130">
        <f>Food_Original!E129</f>
        <v>0</v>
      </c>
      <c r="E130">
        <f>Food_Original!F129</f>
        <v>0</v>
      </c>
      <c r="F130">
        <f>Food_Original!G129</f>
        <v>0</v>
      </c>
      <c r="G130">
        <f>Food_Original!H129</f>
        <v>0</v>
      </c>
    </row>
    <row r="131" spans="1:7" x14ac:dyDescent="0.2">
      <c r="A131" t="str">
        <f>_xlfn.CONCAT(Food_Original!A130," - ",Food_Original!B130)</f>
        <v xml:space="preserve"> - </v>
      </c>
      <c r="B131">
        <f>Food_Original!C130</f>
        <v>0</v>
      </c>
      <c r="C131">
        <f>Food_Original!D130</f>
        <v>0</v>
      </c>
      <c r="D131">
        <f>Food_Original!E130</f>
        <v>0</v>
      </c>
      <c r="E131">
        <f>Food_Original!F130</f>
        <v>0</v>
      </c>
      <c r="F131">
        <f>Food_Original!G130</f>
        <v>0</v>
      </c>
      <c r="G131">
        <f>Food_Original!H130</f>
        <v>0</v>
      </c>
    </row>
    <row r="132" spans="1:7" x14ac:dyDescent="0.2">
      <c r="A132" t="str">
        <f>_xlfn.CONCAT(Food_Original!A131," - ",Food_Original!B131)</f>
        <v xml:space="preserve"> - </v>
      </c>
      <c r="B132">
        <f>Food_Original!C131</f>
        <v>0</v>
      </c>
      <c r="C132">
        <f>Food_Original!D131</f>
        <v>0</v>
      </c>
      <c r="D132">
        <f>Food_Original!E131</f>
        <v>0</v>
      </c>
      <c r="E132">
        <f>Food_Original!F131</f>
        <v>0</v>
      </c>
      <c r="F132">
        <f>Food_Original!G131</f>
        <v>0</v>
      </c>
      <c r="G132">
        <f>Food_Original!H131</f>
        <v>0</v>
      </c>
    </row>
    <row r="133" spans="1:7" x14ac:dyDescent="0.2">
      <c r="A133" t="str">
        <f>_xlfn.CONCAT(Food_Original!A132," - ",Food_Original!B132)</f>
        <v xml:space="preserve"> - </v>
      </c>
      <c r="B133">
        <f>Food_Original!C132</f>
        <v>0</v>
      </c>
      <c r="C133">
        <f>Food_Original!D132</f>
        <v>0</v>
      </c>
      <c r="D133">
        <f>Food_Original!E132</f>
        <v>0</v>
      </c>
      <c r="E133">
        <f>Food_Original!F132</f>
        <v>0</v>
      </c>
      <c r="F133">
        <f>Food_Original!G132</f>
        <v>0</v>
      </c>
      <c r="G133">
        <f>Food_Original!H132</f>
        <v>0</v>
      </c>
    </row>
    <row r="134" spans="1:7" x14ac:dyDescent="0.2">
      <c r="A134" t="str">
        <f>_xlfn.CONCAT(Food_Original!A133," - ",Food_Original!B133)</f>
        <v xml:space="preserve"> - </v>
      </c>
      <c r="B134">
        <f>Food_Original!C133</f>
        <v>0</v>
      </c>
      <c r="C134">
        <f>Food_Original!D133</f>
        <v>0</v>
      </c>
      <c r="D134">
        <f>Food_Original!E133</f>
        <v>0</v>
      </c>
      <c r="E134">
        <f>Food_Original!F133</f>
        <v>0</v>
      </c>
      <c r="F134">
        <f>Food_Original!G133</f>
        <v>0</v>
      </c>
      <c r="G134">
        <f>Food_Original!H133</f>
        <v>0</v>
      </c>
    </row>
    <row r="135" spans="1:7" x14ac:dyDescent="0.2">
      <c r="A135" t="str">
        <f>_xlfn.CONCAT(Food_Original!A134," - ",Food_Original!B134)</f>
        <v xml:space="preserve"> - </v>
      </c>
      <c r="B135">
        <f>Food_Original!C134</f>
        <v>0</v>
      </c>
      <c r="C135">
        <f>Food_Original!D134</f>
        <v>0</v>
      </c>
      <c r="D135">
        <f>Food_Original!E134</f>
        <v>0</v>
      </c>
      <c r="E135">
        <f>Food_Original!F134</f>
        <v>0</v>
      </c>
      <c r="F135">
        <f>Food_Original!G134</f>
        <v>0</v>
      </c>
      <c r="G135">
        <f>Food_Original!H134</f>
        <v>0</v>
      </c>
    </row>
    <row r="136" spans="1:7" x14ac:dyDescent="0.2">
      <c r="A136" t="str">
        <f>_xlfn.CONCAT(Food_Original!A135," - ",Food_Original!B135)</f>
        <v xml:space="preserve"> - </v>
      </c>
      <c r="B136">
        <f>Food_Original!C135</f>
        <v>0</v>
      </c>
      <c r="C136">
        <f>Food_Original!D135</f>
        <v>0</v>
      </c>
      <c r="D136">
        <f>Food_Original!E135</f>
        <v>0</v>
      </c>
      <c r="E136">
        <f>Food_Original!F135</f>
        <v>0</v>
      </c>
      <c r="F136">
        <f>Food_Original!G135</f>
        <v>0</v>
      </c>
      <c r="G136">
        <f>Food_Original!H135</f>
        <v>0</v>
      </c>
    </row>
    <row r="137" spans="1:7" x14ac:dyDescent="0.2">
      <c r="A137" t="str">
        <f>_xlfn.CONCAT(Food_Original!A136," - ",Food_Original!B136)</f>
        <v xml:space="preserve"> - </v>
      </c>
      <c r="B137">
        <f>Food_Original!C136</f>
        <v>0</v>
      </c>
      <c r="C137">
        <f>Food_Original!D136</f>
        <v>0</v>
      </c>
      <c r="D137">
        <f>Food_Original!E136</f>
        <v>0</v>
      </c>
      <c r="E137">
        <f>Food_Original!F136</f>
        <v>0</v>
      </c>
      <c r="F137">
        <f>Food_Original!G136</f>
        <v>0</v>
      </c>
      <c r="G137">
        <f>Food_Original!H136</f>
        <v>0</v>
      </c>
    </row>
    <row r="138" spans="1:7" x14ac:dyDescent="0.2">
      <c r="A138" t="str">
        <f>_xlfn.CONCAT(Food_Original!A137," - ",Food_Original!B137)</f>
        <v xml:space="preserve"> - </v>
      </c>
      <c r="B138">
        <f>Food_Original!C137</f>
        <v>0</v>
      </c>
      <c r="C138">
        <f>Food_Original!D137</f>
        <v>0</v>
      </c>
      <c r="D138">
        <f>Food_Original!E137</f>
        <v>0</v>
      </c>
      <c r="E138">
        <f>Food_Original!F137</f>
        <v>0</v>
      </c>
      <c r="F138">
        <f>Food_Original!G137</f>
        <v>0</v>
      </c>
      <c r="G138">
        <f>Food_Original!H137</f>
        <v>0</v>
      </c>
    </row>
    <row r="139" spans="1:7" x14ac:dyDescent="0.2">
      <c r="A139" t="str">
        <f>_xlfn.CONCAT(Food_Original!A138," - ",Food_Original!B138)</f>
        <v xml:space="preserve"> - </v>
      </c>
      <c r="B139">
        <f>Food_Original!C138</f>
        <v>0</v>
      </c>
      <c r="C139">
        <f>Food_Original!D138</f>
        <v>0</v>
      </c>
      <c r="D139">
        <f>Food_Original!E138</f>
        <v>0</v>
      </c>
      <c r="E139">
        <f>Food_Original!F138</f>
        <v>0</v>
      </c>
      <c r="F139">
        <f>Food_Original!G138</f>
        <v>0</v>
      </c>
      <c r="G139">
        <f>Food_Original!H138</f>
        <v>0</v>
      </c>
    </row>
    <row r="140" spans="1:7" x14ac:dyDescent="0.2">
      <c r="A140" t="str">
        <f>_xlfn.CONCAT(Food_Original!A139," - ",Food_Original!B139)</f>
        <v xml:space="preserve"> - </v>
      </c>
      <c r="B140">
        <f>Food_Original!C139</f>
        <v>0</v>
      </c>
      <c r="C140">
        <f>Food_Original!D139</f>
        <v>0</v>
      </c>
      <c r="D140">
        <f>Food_Original!E139</f>
        <v>0</v>
      </c>
      <c r="E140">
        <f>Food_Original!F139</f>
        <v>0</v>
      </c>
      <c r="F140">
        <f>Food_Original!G139</f>
        <v>0</v>
      </c>
      <c r="G140">
        <f>Food_Original!H139</f>
        <v>0</v>
      </c>
    </row>
    <row r="141" spans="1:7" x14ac:dyDescent="0.2">
      <c r="A141" t="str">
        <f>_xlfn.CONCAT(Food_Original!A140," - ",Food_Original!B140)</f>
        <v xml:space="preserve"> - </v>
      </c>
      <c r="B141">
        <f>Food_Original!C140</f>
        <v>0</v>
      </c>
      <c r="C141">
        <f>Food_Original!D140</f>
        <v>0</v>
      </c>
      <c r="D141">
        <f>Food_Original!E140</f>
        <v>0</v>
      </c>
      <c r="E141">
        <f>Food_Original!F140</f>
        <v>0</v>
      </c>
      <c r="F141">
        <f>Food_Original!G140</f>
        <v>0</v>
      </c>
      <c r="G141">
        <f>Food_Original!H140</f>
        <v>0</v>
      </c>
    </row>
    <row r="142" spans="1:7" x14ac:dyDescent="0.2">
      <c r="A142" t="str">
        <f>_xlfn.CONCAT(Food_Original!A141," - ",Food_Original!B141)</f>
        <v xml:space="preserve"> - </v>
      </c>
      <c r="B142">
        <f>Food_Original!C141</f>
        <v>0</v>
      </c>
      <c r="C142">
        <f>Food_Original!D141</f>
        <v>0</v>
      </c>
      <c r="D142">
        <f>Food_Original!E141</f>
        <v>0</v>
      </c>
      <c r="E142">
        <f>Food_Original!F141</f>
        <v>0</v>
      </c>
      <c r="F142">
        <f>Food_Original!G141</f>
        <v>0</v>
      </c>
      <c r="G142">
        <f>Food_Original!H141</f>
        <v>0</v>
      </c>
    </row>
    <row r="143" spans="1:7" x14ac:dyDescent="0.2">
      <c r="A143" t="str">
        <f>_xlfn.CONCAT(Food_Original!A142," - ",Food_Original!B142)</f>
        <v xml:space="preserve"> - </v>
      </c>
      <c r="B143">
        <f>Food_Original!C142</f>
        <v>0</v>
      </c>
      <c r="C143">
        <f>Food_Original!D142</f>
        <v>0</v>
      </c>
      <c r="D143">
        <f>Food_Original!E142</f>
        <v>0</v>
      </c>
      <c r="E143">
        <f>Food_Original!F142</f>
        <v>0</v>
      </c>
      <c r="F143">
        <f>Food_Original!G142</f>
        <v>0</v>
      </c>
      <c r="G143">
        <f>Food_Original!H142</f>
        <v>0</v>
      </c>
    </row>
    <row r="144" spans="1:7" x14ac:dyDescent="0.2">
      <c r="A144" t="str">
        <f>_xlfn.CONCAT(Food_Original!A143," - ",Food_Original!B143)</f>
        <v xml:space="preserve"> - </v>
      </c>
      <c r="B144">
        <f>Food_Original!C143</f>
        <v>0</v>
      </c>
      <c r="C144">
        <f>Food_Original!D143</f>
        <v>0</v>
      </c>
      <c r="D144">
        <f>Food_Original!E143</f>
        <v>0</v>
      </c>
      <c r="E144">
        <f>Food_Original!F143</f>
        <v>0</v>
      </c>
      <c r="F144">
        <f>Food_Original!G143</f>
        <v>0</v>
      </c>
      <c r="G144">
        <f>Food_Original!H143</f>
        <v>0</v>
      </c>
    </row>
    <row r="145" spans="1:7" x14ac:dyDescent="0.2">
      <c r="A145" t="str">
        <f>_xlfn.CONCAT(Food_Original!A144," - ",Food_Original!B144)</f>
        <v xml:space="preserve"> - </v>
      </c>
      <c r="B145">
        <f>Food_Original!C144</f>
        <v>0</v>
      </c>
      <c r="C145">
        <f>Food_Original!D144</f>
        <v>0</v>
      </c>
      <c r="D145">
        <f>Food_Original!E144</f>
        <v>0</v>
      </c>
      <c r="E145">
        <f>Food_Original!F144</f>
        <v>0</v>
      </c>
      <c r="F145">
        <f>Food_Original!G144</f>
        <v>0</v>
      </c>
      <c r="G145">
        <f>Food_Original!H144</f>
        <v>0</v>
      </c>
    </row>
    <row r="146" spans="1:7" x14ac:dyDescent="0.2">
      <c r="A146" t="str">
        <f>_xlfn.CONCAT(Food_Original!A145," - ",Food_Original!B145)</f>
        <v xml:space="preserve"> - </v>
      </c>
      <c r="B146">
        <f>Food_Original!C145</f>
        <v>0</v>
      </c>
      <c r="C146">
        <f>Food_Original!D145</f>
        <v>0</v>
      </c>
      <c r="D146">
        <f>Food_Original!E145</f>
        <v>0</v>
      </c>
      <c r="E146">
        <f>Food_Original!F145</f>
        <v>0</v>
      </c>
      <c r="F146">
        <f>Food_Original!G145</f>
        <v>0</v>
      </c>
      <c r="G146">
        <f>Food_Original!H145</f>
        <v>0</v>
      </c>
    </row>
    <row r="147" spans="1:7" x14ac:dyDescent="0.2">
      <c r="A147" t="str">
        <f>_xlfn.CONCAT(Food_Original!A146," - ",Food_Original!B146)</f>
        <v xml:space="preserve"> - </v>
      </c>
      <c r="B147">
        <f>Food_Original!C146</f>
        <v>0</v>
      </c>
      <c r="C147">
        <f>Food_Original!D146</f>
        <v>0</v>
      </c>
      <c r="D147">
        <f>Food_Original!E146</f>
        <v>0</v>
      </c>
      <c r="E147">
        <f>Food_Original!F146</f>
        <v>0</v>
      </c>
      <c r="F147">
        <f>Food_Original!G146</f>
        <v>0</v>
      </c>
      <c r="G147">
        <f>Food_Original!H146</f>
        <v>0</v>
      </c>
    </row>
    <row r="148" spans="1:7" x14ac:dyDescent="0.2">
      <c r="A148" t="str">
        <f>_xlfn.CONCAT(Food_Original!A147," - ",Food_Original!B147)</f>
        <v xml:space="preserve"> - </v>
      </c>
      <c r="B148">
        <f>Food_Original!C147</f>
        <v>0</v>
      </c>
      <c r="C148">
        <f>Food_Original!D147</f>
        <v>0</v>
      </c>
      <c r="D148">
        <f>Food_Original!E147</f>
        <v>0</v>
      </c>
      <c r="E148">
        <f>Food_Original!F147</f>
        <v>0</v>
      </c>
      <c r="F148">
        <f>Food_Original!G147</f>
        <v>0</v>
      </c>
      <c r="G148">
        <f>Food_Original!H147</f>
        <v>0</v>
      </c>
    </row>
    <row r="149" spans="1:7" x14ac:dyDescent="0.2">
      <c r="A149" t="str">
        <f>_xlfn.CONCAT(Food_Original!A148," - ",Food_Original!B148)</f>
        <v xml:space="preserve"> - </v>
      </c>
      <c r="B149">
        <f>Food_Original!C148</f>
        <v>0</v>
      </c>
      <c r="C149">
        <f>Food_Original!D148</f>
        <v>0</v>
      </c>
      <c r="D149">
        <f>Food_Original!E148</f>
        <v>0</v>
      </c>
      <c r="E149">
        <f>Food_Original!F148</f>
        <v>0</v>
      </c>
      <c r="F149">
        <f>Food_Original!G148</f>
        <v>0</v>
      </c>
      <c r="G149">
        <f>Food_Original!H148</f>
        <v>0</v>
      </c>
    </row>
    <row r="150" spans="1:7" x14ac:dyDescent="0.2">
      <c r="A150" t="str">
        <f>_xlfn.CONCAT(Food_Original!A149," - ",Food_Original!B149)</f>
        <v xml:space="preserve"> - </v>
      </c>
      <c r="B150">
        <f>Food_Original!C149</f>
        <v>0</v>
      </c>
      <c r="C150">
        <f>Food_Original!D149</f>
        <v>0</v>
      </c>
      <c r="D150">
        <f>Food_Original!E149</f>
        <v>0</v>
      </c>
      <c r="E150">
        <f>Food_Original!F149</f>
        <v>0</v>
      </c>
      <c r="F150">
        <f>Food_Original!G149</f>
        <v>0</v>
      </c>
      <c r="G150">
        <f>Food_Original!H149</f>
        <v>0</v>
      </c>
    </row>
    <row r="151" spans="1:7" x14ac:dyDescent="0.2">
      <c r="A151" t="str">
        <f>_xlfn.CONCAT(Food_Original!A150," - ",Food_Original!B150)</f>
        <v xml:space="preserve"> - </v>
      </c>
      <c r="B151">
        <f>Food_Original!C150</f>
        <v>0</v>
      </c>
      <c r="C151">
        <f>Food_Original!D150</f>
        <v>0</v>
      </c>
      <c r="D151">
        <f>Food_Original!E150</f>
        <v>0</v>
      </c>
      <c r="E151">
        <f>Food_Original!F150</f>
        <v>0</v>
      </c>
      <c r="F151">
        <f>Food_Original!G150</f>
        <v>0</v>
      </c>
      <c r="G151">
        <f>Food_Original!H150</f>
        <v>0</v>
      </c>
    </row>
    <row r="152" spans="1:7" x14ac:dyDescent="0.2">
      <c r="A152" t="str">
        <f>_xlfn.CONCAT(Food_Original!A151," - ",Food_Original!B151)</f>
        <v xml:space="preserve"> - </v>
      </c>
      <c r="B152">
        <f>Food_Original!C151</f>
        <v>0</v>
      </c>
      <c r="C152">
        <f>Food_Original!D151</f>
        <v>0</v>
      </c>
      <c r="D152">
        <f>Food_Original!E151</f>
        <v>0</v>
      </c>
      <c r="E152">
        <f>Food_Original!F151</f>
        <v>0</v>
      </c>
      <c r="F152">
        <f>Food_Original!G151</f>
        <v>0</v>
      </c>
      <c r="G152">
        <f>Food_Original!H151</f>
        <v>0</v>
      </c>
    </row>
    <row r="153" spans="1:7" x14ac:dyDescent="0.2">
      <c r="A153" t="str">
        <f>_xlfn.CONCAT(Food_Original!A152," - ",Food_Original!B152)</f>
        <v xml:space="preserve"> - </v>
      </c>
      <c r="B153">
        <f>Food_Original!C152</f>
        <v>0</v>
      </c>
      <c r="C153">
        <f>Food_Original!D152</f>
        <v>0</v>
      </c>
      <c r="D153">
        <f>Food_Original!E152</f>
        <v>0</v>
      </c>
      <c r="E153">
        <f>Food_Original!F152</f>
        <v>0</v>
      </c>
      <c r="F153">
        <f>Food_Original!G152</f>
        <v>0</v>
      </c>
      <c r="G153">
        <f>Food_Original!H152</f>
        <v>0</v>
      </c>
    </row>
    <row r="154" spans="1:7" x14ac:dyDescent="0.2">
      <c r="A154" t="str">
        <f>_xlfn.CONCAT(Food_Original!A153," - ",Food_Original!B153)</f>
        <v xml:space="preserve"> - </v>
      </c>
      <c r="B154">
        <f>Food_Original!C153</f>
        <v>0</v>
      </c>
      <c r="C154">
        <f>Food_Original!D153</f>
        <v>0</v>
      </c>
      <c r="D154">
        <f>Food_Original!E153</f>
        <v>0</v>
      </c>
      <c r="E154">
        <f>Food_Original!F153</f>
        <v>0</v>
      </c>
      <c r="F154">
        <f>Food_Original!G153</f>
        <v>0</v>
      </c>
      <c r="G154">
        <f>Food_Original!H153</f>
        <v>0</v>
      </c>
    </row>
    <row r="155" spans="1:7" x14ac:dyDescent="0.2">
      <c r="A155" t="str">
        <f>_xlfn.CONCAT(Food_Original!A154," - ",Food_Original!B154)</f>
        <v xml:space="preserve"> - </v>
      </c>
      <c r="B155">
        <f>Food_Original!C154</f>
        <v>0</v>
      </c>
      <c r="C155">
        <f>Food_Original!D154</f>
        <v>0</v>
      </c>
      <c r="D155">
        <f>Food_Original!E154</f>
        <v>0</v>
      </c>
      <c r="E155">
        <f>Food_Original!F154</f>
        <v>0</v>
      </c>
      <c r="F155">
        <f>Food_Original!G154</f>
        <v>0</v>
      </c>
      <c r="G155">
        <f>Food_Original!H154</f>
        <v>0</v>
      </c>
    </row>
    <row r="156" spans="1:7" x14ac:dyDescent="0.2">
      <c r="A156" t="str">
        <f>_xlfn.CONCAT(Food_Original!A155," - ",Food_Original!B155)</f>
        <v xml:space="preserve"> - </v>
      </c>
      <c r="B156">
        <f>Food_Original!C155</f>
        <v>0</v>
      </c>
      <c r="C156">
        <f>Food_Original!D155</f>
        <v>0</v>
      </c>
      <c r="D156">
        <f>Food_Original!E155</f>
        <v>0</v>
      </c>
      <c r="E156">
        <f>Food_Original!F155</f>
        <v>0</v>
      </c>
      <c r="F156">
        <f>Food_Original!G155</f>
        <v>0</v>
      </c>
      <c r="G156">
        <f>Food_Original!H155</f>
        <v>0</v>
      </c>
    </row>
    <row r="157" spans="1:7" x14ac:dyDescent="0.2">
      <c r="A157" t="str">
        <f>_xlfn.CONCAT(Food_Original!A156," - ",Food_Original!B156)</f>
        <v xml:space="preserve"> - </v>
      </c>
      <c r="B157">
        <f>Food_Original!C156</f>
        <v>0</v>
      </c>
      <c r="C157">
        <f>Food_Original!D156</f>
        <v>0</v>
      </c>
      <c r="D157">
        <f>Food_Original!E156</f>
        <v>0</v>
      </c>
      <c r="E157">
        <f>Food_Original!F156</f>
        <v>0</v>
      </c>
      <c r="F157">
        <f>Food_Original!G156</f>
        <v>0</v>
      </c>
      <c r="G157">
        <f>Food_Original!H156</f>
        <v>0</v>
      </c>
    </row>
    <row r="158" spans="1:7" x14ac:dyDescent="0.2">
      <c r="A158" t="str">
        <f>_xlfn.CONCAT(Food_Original!A157," - ",Food_Original!B157)</f>
        <v xml:space="preserve"> - </v>
      </c>
      <c r="B158">
        <f>Food_Original!C157</f>
        <v>0</v>
      </c>
      <c r="C158">
        <f>Food_Original!D157</f>
        <v>0</v>
      </c>
      <c r="D158">
        <f>Food_Original!E157</f>
        <v>0</v>
      </c>
      <c r="E158">
        <f>Food_Original!F157</f>
        <v>0</v>
      </c>
      <c r="F158">
        <f>Food_Original!G157</f>
        <v>0</v>
      </c>
      <c r="G158">
        <f>Food_Original!H157</f>
        <v>0</v>
      </c>
    </row>
    <row r="159" spans="1:7" x14ac:dyDescent="0.2">
      <c r="A159" t="str">
        <f>_xlfn.CONCAT(Food_Original!A158," - ",Food_Original!B158)</f>
        <v xml:space="preserve"> - </v>
      </c>
      <c r="B159">
        <f>Food_Original!C158</f>
        <v>0</v>
      </c>
      <c r="C159">
        <f>Food_Original!D158</f>
        <v>0</v>
      </c>
      <c r="D159">
        <f>Food_Original!E158</f>
        <v>0</v>
      </c>
      <c r="E159">
        <f>Food_Original!F158</f>
        <v>0</v>
      </c>
      <c r="F159">
        <f>Food_Original!G158</f>
        <v>0</v>
      </c>
      <c r="G159">
        <f>Food_Original!H158</f>
        <v>0</v>
      </c>
    </row>
    <row r="160" spans="1:7" x14ac:dyDescent="0.2">
      <c r="A160" t="str">
        <f>_xlfn.CONCAT(Food_Original!A159," - ",Food_Original!B159)</f>
        <v xml:space="preserve"> - </v>
      </c>
      <c r="B160">
        <f>Food_Original!C159</f>
        <v>0</v>
      </c>
      <c r="C160">
        <f>Food_Original!D159</f>
        <v>0</v>
      </c>
      <c r="D160">
        <f>Food_Original!E159</f>
        <v>0</v>
      </c>
      <c r="E160">
        <f>Food_Original!F159</f>
        <v>0</v>
      </c>
      <c r="F160">
        <f>Food_Original!G159</f>
        <v>0</v>
      </c>
      <c r="G160">
        <f>Food_Original!H159</f>
        <v>0</v>
      </c>
    </row>
    <row r="161" spans="1:7" x14ac:dyDescent="0.2">
      <c r="A161" t="str">
        <f>_xlfn.CONCAT(Food_Original!A160," - ",Food_Original!B160)</f>
        <v xml:space="preserve"> - </v>
      </c>
      <c r="B161">
        <f>Food_Original!C160</f>
        <v>0</v>
      </c>
      <c r="C161">
        <f>Food_Original!D160</f>
        <v>0</v>
      </c>
      <c r="D161">
        <f>Food_Original!E160</f>
        <v>0</v>
      </c>
      <c r="E161">
        <f>Food_Original!F160</f>
        <v>0</v>
      </c>
      <c r="F161">
        <f>Food_Original!G160</f>
        <v>0</v>
      </c>
      <c r="G161">
        <f>Food_Original!H160</f>
        <v>0</v>
      </c>
    </row>
    <row r="162" spans="1:7" x14ac:dyDescent="0.2">
      <c r="A162" t="str">
        <f>_xlfn.CONCAT(Food_Original!A161," - ",Food_Original!B161)</f>
        <v xml:space="preserve"> - </v>
      </c>
      <c r="B162">
        <f>Food_Original!C161</f>
        <v>0</v>
      </c>
      <c r="C162">
        <f>Food_Original!D161</f>
        <v>0</v>
      </c>
      <c r="D162">
        <f>Food_Original!E161</f>
        <v>0</v>
      </c>
      <c r="E162">
        <f>Food_Original!F161</f>
        <v>0</v>
      </c>
      <c r="F162">
        <f>Food_Original!G161</f>
        <v>0</v>
      </c>
      <c r="G162">
        <f>Food_Original!H161</f>
        <v>0</v>
      </c>
    </row>
    <row r="163" spans="1:7" x14ac:dyDescent="0.2">
      <c r="A163" t="str">
        <f>_xlfn.CONCAT(Food_Original!A162," - ",Food_Original!B162)</f>
        <v xml:space="preserve"> - </v>
      </c>
      <c r="B163">
        <f>Food_Original!C162</f>
        <v>0</v>
      </c>
      <c r="C163">
        <f>Food_Original!D162</f>
        <v>0</v>
      </c>
      <c r="D163">
        <f>Food_Original!E162</f>
        <v>0</v>
      </c>
      <c r="E163">
        <f>Food_Original!F162</f>
        <v>0</v>
      </c>
      <c r="F163">
        <f>Food_Original!G162</f>
        <v>0</v>
      </c>
      <c r="G163">
        <f>Food_Original!H162</f>
        <v>0</v>
      </c>
    </row>
    <row r="164" spans="1:7" x14ac:dyDescent="0.2">
      <c r="A164" t="str">
        <f>_xlfn.CONCAT(Food_Original!A163," - ",Food_Original!B163)</f>
        <v xml:space="preserve"> - </v>
      </c>
      <c r="B164">
        <f>Food_Original!C163</f>
        <v>0</v>
      </c>
      <c r="C164">
        <f>Food_Original!D163</f>
        <v>0</v>
      </c>
      <c r="D164">
        <f>Food_Original!E163</f>
        <v>0</v>
      </c>
      <c r="E164">
        <f>Food_Original!F163</f>
        <v>0</v>
      </c>
      <c r="F164">
        <f>Food_Original!G163</f>
        <v>0</v>
      </c>
      <c r="G164">
        <f>Food_Original!H163</f>
        <v>0</v>
      </c>
    </row>
    <row r="165" spans="1:7" x14ac:dyDescent="0.2">
      <c r="A165" t="str">
        <f>_xlfn.CONCAT(Food_Original!A164," - ",Food_Original!B164)</f>
        <v xml:space="preserve"> - </v>
      </c>
      <c r="B165">
        <f>Food_Original!C164</f>
        <v>0</v>
      </c>
      <c r="C165">
        <f>Food_Original!D164</f>
        <v>0</v>
      </c>
      <c r="D165">
        <f>Food_Original!E164</f>
        <v>0</v>
      </c>
      <c r="E165">
        <f>Food_Original!F164</f>
        <v>0</v>
      </c>
      <c r="F165">
        <f>Food_Original!G164</f>
        <v>0</v>
      </c>
      <c r="G165">
        <f>Food_Original!H164</f>
        <v>0</v>
      </c>
    </row>
    <row r="166" spans="1:7" x14ac:dyDescent="0.2">
      <c r="A166" t="str">
        <f>_xlfn.CONCAT(Food_Original!A165," - ",Food_Original!B165)</f>
        <v xml:space="preserve"> - </v>
      </c>
      <c r="B166">
        <f>Food_Original!C165</f>
        <v>0</v>
      </c>
      <c r="C166">
        <f>Food_Original!D165</f>
        <v>0</v>
      </c>
      <c r="D166">
        <f>Food_Original!E165</f>
        <v>0</v>
      </c>
      <c r="E166">
        <f>Food_Original!F165</f>
        <v>0</v>
      </c>
      <c r="F166">
        <f>Food_Original!G165</f>
        <v>0</v>
      </c>
      <c r="G166">
        <f>Food_Original!H165</f>
        <v>0</v>
      </c>
    </row>
    <row r="167" spans="1:7" x14ac:dyDescent="0.2">
      <c r="A167" t="str">
        <f>_xlfn.CONCAT(Food_Original!A166," - ",Food_Original!B166)</f>
        <v xml:space="preserve"> - </v>
      </c>
      <c r="B167">
        <f>Food_Original!C166</f>
        <v>0</v>
      </c>
      <c r="C167">
        <f>Food_Original!D166</f>
        <v>0</v>
      </c>
      <c r="D167">
        <f>Food_Original!E166</f>
        <v>0</v>
      </c>
      <c r="E167">
        <f>Food_Original!F166</f>
        <v>0</v>
      </c>
      <c r="F167">
        <f>Food_Original!G166</f>
        <v>0</v>
      </c>
      <c r="G167">
        <f>Food_Original!H166</f>
        <v>0</v>
      </c>
    </row>
    <row r="168" spans="1:7" x14ac:dyDescent="0.2">
      <c r="A168" t="str">
        <f>_xlfn.CONCAT(Food_Original!A167," - ",Food_Original!B167)</f>
        <v xml:space="preserve"> - </v>
      </c>
      <c r="B168">
        <f>Food_Original!C167</f>
        <v>0</v>
      </c>
      <c r="C168">
        <f>Food_Original!D167</f>
        <v>0</v>
      </c>
      <c r="D168">
        <f>Food_Original!E167</f>
        <v>0</v>
      </c>
      <c r="E168">
        <f>Food_Original!F167</f>
        <v>0</v>
      </c>
      <c r="F168">
        <f>Food_Original!G167</f>
        <v>0</v>
      </c>
      <c r="G168">
        <f>Food_Original!H167</f>
        <v>0</v>
      </c>
    </row>
    <row r="169" spans="1:7" x14ac:dyDescent="0.2">
      <c r="A169" t="str">
        <f>_xlfn.CONCAT(Food_Original!A168," - ",Food_Original!B168)</f>
        <v xml:space="preserve"> - </v>
      </c>
      <c r="B169">
        <f>Food_Original!C168</f>
        <v>0</v>
      </c>
      <c r="C169">
        <f>Food_Original!D168</f>
        <v>0</v>
      </c>
      <c r="D169">
        <f>Food_Original!E168</f>
        <v>0</v>
      </c>
      <c r="E169">
        <f>Food_Original!F168</f>
        <v>0</v>
      </c>
      <c r="F169">
        <f>Food_Original!G168</f>
        <v>0</v>
      </c>
      <c r="G169">
        <f>Food_Original!H168</f>
        <v>0</v>
      </c>
    </row>
    <row r="170" spans="1:7" x14ac:dyDescent="0.2">
      <c r="A170" t="str">
        <f>_xlfn.CONCAT(Food_Original!A169," - ",Food_Original!B169)</f>
        <v xml:space="preserve"> - </v>
      </c>
      <c r="B170">
        <f>Food_Original!C169</f>
        <v>0</v>
      </c>
      <c r="C170">
        <f>Food_Original!D169</f>
        <v>0</v>
      </c>
      <c r="D170">
        <f>Food_Original!E169</f>
        <v>0</v>
      </c>
      <c r="E170">
        <f>Food_Original!F169</f>
        <v>0</v>
      </c>
      <c r="F170">
        <f>Food_Original!G169</f>
        <v>0</v>
      </c>
      <c r="G170">
        <f>Food_Original!H169</f>
        <v>0</v>
      </c>
    </row>
    <row r="171" spans="1:7" x14ac:dyDescent="0.2">
      <c r="A171" t="str">
        <f>_xlfn.CONCAT(Food_Original!A170," - ",Food_Original!B170)</f>
        <v xml:space="preserve"> - </v>
      </c>
      <c r="B171">
        <f>Food_Original!C170</f>
        <v>0</v>
      </c>
      <c r="C171">
        <f>Food_Original!D170</f>
        <v>0</v>
      </c>
      <c r="D171">
        <f>Food_Original!E170</f>
        <v>0</v>
      </c>
      <c r="E171">
        <f>Food_Original!F170</f>
        <v>0</v>
      </c>
      <c r="F171">
        <f>Food_Original!G170</f>
        <v>0</v>
      </c>
      <c r="G171">
        <f>Food_Original!H170</f>
        <v>0</v>
      </c>
    </row>
    <row r="172" spans="1:7" x14ac:dyDescent="0.2">
      <c r="A172" t="str">
        <f>_xlfn.CONCAT(Food_Original!A171," - ",Food_Original!B171)</f>
        <v xml:space="preserve"> - </v>
      </c>
      <c r="B172">
        <f>Food_Original!C171</f>
        <v>0</v>
      </c>
      <c r="C172">
        <f>Food_Original!D171</f>
        <v>0</v>
      </c>
      <c r="D172">
        <f>Food_Original!E171</f>
        <v>0</v>
      </c>
      <c r="E172">
        <f>Food_Original!F171</f>
        <v>0</v>
      </c>
      <c r="F172">
        <f>Food_Original!G171</f>
        <v>0</v>
      </c>
      <c r="G172">
        <f>Food_Original!H171</f>
        <v>0</v>
      </c>
    </row>
    <row r="173" spans="1:7" x14ac:dyDescent="0.2">
      <c r="A173" t="str">
        <f>_xlfn.CONCAT(Food_Original!A172," - ",Food_Original!B172)</f>
        <v xml:space="preserve"> - </v>
      </c>
      <c r="B173">
        <f>Food_Original!C172</f>
        <v>0</v>
      </c>
      <c r="C173">
        <f>Food_Original!D172</f>
        <v>0</v>
      </c>
      <c r="D173">
        <f>Food_Original!E172</f>
        <v>0</v>
      </c>
      <c r="E173">
        <f>Food_Original!F172</f>
        <v>0</v>
      </c>
      <c r="F173">
        <f>Food_Original!G172</f>
        <v>0</v>
      </c>
      <c r="G173">
        <f>Food_Original!H172</f>
        <v>0</v>
      </c>
    </row>
    <row r="174" spans="1:7" x14ac:dyDescent="0.2">
      <c r="A174" t="str">
        <f>_xlfn.CONCAT(Food_Original!A173," - ",Food_Original!B173)</f>
        <v xml:space="preserve"> - </v>
      </c>
      <c r="B174">
        <f>Food_Original!C173</f>
        <v>0</v>
      </c>
      <c r="C174">
        <f>Food_Original!D173</f>
        <v>0</v>
      </c>
      <c r="D174">
        <f>Food_Original!E173</f>
        <v>0</v>
      </c>
      <c r="E174">
        <f>Food_Original!F173</f>
        <v>0</v>
      </c>
      <c r="F174">
        <f>Food_Original!G173</f>
        <v>0</v>
      </c>
      <c r="G174">
        <f>Food_Original!H173</f>
        <v>0</v>
      </c>
    </row>
    <row r="175" spans="1:7" x14ac:dyDescent="0.2">
      <c r="A175" t="str">
        <f>_xlfn.CONCAT(Food_Original!A174," - ",Food_Original!B174)</f>
        <v xml:space="preserve"> - </v>
      </c>
      <c r="B175">
        <f>Food_Original!C174</f>
        <v>0</v>
      </c>
      <c r="C175">
        <f>Food_Original!D174</f>
        <v>0</v>
      </c>
      <c r="D175">
        <f>Food_Original!E174</f>
        <v>0</v>
      </c>
      <c r="E175">
        <f>Food_Original!F174</f>
        <v>0</v>
      </c>
      <c r="F175">
        <f>Food_Original!G174</f>
        <v>0</v>
      </c>
      <c r="G175">
        <f>Food_Original!H174</f>
        <v>0</v>
      </c>
    </row>
    <row r="176" spans="1:7" x14ac:dyDescent="0.2">
      <c r="A176" t="str">
        <f>_xlfn.CONCAT(Food_Original!A175," - ",Food_Original!B175)</f>
        <v xml:space="preserve"> - </v>
      </c>
      <c r="B176">
        <f>Food_Original!C175</f>
        <v>0</v>
      </c>
      <c r="C176">
        <f>Food_Original!D175</f>
        <v>0</v>
      </c>
      <c r="D176">
        <f>Food_Original!E175</f>
        <v>0</v>
      </c>
      <c r="E176">
        <f>Food_Original!F175</f>
        <v>0</v>
      </c>
      <c r="F176">
        <f>Food_Original!G175</f>
        <v>0</v>
      </c>
      <c r="G176">
        <f>Food_Original!H175</f>
        <v>0</v>
      </c>
    </row>
    <row r="177" spans="1:7" x14ac:dyDescent="0.2">
      <c r="A177" t="str">
        <f>_xlfn.CONCAT(Food_Original!A176," - ",Food_Original!B176)</f>
        <v xml:space="preserve"> - </v>
      </c>
      <c r="B177">
        <f>Food_Original!C176</f>
        <v>0</v>
      </c>
      <c r="C177">
        <f>Food_Original!D176</f>
        <v>0</v>
      </c>
      <c r="D177">
        <f>Food_Original!E176</f>
        <v>0</v>
      </c>
      <c r="E177">
        <f>Food_Original!F176</f>
        <v>0</v>
      </c>
      <c r="F177">
        <f>Food_Original!G176</f>
        <v>0</v>
      </c>
      <c r="G177">
        <f>Food_Original!H176</f>
        <v>0</v>
      </c>
    </row>
    <row r="178" spans="1:7" x14ac:dyDescent="0.2">
      <c r="A178" t="str">
        <f>_xlfn.CONCAT(Food_Original!A177," - ",Food_Original!B177)</f>
        <v xml:space="preserve"> - </v>
      </c>
      <c r="B178">
        <f>Food_Original!C177</f>
        <v>0</v>
      </c>
      <c r="C178">
        <f>Food_Original!D177</f>
        <v>0</v>
      </c>
      <c r="D178">
        <f>Food_Original!E177</f>
        <v>0</v>
      </c>
      <c r="E178">
        <f>Food_Original!F177</f>
        <v>0</v>
      </c>
      <c r="F178">
        <f>Food_Original!G177</f>
        <v>0</v>
      </c>
      <c r="G178">
        <f>Food_Original!H177</f>
        <v>0</v>
      </c>
    </row>
    <row r="179" spans="1:7" x14ac:dyDescent="0.2">
      <c r="A179" t="str">
        <f>_xlfn.CONCAT(Food_Original!A178," - ",Food_Original!B178)</f>
        <v xml:space="preserve"> - </v>
      </c>
      <c r="B179">
        <f>Food_Original!C178</f>
        <v>0</v>
      </c>
      <c r="C179">
        <f>Food_Original!D178</f>
        <v>0</v>
      </c>
      <c r="D179">
        <f>Food_Original!E178</f>
        <v>0</v>
      </c>
      <c r="E179">
        <f>Food_Original!F178</f>
        <v>0</v>
      </c>
      <c r="F179">
        <f>Food_Original!G178</f>
        <v>0</v>
      </c>
      <c r="G179">
        <f>Food_Original!H178</f>
        <v>0</v>
      </c>
    </row>
    <row r="180" spans="1:7" x14ac:dyDescent="0.2">
      <c r="A180" t="str">
        <f>_xlfn.CONCAT(Food_Original!A179," - ",Food_Original!B179)</f>
        <v xml:space="preserve"> - </v>
      </c>
      <c r="B180">
        <f>Food_Original!C179</f>
        <v>0</v>
      </c>
      <c r="C180">
        <f>Food_Original!D179</f>
        <v>0</v>
      </c>
      <c r="D180">
        <f>Food_Original!E179</f>
        <v>0</v>
      </c>
      <c r="E180">
        <f>Food_Original!F179</f>
        <v>0</v>
      </c>
      <c r="F180">
        <f>Food_Original!G179</f>
        <v>0</v>
      </c>
      <c r="G180">
        <f>Food_Original!H179</f>
        <v>0</v>
      </c>
    </row>
    <row r="181" spans="1:7" x14ac:dyDescent="0.2">
      <c r="A181" t="str">
        <f>_xlfn.CONCAT(Food_Original!A180," - ",Food_Original!B180)</f>
        <v xml:space="preserve"> - </v>
      </c>
      <c r="B181">
        <f>Food_Original!C180</f>
        <v>0</v>
      </c>
      <c r="C181">
        <f>Food_Original!D180</f>
        <v>0</v>
      </c>
      <c r="D181">
        <f>Food_Original!E180</f>
        <v>0</v>
      </c>
      <c r="E181">
        <f>Food_Original!F180</f>
        <v>0</v>
      </c>
      <c r="F181">
        <f>Food_Original!G180</f>
        <v>0</v>
      </c>
      <c r="G181">
        <f>Food_Original!H180</f>
        <v>0</v>
      </c>
    </row>
    <row r="182" spans="1:7" x14ac:dyDescent="0.2">
      <c r="A182" t="str">
        <f>_xlfn.CONCAT(Food_Original!A181," - ",Food_Original!B181)</f>
        <v xml:space="preserve"> - </v>
      </c>
      <c r="B182">
        <f>Food_Original!C181</f>
        <v>0</v>
      </c>
      <c r="C182">
        <f>Food_Original!D181</f>
        <v>0</v>
      </c>
      <c r="D182">
        <f>Food_Original!E181</f>
        <v>0</v>
      </c>
      <c r="E182">
        <f>Food_Original!F181</f>
        <v>0</v>
      </c>
      <c r="F182">
        <f>Food_Original!G181</f>
        <v>0</v>
      </c>
      <c r="G182">
        <f>Food_Original!H181</f>
        <v>0</v>
      </c>
    </row>
    <row r="183" spans="1:7" x14ac:dyDescent="0.2">
      <c r="A183" t="str">
        <f>_xlfn.CONCAT(Food_Original!A182," - ",Food_Original!B182)</f>
        <v xml:space="preserve"> - </v>
      </c>
      <c r="B183">
        <f>Food_Original!C182</f>
        <v>0</v>
      </c>
      <c r="C183">
        <f>Food_Original!D182</f>
        <v>0</v>
      </c>
      <c r="D183">
        <f>Food_Original!E182</f>
        <v>0</v>
      </c>
      <c r="E183">
        <f>Food_Original!F182</f>
        <v>0</v>
      </c>
      <c r="F183">
        <f>Food_Original!G182</f>
        <v>0</v>
      </c>
      <c r="G183">
        <f>Food_Original!H182</f>
        <v>0</v>
      </c>
    </row>
    <row r="184" spans="1:7" x14ac:dyDescent="0.2">
      <c r="A184" t="str">
        <f>_xlfn.CONCAT(Food_Original!A183," - ",Food_Original!B183)</f>
        <v xml:space="preserve"> - </v>
      </c>
      <c r="B184">
        <f>Food_Original!C183</f>
        <v>0</v>
      </c>
      <c r="C184">
        <f>Food_Original!D183</f>
        <v>0</v>
      </c>
      <c r="D184">
        <f>Food_Original!E183</f>
        <v>0</v>
      </c>
      <c r="E184">
        <f>Food_Original!F183</f>
        <v>0</v>
      </c>
      <c r="F184">
        <f>Food_Original!G183</f>
        <v>0</v>
      </c>
      <c r="G184">
        <f>Food_Original!H183</f>
        <v>0</v>
      </c>
    </row>
    <row r="185" spans="1:7" x14ac:dyDescent="0.2">
      <c r="A185" t="str">
        <f>_xlfn.CONCAT(Food_Original!A184," - ",Food_Original!B184)</f>
        <v xml:space="preserve"> - </v>
      </c>
      <c r="B185">
        <f>Food_Original!C184</f>
        <v>0</v>
      </c>
      <c r="C185">
        <f>Food_Original!D184</f>
        <v>0</v>
      </c>
      <c r="D185">
        <f>Food_Original!E184</f>
        <v>0</v>
      </c>
      <c r="E185">
        <f>Food_Original!F184</f>
        <v>0</v>
      </c>
      <c r="F185">
        <f>Food_Original!G184</f>
        <v>0</v>
      </c>
      <c r="G185">
        <f>Food_Original!H184</f>
        <v>0</v>
      </c>
    </row>
    <row r="186" spans="1:7" x14ac:dyDescent="0.2">
      <c r="A186" t="str">
        <f>_xlfn.CONCAT(Food_Original!A185," - ",Food_Original!B185)</f>
        <v xml:space="preserve"> - </v>
      </c>
      <c r="B186">
        <f>Food_Original!C185</f>
        <v>0</v>
      </c>
      <c r="C186">
        <f>Food_Original!D185</f>
        <v>0</v>
      </c>
      <c r="D186">
        <f>Food_Original!E185</f>
        <v>0</v>
      </c>
      <c r="E186">
        <f>Food_Original!F185</f>
        <v>0</v>
      </c>
      <c r="F186">
        <f>Food_Original!G185</f>
        <v>0</v>
      </c>
      <c r="G186">
        <f>Food_Original!H185</f>
        <v>0</v>
      </c>
    </row>
    <row r="187" spans="1:7" x14ac:dyDescent="0.2">
      <c r="A187" t="str">
        <f>_xlfn.CONCAT(Food_Original!A186," - ",Food_Original!B186)</f>
        <v xml:space="preserve"> - </v>
      </c>
      <c r="B187">
        <f>Food_Original!C186</f>
        <v>0</v>
      </c>
      <c r="C187">
        <f>Food_Original!D186</f>
        <v>0</v>
      </c>
      <c r="D187">
        <f>Food_Original!E186</f>
        <v>0</v>
      </c>
      <c r="E187">
        <f>Food_Original!F186</f>
        <v>0</v>
      </c>
      <c r="F187">
        <f>Food_Original!G186</f>
        <v>0</v>
      </c>
      <c r="G187">
        <f>Food_Original!H186</f>
        <v>0</v>
      </c>
    </row>
    <row r="188" spans="1:7" x14ac:dyDescent="0.2">
      <c r="A188" t="str">
        <f>_xlfn.CONCAT(Food_Original!A187," - ",Food_Original!B187)</f>
        <v xml:space="preserve"> - </v>
      </c>
      <c r="B188">
        <f>Food_Original!C187</f>
        <v>0</v>
      </c>
      <c r="C188">
        <f>Food_Original!D187</f>
        <v>0</v>
      </c>
      <c r="D188">
        <f>Food_Original!E187</f>
        <v>0</v>
      </c>
      <c r="E188">
        <f>Food_Original!F187</f>
        <v>0</v>
      </c>
      <c r="F188">
        <f>Food_Original!G187</f>
        <v>0</v>
      </c>
      <c r="G188">
        <f>Food_Original!H187</f>
        <v>0</v>
      </c>
    </row>
    <row r="189" spans="1:7" x14ac:dyDescent="0.2">
      <c r="A189" t="str">
        <f>_xlfn.CONCAT(Food_Original!A188," - ",Food_Original!B188)</f>
        <v xml:space="preserve"> - </v>
      </c>
      <c r="B189">
        <f>Food_Original!C188</f>
        <v>0</v>
      </c>
      <c r="C189">
        <f>Food_Original!D188</f>
        <v>0</v>
      </c>
      <c r="D189">
        <f>Food_Original!E188</f>
        <v>0</v>
      </c>
      <c r="E189">
        <f>Food_Original!F188</f>
        <v>0</v>
      </c>
      <c r="F189">
        <f>Food_Original!G188</f>
        <v>0</v>
      </c>
      <c r="G189">
        <f>Food_Original!H188</f>
        <v>0</v>
      </c>
    </row>
    <row r="190" spans="1:7" x14ac:dyDescent="0.2">
      <c r="A190" t="str">
        <f>_xlfn.CONCAT(Food_Original!A189," - ",Food_Original!B189)</f>
        <v xml:space="preserve"> - </v>
      </c>
      <c r="B190">
        <f>Food_Original!C189</f>
        <v>0</v>
      </c>
      <c r="C190">
        <f>Food_Original!D189</f>
        <v>0</v>
      </c>
      <c r="D190">
        <f>Food_Original!E189</f>
        <v>0</v>
      </c>
      <c r="E190">
        <f>Food_Original!F189</f>
        <v>0</v>
      </c>
      <c r="F190">
        <f>Food_Original!G189</f>
        <v>0</v>
      </c>
      <c r="G190">
        <f>Food_Original!H189</f>
        <v>0</v>
      </c>
    </row>
    <row r="191" spans="1:7" x14ac:dyDescent="0.2">
      <c r="A191" t="str">
        <f>_xlfn.CONCAT(Food_Original!A190," - ",Food_Original!B190)</f>
        <v xml:space="preserve"> - </v>
      </c>
      <c r="B191">
        <f>Food_Original!C190</f>
        <v>0</v>
      </c>
      <c r="C191">
        <f>Food_Original!D190</f>
        <v>0</v>
      </c>
      <c r="D191">
        <f>Food_Original!E190</f>
        <v>0</v>
      </c>
      <c r="E191">
        <f>Food_Original!F190</f>
        <v>0</v>
      </c>
      <c r="F191">
        <f>Food_Original!G190</f>
        <v>0</v>
      </c>
      <c r="G191">
        <f>Food_Original!H190</f>
        <v>0</v>
      </c>
    </row>
    <row r="192" spans="1:7" x14ac:dyDescent="0.2">
      <c r="A192" t="str">
        <f>_xlfn.CONCAT(Food_Original!A191," - ",Food_Original!B191)</f>
        <v xml:space="preserve"> - </v>
      </c>
      <c r="B192">
        <f>Food_Original!C191</f>
        <v>0</v>
      </c>
      <c r="C192">
        <f>Food_Original!D191</f>
        <v>0</v>
      </c>
      <c r="D192">
        <f>Food_Original!E191</f>
        <v>0</v>
      </c>
      <c r="E192">
        <f>Food_Original!F191</f>
        <v>0</v>
      </c>
      <c r="F192">
        <f>Food_Original!G191</f>
        <v>0</v>
      </c>
      <c r="G192">
        <f>Food_Original!H191</f>
        <v>0</v>
      </c>
    </row>
    <row r="193" spans="1:7" x14ac:dyDescent="0.2">
      <c r="A193" t="str">
        <f>_xlfn.CONCAT(Food_Original!A192," - ",Food_Original!B192)</f>
        <v xml:space="preserve"> - </v>
      </c>
      <c r="B193">
        <f>Food_Original!C192</f>
        <v>0</v>
      </c>
      <c r="C193">
        <f>Food_Original!D192</f>
        <v>0</v>
      </c>
      <c r="D193">
        <f>Food_Original!E192</f>
        <v>0</v>
      </c>
      <c r="E193">
        <f>Food_Original!F192</f>
        <v>0</v>
      </c>
      <c r="F193">
        <f>Food_Original!G192</f>
        <v>0</v>
      </c>
      <c r="G193">
        <f>Food_Original!H192</f>
        <v>0</v>
      </c>
    </row>
    <row r="194" spans="1:7" x14ac:dyDescent="0.2">
      <c r="A194" t="str">
        <f>_xlfn.CONCAT(Food_Original!A193," - ",Food_Original!B193)</f>
        <v xml:space="preserve"> - </v>
      </c>
      <c r="B194">
        <f>Food_Original!C193</f>
        <v>0</v>
      </c>
      <c r="C194">
        <f>Food_Original!D193</f>
        <v>0</v>
      </c>
      <c r="D194">
        <f>Food_Original!E193</f>
        <v>0</v>
      </c>
      <c r="E194">
        <f>Food_Original!F193</f>
        <v>0</v>
      </c>
      <c r="F194">
        <f>Food_Original!G193</f>
        <v>0</v>
      </c>
      <c r="G194">
        <f>Food_Original!H193</f>
        <v>0</v>
      </c>
    </row>
    <row r="195" spans="1:7" x14ac:dyDescent="0.2">
      <c r="A195" t="str">
        <f>_xlfn.CONCAT(Food_Original!A194," - ",Food_Original!B194)</f>
        <v xml:space="preserve"> - </v>
      </c>
      <c r="B195">
        <f>Food_Original!C194</f>
        <v>0</v>
      </c>
      <c r="C195">
        <f>Food_Original!D194</f>
        <v>0</v>
      </c>
      <c r="D195">
        <f>Food_Original!E194</f>
        <v>0</v>
      </c>
      <c r="E195">
        <f>Food_Original!F194</f>
        <v>0</v>
      </c>
      <c r="F195">
        <f>Food_Original!G194</f>
        <v>0</v>
      </c>
      <c r="G195">
        <f>Food_Original!H194</f>
        <v>0</v>
      </c>
    </row>
    <row r="196" spans="1:7" x14ac:dyDescent="0.2">
      <c r="A196" t="str">
        <f>_xlfn.CONCAT(Food_Original!A195," - ",Food_Original!B195)</f>
        <v xml:space="preserve"> - </v>
      </c>
      <c r="B196">
        <f>Food_Original!C195</f>
        <v>0</v>
      </c>
      <c r="C196">
        <f>Food_Original!D195</f>
        <v>0</v>
      </c>
      <c r="D196">
        <f>Food_Original!E195</f>
        <v>0</v>
      </c>
      <c r="E196">
        <f>Food_Original!F195</f>
        <v>0</v>
      </c>
      <c r="F196">
        <f>Food_Original!G195</f>
        <v>0</v>
      </c>
      <c r="G196">
        <f>Food_Original!H195</f>
        <v>0</v>
      </c>
    </row>
    <row r="197" spans="1:7" x14ac:dyDescent="0.2">
      <c r="A197" t="str">
        <f>_xlfn.CONCAT(Food_Original!A196," - ",Food_Original!B196)</f>
        <v xml:space="preserve"> - </v>
      </c>
      <c r="B197">
        <f>Food_Original!C196</f>
        <v>0</v>
      </c>
      <c r="C197">
        <f>Food_Original!D196</f>
        <v>0</v>
      </c>
      <c r="D197">
        <f>Food_Original!E196</f>
        <v>0</v>
      </c>
      <c r="E197">
        <f>Food_Original!F196</f>
        <v>0</v>
      </c>
      <c r="F197">
        <f>Food_Original!G196</f>
        <v>0</v>
      </c>
      <c r="G197">
        <f>Food_Original!H196</f>
        <v>0</v>
      </c>
    </row>
    <row r="198" spans="1:7" x14ac:dyDescent="0.2">
      <c r="A198" t="str">
        <f>_xlfn.CONCAT(Food_Original!A197," - ",Food_Original!B197)</f>
        <v xml:space="preserve"> - </v>
      </c>
      <c r="B198">
        <f>Food_Original!C197</f>
        <v>0</v>
      </c>
      <c r="C198">
        <f>Food_Original!D197</f>
        <v>0</v>
      </c>
      <c r="D198">
        <f>Food_Original!E197</f>
        <v>0</v>
      </c>
      <c r="E198">
        <f>Food_Original!F197</f>
        <v>0</v>
      </c>
      <c r="F198">
        <f>Food_Original!G197</f>
        <v>0</v>
      </c>
      <c r="G198">
        <f>Food_Original!H197</f>
        <v>0</v>
      </c>
    </row>
    <row r="199" spans="1:7" x14ac:dyDescent="0.2">
      <c r="A199" t="str">
        <f>_xlfn.CONCAT(Food_Original!A198," - ",Food_Original!B198)</f>
        <v xml:space="preserve"> - </v>
      </c>
      <c r="B199">
        <f>Food_Original!C198</f>
        <v>0</v>
      </c>
      <c r="C199">
        <f>Food_Original!D198</f>
        <v>0</v>
      </c>
      <c r="D199">
        <f>Food_Original!E198</f>
        <v>0</v>
      </c>
      <c r="E199">
        <f>Food_Original!F198</f>
        <v>0</v>
      </c>
      <c r="F199">
        <f>Food_Original!G198</f>
        <v>0</v>
      </c>
      <c r="G199">
        <f>Food_Original!H198</f>
        <v>0</v>
      </c>
    </row>
    <row r="200" spans="1:7" x14ac:dyDescent="0.2">
      <c r="A200" t="str">
        <f>_xlfn.CONCAT(Food_Original!A199," - ",Food_Original!B199)</f>
        <v xml:space="preserve"> - </v>
      </c>
      <c r="B200">
        <f>Food_Original!C199</f>
        <v>0</v>
      </c>
      <c r="C200">
        <f>Food_Original!D199</f>
        <v>0</v>
      </c>
      <c r="D200">
        <f>Food_Original!E199</f>
        <v>0</v>
      </c>
      <c r="E200">
        <f>Food_Original!F199</f>
        <v>0</v>
      </c>
      <c r="F200">
        <f>Food_Original!G199</f>
        <v>0</v>
      </c>
      <c r="G200">
        <f>Food_Original!H199</f>
        <v>0</v>
      </c>
    </row>
    <row r="201" spans="1:7" x14ac:dyDescent="0.2">
      <c r="A201" t="str">
        <f>_xlfn.CONCAT(Food_Original!A200," - ",Food_Original!B200)</f>
        <v xml:space="preserve"> - </v>
      </c>
      <c r="B201">
        <f>Food_Original!C200</f>
        <v>0</v>
      </c>
      <c r="C201">
        <f>Food_Original!D200</f>
        <v>0</v>
      </c>
      <c r="D201">
        <f>Food_Original!E200</f>
        <v>0</v>
      </c>
      <c r="E201">
        <f>Food_Original!F200</f>
        <v>0</v>
      </c>
      <c r="F201">
        <f>Food_Original!G200</f>
        <v>0</v>
      </c>
      <c r="G201">
        <f>Food_Original!H200</f>
        <v>0</v>
      </c>
    </row>
    <row r="202" spans="1:7" x14ac:dyDescent="0.2">
      <c r="A202" t="str">
        <f>_xlfn.CONCAT(Food_Original!A201," - ",Food_Original!B201)</f>
        <v xml:space="preserve"> - </v>
      </c>
      <c r="B202">
        <f>Food_Original!C201</f>
        <v>0</v>
      </c>
      <c r="C202">
        <f>Food_Original!D201</f>
        <v>0</v>
      </c>
      <c r="D202">
        <f>Food_Original!E201</f>
        <v>0</v>
      </c>
      <c r="E202">
        <f>Food_Original!F201</f>
        <v>0</v>
      </c>
      <c r="F202">
        <f>Food_Original!G201</f>
        <v>0</v>
      </c>
      <c r="G202">
        <f>Food_Original!H201</f>
        <v>0</v>
      </c>
    </row>
    <row r="203" spans="1:7" x14ac:dyDescent="0.2">
      <c r="A203" t="str">
        <f>_xlfn.CONCAT(Food_Original!A202," - ",Food_Original!B202)</f>
        <v xml:space="preserve"> - </v>
      </c>
      <c r="B203">
        <f>Food_Original!C202</f>
        <v>0</v>
      </c>
      <c r="C203">
        <f>Food_Original!D202</f>
        <v>0</v>
      </c>
      <c r="D203">
        <f>Food_Original!E202</f>
        <v>0</v>
      </c>
      <c r="E203">
        <f>Food_Original!F202</f>
        <v>0</v>
      </c>
      <c r="F203">
        <f>Food_Original!G202</f>
        <v>0</v>
      </c>
      <c r="G203">
        <f>Food_Original!H202</f>
        <v>0</v>
      </c>
    </row>
    <row r="204" spans="1:7" x14ac:dyDescent="0.2">
      <c r="A204" t="str">
        <f>_xlfn.CONCAT(Food_Original!A203," - ",Food_Original!B203)</f>
        <v xml:space="preserve"> - </v>
      </c>
      <c r="B204">
        <f>Food_Original!C203</f>
        <v>0</v>
      </c>
      <c r="C204">
        <f>Food_Original!D203</f>
        <v>0</v>
      </c>
      <c r="D204">
        <f>Food_Original!E203</f>
        <v>0</v>
      </c>
      <c r="E204">
        <f>Food_Original!F203</f>
        <v>0</v>
      </c>
      <c r="F204">
        <f>Food_Original!G203</f>
        <v>0</v>
      </c>
      <c r="G204">
        <f>Food_Original!H203</f>
        <v>0</v>
      </c>
    </row>
    <row r="205" spans="1:7" x14ac:dyDescent="0.2">
      <c r="A205" t="str">
        <f>_xlfn.CONCAT(Food_Original!A204," - ",Food_Original!B204)</f>
        <v xml:space="preserve"> - </v>
      </c>
      <c r="B205">
        <f>Food_Original!C204</f>
        <v>0</v>
      </c>
      <c r="C205">
        <f>Food_Original!D204</f>
        <v>0</v>
      </c>
      <c r="D205">
        <f>Food_Original!E204</f>
        <v>0</v>
      </c>
      <c r="E205">
        <f>Food_Original!F204</f>
        <v>0</v>
      </c>
      <c r="F205">
        <f>Food_Original!G204</f>
        <v>0</v>
      </c>
      <c r="G205">
        <f>Food_Original!H204</f>
        <v>0</v>
      </c>
    </row>
    <row r="206" spans="1:7" x14ac:dyDescent="0.2">
      <c r="A206" t="str">
        <f>_xlfn.CONCAT(Food_Original!A205," - ",Food_Original!B205)</f>
        <v xml:space="preserve"> - </v>
      </c>
      <c r="B206">
        <f>Food_Original!C205</f>
        <v>0</v>
      </c>
      <c r="C206">
        <f>Food_Original!D205</f>
        <v>0</v>
      </c>
      <c r="D206">
        <f>Food_Original!E205</f>
        <v>0</v>
      </c>
      <c r="E206">
        <f>Food_Original!F205</f>
        <v>0</v>
      </c>
      <c r="F206">
        <f>Food_Original!G205</f>
        <v>0</v>
      </c>
      <c r="G206">
        <f>Food_Original!H205</f>
        <v>0</v>
      </c>
    </row>
    <row r="207" spans="1:7" x14ac:dyDescent="0.2">
      <c r="A207" t="str">
        <f>_xlfn.CONCAT(Food_Original!A206," - ",Food_Original!B206)</f>
        <v xml:space="preserve"> - </v>
      </c>
      <c r="B207">
        <f>Food_Original!C206</f>
        <v>0</v>
      </c>
      <c r="C207">
        <f>Food_Original!D206</f>
        <v>0</v>
      </c>
      <c r="D207">
        <f>Food_Original!E206</f>
        <v>0</v>
      </c>
      <c r="E207">
        <f>Food_Original!F206</f>
        <v>0</v>
      </c>
      <c r="F207">
        <f>Food_Original!G206</f>
        <v>0</v>
      </c>
      <c r="G207">
        <f>Food_Original!H206</f>
        <v>0</v>
      </c>
    </row>
    <row r="208" spans="1:7" x14ac:dyDescent="0.2">
      <c r="A208" t="str">
        <f>_xlfn.CONCAT(Food_Original!A207," - ",Food_Original!B207)</f>
        <v xml:space="preserve"> - </v>
      </c>
      <c r="B208">
        <f>Food_Original!C207</f>
        <v>0</v>
      </c>
      <c r="C208">
        <f>Food_Original!D207</f>
        <v>0</v>
      </c>
      <c r="D208">
        <f>Food_Original!E207</f>
        <v>0</v>
      </c>
      <c r="E208">
        <f>Food_Original!F207</f>
        <v>0</v>
      </c>
      <c r="F208">
        <f>Food_Original!G207</f>
        <v>0</v>
      </c>
      <c r="G208">
        <f>Food_Original!H207</f>
        <v>0</v>
      </c>
    </row>
    <row r="209" spans="1:7" x14ac:dyDescent="0.2">
      <c r="A209" t="str">
        <f>_xlfn.CONCAT(Food_Original!A208," - ",Food_Original!B208)</f>
        <v xml:space="preserve"> - </v>
      </c>
      <c r="B209">
        <f>Food_Original!C208</f>
        <v>0</v>
      </c>
      <c r="C209">
        <f>Food_Original!D208</f>
        <v>0</v>
      </c>
      <c r="D209">
        <f>Food_Original!E208</f>
        <v>0</v>
      </c>
      <c r="E209">
        <f>Food_Original!F208</f>
        <v>0</v>
      </c>
      <c r="F209">
        <f>Food_Original!G208</f>
        <v>0</v>
      </c>
      <c r="G209">
        <f>Food_Original!H208</f>
        <v>0</v>
      </c>
    </row>
    <row r="210" spans="1:7" x14ac:dyDescent="0.2">
      <c r="A210" t="str">
        <f>_xlfn.CONCAT(Food_Original!A209," - ",Food_Original!B209)</f>
        <v xml:space="preserve"> - </v>
      </c>
      <c r="B210">
        <f>Food_Original!C209</f>
        <v>0</v>
      </c>
      <c r="C210">
        <f>Food_Original!D209</f>
        <v>0</v>
      </c>
      <c r="D210">
        <f>Food_Original!E209</f>
        <v>0</v>
      </c>
      <c r="E210">
        <f>Food_Original!F209</f>
        <v>0</v>
      </c>
      <c r="F210">
        <f>Food_Original!G209</f>
        <v>0</v>
      </c>
      <c r="G210">
        <f>Food_Original!H209</f>
        <v>0</v>
      </c>
    </row>
    <row r="211" spans="1:7" x14ac:dyDescent="0.2">
      <c r="A211" t="str">
        <f>_xlfn.CONCAT(Food_Original!A210," - ",Food_Original!B210)</f>
        <v xml:space="preserve"> - </v>
      </c>
      <c r="B211">
        <f>Food_Original!C210</f>
        <v>0</v>
      </c>
      <c r="C211">
        <f>Food_Original!D210</f>
        <v>0</v>
      </c>
      <c r="D211">
        <f>Food_Original!E210</f>
        <v>0</v>
      </c>
      <c r="E211">
        <f>Food_Original!F210</f>
        <v>0</v>
      </c>
      <c r="F211">
        <f>Food_Original!G210</f>
        <v>0</v>
      </c>
      <c r="G211">
        <f>Food_Original!H210</f>
        <v>0</v>
      </c>
    </row>
    <row r="212" spans="1:7" x14ac:dyDescent="0.2">
      <c r="A212" t="str">
        <f>_xlfn.CONCAT(Food_Original!A211," - ",Food_Original!B211)</f>
        <v xml:space="preserve"> - </v>
      </c>
      <c r="B212">
        <f>Food_Original!C211</f>
        <v>0</v>
      </c>
      <c r="C212">
        <f>Food_Original!D211</f>
        <v>0</v>
      </c>
      <c r="D212">
        <f>Food_Original!E211</f>
        <v>0</v>
      </c>
      <c r="E212">
        <f>Food_Original!F211</f>
        <v>0</v>
      </c>
      <c r="F212">
        <f>Food_Original!G211</f>
        <v>0</v>
      </c>
      <c r="G212">
        <f>Food_Original!H211</f>
        <v>0</v>
      </c>
    </row>
    <row r="213" spans="1:7" x14ac:dyDescent="0.2">
      <c r="A213" t="str">
        <f>_xlfn.CONCAT(Food_Original!A212," - ",Food_Original!B212)</f>
        <v xml:space="preserve"> - </v>
      </c>
      <c r="B213">
        <f>Food_Original!C212</f>
        <v>0</v>
      </c>
      <c r="C213">
        <f>Food_Original!D212</f>
        <v>0</v>
      </c>
      <c r="D213">
        <f>Food_Original!E212</f>
        <v>0</v>
      </c>
      <c r="E213">
        <f>Food_Original!F212</f>
        <v>0</v>
      </c>
      <c r="F213">
        <f>Food_Original!G212</f>
        <v>0</v>
      </c>
      <c r="G213">
        <f>Food_Original!H212</f>
        <v>0</v>
      </c>
    </row>
    <row r="214" spans="1:7" x14ac:dyDescent="0.2">
      <c r="A214" t="str">
        <f>_xlfn.CONCAT(Food_Original!A213," - ",Food_Original!B213)</f>
        <v xml:space="preserve"> - </v>
      </c>
      <c r="B214">
        <f>Food_Original!C213</f>
        <v>0</v>
      </c>
      <c r="C214">
        <f>Food_Original!D213</f>
        <v>0</v>
      </c>
      <c r="D214">
        <f>Food_Original!E213</f>
        <v>0</v>
      </c>
      <c r="E214">
        <f>Food_Original!F213</f>
        <v>0</v>
      </c>
      <c r="F214">
        <f>Food_Original!G213</f>
        <v>0</v>
      </c>
      <c r="G214">
        <f>Food_Original!H213</f>
        <v>0</v>
      </c>
    </row>
    <row r="215" spans="1:7" x14ac:dyDescent="0.2">
      <c r="A215" t="str">
        <f>_xlfn.CONCAT(Food_Original!A214," - ",Food_Original!B214)</f>
        <v xml:space="preserve"> - </v>
      </c>
      <c r="B215">
        <f>Food_Original!C214</f>
        <v>0</v>
      </c>
      <c r="C215">
        <f>Food_Original!D214</f>
        <v>0</v>
      </c>
      <c r="D215">
        <f>Food_Original!E214</f>
        <v>0</v>
      </c>
      <c r="E215">
        <f>Food_Original!F214</f>
        <v>0</v>
      </c>
      <c r="F215">
        <f>Food_Original!G214</f>
        <v>0</v>
      </c>
      <c r="G215">
        <f>Food_Original!H214</f>
        <v>0</v>
      </c>
    </row>
    <row r="216" spans="1:7" x14ac:dyDescent="0.2">
      <c r="A216" t="str">
        <f>_xlfn.CONCAT(Food_Original!A215," - ",Food_Original!B215)</f>
        <v xml:space="preserve"> - </v>
      </c>
      <c r="B216">
        <f>Food_Original!C215</f>
        <v>0</v>
      </c>
      <c r="C216">
        <f>Food_Original!D215</f>
        <v>0</v>
      </c>
      <c r="D216">
        <f>Food_Original!E215</f>
        <v>0</v>
      </c>
      <c r="E216">
        <f>Food_Original!F215</f>
        <v>0</v>
      </c>
      <c r="F216">
        <f>Food_Original!G215</f>
        <v>0</v>
      </c>
      <c r="G216">
        <f>Food_Original!H215</f>
        <v>0</v>
      </c>
    </row>
    <row r="217" spans="1:7" x14ac:dyDescent="0.2">
      <c r="A217" t="str">
        <f>_xlfn.CONCAT(Food_Original!A216," - ",Food_Original!B216)</f>
        <v xml:space="preserve"> - </v>
      </c>
      <c r="B217">
        <f>Food_Original!C216</f>
        <v>0</v>
      </c>
      <c r="C217">
        <f>Food_Original!D216</f>
        <v>0</v>
      </c>
      <c r="D217">
        <f>Food_Original!E216</f>
        <v>0</v>
      </c>
      <c r="E217">
        <f>Food_Original!F216</f>
        <v>0</v>
      </c>
      <c r="F217">
        <f>Food_Original!G216</f>
        <v>0</v>
      </c>
      <c r="G217">
        <f>Food_Original!H216</f>
        <v>0</v>
      </c>
    </row>
    <row r="218" spans="1:7" x14ac:dyDescent="0.2">
      <c r="A218" t="str">
        <f>_xlfn.CONCAT(Food_Original!A217," - ",Food_Original!B217)</f>
        <v xml:space="preserve"> - </v>
      </c>
      <c r="B218">
        <f>Food_Original!C217</f>
        <v>0</v>
      </c>
      <c r="C218">
        <f>Food_Original!D217</f>
        <v>0</v>
      </c>
      <c r="D218">
        <f>Food_Original!E217</f>
        <v>0</v>
      </c>
      <c r="E218">
        <f>Food_Original!F217</f>
        <v>0</v>
      </c>
      <c r="F218">
        <f>Food_Original!G217</f>
        <v>0</v>
      </c>
      <c r="G218">
        <f>Food_Original!H217</f>
        <v>0</v>
      </c>
    </row>
    <row r="219" spans="1:7" x14ac:dyDescent="0.2">
      <c r="A219" t="str">
        <f>_xlfn.CONCAT(Food_Original!A218," - ",Food_Original!B218)</f>
        <v xml:space="preserve"> - </v>
      </c>
      <c r="B219">
        <f>Food_Original!C218</f>
        <v>0</v>
      </c>
      <c r="C219">
        <f>Food_Original!D218</f>
        <v>0</v>
      </c>
      <c r="D219">
        <f>Food_Original!E218</f>
        <v>0</v>
      </c>
      <c r="E219">
        <f>Food_Original!F218</f>
        <v>0</v>
      </c>
      <c r="F219">
        <f>Food_Original!G218</f>
        <v>0</v>
      </c>
      <c r="G219">
        <f>Food_Original!H218</f>
        <v>0</v>
      </c>
    </row>
    <row r="220" spans="1:7" x14ac:dyDescent="0.2">
      <c r="A220" t="str">
        <f>_xlfn.CONCAT(Food_Original!A219," - ",Food_Original!B219)</f>
        <v xml:space="preserve"> - </v>
      </c>
      <c r="B220">
        <f>Food_Original!C219</f>
        <v>0</v>
      </c>
      <c r="C220">
        <f>Food_Original!D219</f>
        <v>0</v>
      </c>
      <c r="D220">
        <f>Food_Original!E219</f>
        <v>0</v>
      </c>
      <c r="E220">
        <f>Food_Original!F219</f>
        <v>0</v>
      </c>
      <c r="F220">
        <f>Food_Original!G219</f>
        <v>0</v>
      </c>
      <c r="G220">
        <f>Food_Original!H219</f>
        <v>0</v>
      </c>
    </row>
    <row r="221" spans="1:7" x14ac:dyDescent="0.2">
      <c r="A221" t="str">
        <f>_xlfn.CONCAT(Food_Original!A220," - ",Food_Original!B220)</f>
        <v xml:space="preserve"> - </v>
      </c>
      <c r="B221">
        <f>Food_Original!C220</f>
        <v>0</v>
      </c>
      <c r="C221">
        <f>Food_Original!D220</f>
        <v>0</v>
      </c>
      <c r="D221">
        <f>Food_Original!E220</f>
        <v>0</v>
      </c>
      <c r="E221">
        <f>Food_Original!F220</f>
        <v>0</v>
      </c>
      <c r="F221">
        <f>Food_Original!G220</f>
        <v>0</v>
      </c>
      <c r="G221">
        <f>Food_Original!H220</f>
        <v>0</v>
      </c>
    </row>
    <row r="222" spans="1:7" x14ac:dyDescent="0.2">
      <c r="A222" t="str">
        <f>_xlfn.CONCAT(Food_Original!A221," - ",Food_Original!B221)</f>
        <v xml:space="preserve"> - </v>
      </c>
      <c r="B222">
        <f>Food_Original!C221</f>
        <v>0</v>
      </c>
      <c r="C222">
        <f>Food_Original!D221</f>
        <v>0</v>
      </c>
      <c r="D222">
        <f>Food_Original!E221</f>
        <v>0</v>
      </c>
      <c r="E222">
        <f>Food_Original!F221</f>
        <v>0</v>
      </c>
      <c r="F222">
        <f>Food_Original!G221</f>
        <v>0</v>
      </c>
      <c r="G222">
        <f>Food_Original!H221</f>
        <v>0</v>
      </c>
    </row>
    <row r="223" spans="1:7" x14ac:dyDescent="0.2">
      <c r="A223" t="str">
        <f>_xlfn.CONCAT(Food_Original!A222," - ",Food_Original!B222)</f>
        <v xml:space="preserve"> - </v>
      </c>
      <c r="B223">
        <f>Food_Original!C222</f>
        <v>0</v>
      </c>
      <c r="C223">
        <f>Food_Original!D222</f>
        <v>0</v>
      </c>
      <c r="D223">
        <f>Food_Original!E222</f>
        <v>0</v>
      </c>
      <c r="E223">
        <f>Food_Original!F222</f>
        <v>0</v>
      </c>
      <c r="F223">
        <f>Food_Original!G222</f>
        <v>0</v>
      </c>
      <c r="G223">
        <f>Food_Original!H222</f>
        <v>0</v>
      </c>
    </row>
    <row r="224" spans="1:7" x14ac:dyDescent="0.2">
      <c r="A224" t="str">
        <f>_xlfn.CONCAT(Food_Original!A223," - ",Food_Original!B223)</f>
        <v xml:space="preserve"> - </v>
      </c>
      <c r="B224">
        <f>Food_Original!C223</f>
        <v>0</v>
      </c>
      <c r="C224">
        <f>Food_Original!D223</f>
        <v>0</v>
      </c>
      <c r="D224">
        <f>Food_Original!E223</f>
        <v>0</v>
      </c>
      <c r="E224">
        <f>Food_Original!F223</f>
        <v>0</v>
      </c>
      <c r="F224">
        <f>Food_Original!G223</f>
        <v>0</v>
      </c>
      <c r="G224">
        <f>Food_Original!H223</f>
        <v>0</v>
      </c>
    </row>
    <row r="225" spans="1:7" x14ac:dyDescent="0.2">
      <c r="A225" t="str">
        <f>_xlfn.CONCAT(Food_Original!A224," - ",Food_Original!B224)</f>
        <v xml:space="preserve"> - </v>
      </c>
      <c r="B225">
        <f>Food_Original!C224</f>
        <v>0</v>
      </c>
      <c r="C225">
        <f>Food_Original!D224</f>
        <v>0</v>
      </c>
      <c r="D225">
        <f>Food_Original!E224</f>
        <v>0</v>
      </c>
      <c r="E225">
        <f>Food_Original!F224</f>
        <v>0</v>
      </c>
      <c r="F225">
        <f>Food_Original!G224</f>
        <v>0</v>
      </c>
      <c r="G225">
        <f>Food_Original!H224</f>
        <v>0</v>
      </c>
    </row>
    <row r="226" spans="1:7" x14ac:dyDescent="0.2">
      <c r="A226" t="str">
        <f>_xlfn.CONCAT(Food_Original!A225," - ",Food_Original!B225)</f>
        <v xml:space="preserve"> - </v>
      </c>
      <c r="B226">
        <f>Food_Original!C225</f>
        <v>0</v>
      </c>
      <c r="C226">
        <f>Food_Original!D225</f>
        <v>0</v>
      </c>
      <c r="D226">
        <f>Food_Original!E225</f>
        <v>0</v>
      </c>
      <c r="E226">
        <f>Food_Original!F225</f>
        <v>0</v>
      </c>
      <c r="F226">
        <f>Food_Original!G225</f>
        <v>0</v>
      </c>
      <c r="G226">
        <f>Food_Original!H225</f>
        <v>0</v>
      </c>
    </row>
    <row r="227" spans="1:7" x14ac:dyDescent="0.2">
      <c r="A227" t="str">
        <f>_xlfn.CONCAT(Food_Original!A226," - ",Food_Original!B226)</f>
        <v xml:space="preserve"> - </v>
      </c>
      <c r="B227">
        <f>Food_Original!C226</f>
        <v>0</v>
      </c>
      <c r="C227">
        <f>Food_Original!D226</f>
        <v>0</v>
      </c>
      <c r="D227">
        <f>Food_Original!E226</f>
        <v>0</v>
      </c>
      <c r="E227">
        <f>Food_Original!F226</f>
        <v>0</v>
      </c>
      <c r="F227">
        <f>Food_Original!G226</f>
        <v>0</v>
      </c>
      <c r="G227">
        <f>Food_Original!H226</f>
        <v>0</v>
      </c>
    </row>
    <row r="228" spans="1:7" x14ac:dyDescent="0.2">
      <c r="A228" t="str">
        <f>_xlfn.CONCAT(Food_Original!A227," - ",Food_Original!B227)</f>
        <v xml:space="preserve"> - </v>
      </c>
      <c r="B228">
        <f>Food_Original!C227</f>
        <v>0</v>
      </c>
      <c r="C228">
        <f>Food_Original!D227</f>
        <v>0</v>
      </c>
      <c r="D228">
        <f>Food_Original!E227</f>
        <v>0</v>
      </c>
      <c r="E228">
        <f>Food_Original!F227</f>
        <v>0</v>
      </c>
      <c r="F228">
        <f>Food_Original!G227</f>
        <v>0</v>
      </c>
      <c r="G228">
        <f>Food_Original!H227</f>
        <v>0</v>
      </c>
    </row>
    <row r="229" spans="1:7" x14ac:dyDescent="0.2">
      <c r="A229" t="str">
        <f>_xlfn.CONCAT(Food_Original!A228," - ",Food_Original!B228)</f>
        <v xml:space="preserve"> - </v>
      </c>
      <c r="B229">
        <f>Food_Original!C228</f>
        <v>0</v>
      </c>
      <c r="C229">
        <f>Food_Original!D228</f>
        <v>0</v>
      </c>
      <c r="D229">
        <f>Food_Original!E228</f>
        <v>0</v>
      </c>
      <c r="E229">
        <f>Food_Original!F228</f>
        <v>0</v>
      </c>
      <c r="F229">
        <f>Food_Original!G228</f>
        <v>0</v>
      </c>
      <c r="G229">
        <f>Food_Original!H228</f>
        <v>0</v>
      </c>
    </row>
    <row r="230" spans="1:7" x14ac:dyDescent="0.2">
      <c r="A230" t="str">
        <f>_xlfn.CONCAT(Food_Original!A229," - ",Food_Original!B229)</f>
        <v xml:space="preserve"> - </v>
      </c>
      <c r="B230">
        <f>Food_Original!C229</f>
        <v>0</v>
      </c>
      <c r="C230">
        <f>Food_Original!D229</f>
        <v>0</v>
      </c>
      <c r="D230">
        <f>Food_Original!E229</f>
        <v>0</v>
      </c>
      <c r="E230">
        <f>Food_Original!F229</f>
        <v>0</v>
      </c>
      <c r="F230">
        <f>Food_Original!G229</f>
        <v>0</v>
      </c>
      <c r="G230">
        <f>Food_Original!H229</f>
        <v>0</v>
      </c>
    </row>
    <row r="231" spans="1:7" x14ac:dyDescent="0.2">
      <c r="A231" t="str">
        <f>_xlfn.CONCAT(Food_Original!A230," - ",Food_Original!B230)</f>
        <v xml:space="preserve"> - </v>
      </c>
      <c r="B231">
        <f>Food_Original!C230</f>
        <v>0</v>
      </c>
      <c r="C231">
        <f>Food_Original!D230</f>
        <v>0</v>
      </c>
      <c r="D231">
        <f>Food_Original!E230</f>
        <v>0</v>
      </c>
      <c r="E231">
        <f>Food_Original!F230</f>
        <v>0</v>
      </c>
      <c r="F231">
        <f>Food_Original!G230</f>
        <v>0</v>
      </c>
      <c r="G231">
        <f>Food_Original!H230</f>
        <v>0</v>
      </c>
    </row>
    <row r="232" spans="1:7" x14ac:dyDescent="0.2">
      <c r="A232" t="str">
        <f>_xlfn.CONCAT(Food_Original!A231," - ",Food_Original!B231)</f>
        <v xml:space="preserve"> - </v>
      </c>
      <c r="B232">
        <f>Food_Original!C231</f>
        <v>0</v>
      </c>
      <c r="C232">
        <f>Food_Original!D231</f>
        <v>0</v>
      </c>
      <c r="D232">
        <f>Food_Original!E231</f>
        <v>0</v>
      </c>
      <c r="E232">
        <f>Food_Original!F231</f>
        <v>0</v>
      </c>
      <c r="F232">
        <f>Food_Original!G231</f>
        <v>0</v>
      </c>
      <c r="G232">
        <f>Food_Original!H231</f>
        <v>0</v>
      </c>
    </row>
    <row r="233" spans="1:7" x14ac:dyDescent="0.2">
      <c r="A233" t="str">
        <f>_xlfn.CONCAT(Food_Original!A232," - ",Food_Original!B232)</f>
        <v xml:space="preserve"> - </v>
      </c>
      <c r="B233">
        <f>Food_Original!C232</f>
        <v>0</v>
      </c>
      <c r="C233">
        <f>Food_Original!D232</f>
        <v>0</v>
      </c>
      <c r="D233">
        <f>Food_Original!E232</f>
        <v>0</v>
      </c>
      <c r="E233">
        <f>Food_Original!F232</f>
        <v>0</v>
      </c>
      <c r="F233">
        <f>Food_Original!G232</f>
        <v>0</v>
      </c>
      <c r="G233">
        <f>Food_Original!H232</f>
        <v>0</v>
      </c>
    </row>
    <row r="234" spans="1:7" x14ac:dyDescent="0.2">
      <c r="A234" t="str">
        <f>_xlfn.CONCAT(Food_Original!A233," - ",Food_Original!B233)</f>
        <v xml:space="preserve"> - </v>
      </c>
      <c r="B234">
        <f>Food_Original!C233</f>
        <v>0</v>
      </c>
      <c r="C234">
        <f>Food_Original!D233</f>
        <v>0</v>
      </c>
      <c r="D234">
        <f>Food_Original!E233</f>
        <v>0</v>
      </c>
      <c r="E234">
        <f>Food_Original!F233</f>
        <v>0</v>
      </c>
      <c r="F234">
        <f>Food_Original!G233</f>
        <v>0</v>
      </c>
      <c r="G234">
        <f>Food_Original!H233</f>
        <v>0</v>
      </c>
    </row>
    <row r="235" spans="1:7" x14ac:dyDescent="0.2">
      <c r="A235" t="str">
        <f>_xlfn.CONCAT(Food_Original!A234," - ",Food_Original!B234)</f>
        <v xml:space="preserve"> - </v>
      </c>
      <c r="B235">
        <f>Food_Original!C234</f>
        <v>0</v>
      </c>
      <c r="C235">
        <f>Food_Original!D234</f>
        <v>0</v>
      </c>
      <c r="D235">
        <f>Food_Original!E234</f>
        <v>0</v>
      </c>
      <c r="E235">
        <f>Food_Original!F234</f>
        <v>0</v>
      </c>
      <c r="F235">
        <f>Food_Original!G234</f>
        <v>0</v>
      </c>
      <c r="G235">
        <f>Food_Original!H234</f>
        <v>0</v>
      </c>
    </row>
    <row r="236" spans="1:7" x14ac:dyDescent="0.2">
      <c r="A236" t="str">
        <f>_xlfn.CONCAT(Food_Original!A235," - ",Food_Original!B235)</f>
        <v xml:space="preserve"> - </v>
      </c>
      <c r="B236">
        <f>Food_Original!C235</f>
        <v>0</v>
      </c>
      <c r="C236">
        <f>Food_Original!D235</f>
        <v>0</v>
      </c>
      <c r="D236">
        <f>Food_Original!E235</f>
        <v>0</v>
      </c>
      <c r="E236">
        <f>Food_Original!F235</f>
        <v>0</v>
      </c>
      <c r="F236">
        <f>Food_Original!G235</f>
        <v>0</v>
      </c>
      <c r="G236">
        <f>Food_Original!H235</f>
        <v>0</v>
      </c>
    </row>
    <row r="237" spans="1:7" x14ac:dyDescent="0.2">
      <c r="A237" t="str">
        <f>_xlfn.CONCAT(Food_Original!A236," - ",Food_Original!B236)</f>
        <v xml:space="preserve"> - </v>
      </c>
      <c r="B237">
        <f>Food_Original!C236</f>
        <v>0</v>
      </c>
      <c r="C237">
        <f>Food_Original!D236</f>
        <v>0</v>
      </c>
      <c r="D237">
        <f>Food_Original!E236</f>
        <v>0</v>
      </c>
      <c r="E237">
        <f>Food_Original!F236</f>
        <v>0</v>
      </c>
      <c r="F237">
        <f>Food_Original!G236</f>
        <v>0</v>
      </c>
      <c r="G237">
        <f>Food_Original!H236</f>
        <v>0</v>
      </c>
    </row>
    <row r="238" spans="1:7" x14ac:dyDescent="0.2">
      <c r="A238" t="str">
        <f>_xlfn.CONCAT(Food_Original!A237," - ",Food_Original!B237)</f>
        <v xml:space="preserve"> - </v>
      </c>
      <c r="B238">
        <f>Food_Original!C237</f>
        <v>0</v>
      </c>
      <c r="C238">
        <f>Food_Original!D237</f>
        <v>0</v>
      </c>
      <c r="D238">
        <f>Food_Original!E237</f>
        <v>0</v>
      </c>
      <c r="E238">
        <f>Food_Original!F237</f>
        <v>0</v>
      </c>
      <c r="F238">
        <f>Food_Original!G237</f>
        <v>0</v>
      </c>
      <c r="G238">
        <f>Food_Original!H237</f>
        <v>0</v>
      </c>
    </row>
    <row r="239" spans="1:7" x14ac:dyDescent="0.2">
      <c r="A239" t="str">
        <f>_xlfn.CONCAT(Food_Original!A238," - ",Food_Original!B238)</f>
        <v xml:space="preserve"> - </v>
      </c>
      <c r="B239">
        <f>Food_Original!C238</f>
        <v>0</v>
      </c>
      <c r="C239">
        <f>Food_Original!D238</f>
        <v>0</v>
      </c>
      <c r="D239">
        <f>Food_Original!E238</f>
        <v>0</v>
      </c>
      <c r="E239">
        <f>Food_Original!F238</f>
        <v>0</v>
      </c>
      <c r="F239">
        <f>Food_Original!G238</f>
        <v>0</v>
      </c>
      <c r="G239">
        <f>Food_Original!H238</f>
        <v>0</v>
      </c>
    </row>
    <row r="240" spans="1:7" x14ac:dyDescent="0.2">
      <c r="A240" t="str">
        <f>_xlfn.CONCAT(Food_Original!A239," - ",Food_Original!B239)</f>
        <v xml:space="preserve"> - </v>
      </c>
      <c r="B240">
        <f>Food_Original!C239</f>
        <v>0</v>
      </c>
      <c r="C240">
        <f>Food_Original!D239</f>
        <v>0</v>
      </c>
      <c r="D240">
        <f>Food_Original!E239</f>
        <v>0</v>
      </c>
      <c r="E240">
        <f>Food_Original!F239</f>
        <v>0</v>
      </c>
      <c r="F240">
        <f>Food_Original!G239</f>
        <v>0</v>
      </c>
      <c r="G240">
        <f>Food_Original!H239</f>
        <v>0</v>
      </c>
    </row>
    <row r="241" spans="1:7" x14ac:dyDescent="0.2">
      <c r="A241" t="str">
        <f>_xlfn.CONCAT(Food_Original!A240," - ",Food_Original!B240)</f>
        <v xml:space="preserve"> - </v>
      </c>
      <c r="B241">
        <f>Food_Original!C240</f>
        <v>0</v>
      </c>
      <c r="C241">
        <f>Food_Original!D240</f>
        <v>0</v>
      </c>
      <c r="D241">
        <f>Food_Original!E240</f>
        <v>0</v>
      </c>
      <c r="E241">
        <f>Food_Original!F240</f>
        <v>0</v>
      </c>
      <c r="F241">
        <f>Food_Original!G240</f>
        <v>0</v>
      </c>
      <c r="G241">
        <f>Food_Original!H240</f>
        <v>0</v>
      </c>
    </row>
    <row r="242" spans="1:7" x14ac:dyDescent="0.2">
      <c r="A242" t="str">
        <f>_xlfn.CONCAT(Food_Original!A241," - ",Food_Original!B241)</f>
        <v xml:space="preserve"> - </v>
      </c>
      <c r="B242">
        <f>Food_Original!C241</f>
        <v>0</v>
      </c>
      <c r="C242">
        <f>Food_Original!D241</f>
        <v>0</v>
      </c>
      <c r="D242">
        <f>Food_Original!E241</f>
        <v>0</v>
      </c>
      <c r="E242">
        <f>Food_Original!F241</f>
        <v>0</v>
      </c>
      <c r="F242">
        <f>Food_Original!G241</f>
        <v>0</v>
      </c>
      <c r="G242">
        <f>Food_Original!H241</f>
        <v>0</v>
      </c>
    </row>
    <row r="243" spans="1:7" x14ac:dyDescent="0.2">
      <c r="A243" t="str">
        <f>_xlfn.CONCAT(Food_Original!A242," - ",Food_Original!B242)</f>
        <v xml:space="preserve"> - </v>
      </c>
      <c r="B243">
        <f>Food_Original!C242</f>
        <v>0</v>
      </c>
      <c r="C243">
        <f>Food_Original!D242</f>
        <v>0</v>
      </c>
      <c r="D243">
        <f>Food_Original!E242</f>
        <v>0</v>
      </c>
      <c r="E243">
        <f>Food_Original!F242</f>
        <v>0</v>
      </c>
      <c r="F243">
        <f>Food_Original!G242</f>
        <v>0</v>
      </c>
      <c r="G243">
        <f>Food_Original!H242</f>
        <v>0</v>
      </c>
    </row>
    <row r="244" spans="1:7" x14ac:dyDescent="0.2">
      <c r="A244" t="str">
        <f>_xlfn.CONCAT(Food_Original!A243," - ",Food_Original!B243)</f>
        <v xml:space="preserve"> - </v>
      </c>
      <c r="B244">
        <f>Food_Original!C243</f>
        <v>0</v>
      </c>
      <c r="C244">
        <f>Food_Original!D243</f>
        <v>0</v>
      </c>
      <c r="D244">
        <f>Food_Original!E243</f>
        <v>0</v>
      </c>
      <c r="E244">
        <f>Food_Original!F243</f>
        <v>0</v>
      </c>
      <c r="F244">
        <f>Food_Original!G243</f>
        <v>0</v>
      </c>
      <c r="G244">
        <f>Food_Original!H243</f>
        <v>0</v>
      </c>
    </row>
    <row r="245" spans="1:7" x14ac:dyDescent="0.2">
      <c r="A245" t="str">
        <f>_xlfn.CONCAT(Food_Original!A244," - ",Food_Original!B244)</f>
        <v xml:space="preserve"> - </v>
      </c>
      <c r="B245">
        <f>Food_Original!C244</f>
        <v>0</v>
      </c>
      <c r="C245">
        <f>Food_Original!D244</f>
        <v>0</v>
      </c>
      <c r="D245">
        <f>Food_Original!E244</f>
        <v>0</v>
      </c>
      <c r="E245">
        <f>Food_Original!F244</f>
        <v>0</v>
      </c>
      <c r="F245">
        <f>Food_Original!G244</f>
        <v>0</v>
      </c>
      <c r="G245">
        <f>Food_Original!H244</f>
        <v>0</v>
      </c>
    </row>
    <row r="246" spans="1:7" x14ac:dyDescent="0.2">
      <c r="A246" t="str">
        <f>_xlfn.CONCAT(Food_Original!A245," - ",Food_Original!B245)</f>
        <v xml:space="preserve"> - </v>
      </c>
      <c r="B246">
        <f>Food_Original!C245</f>
        <v>0</v>
      </c>
      <c r="C246">
        <f>Food_Original!D245</f>
        <v>0</v>
      </c>
      <c r="D246">
        <f>Food_Original!E245</f>
        <v>0</v>
      </c>
      <c r="E246">
        <f>Food_Original!F245</f>
        <v>0</v>
      </c>
      <c r="F246">
        <f>Food_Original!G245</f>
        <v>0</v>
      </c>
      <c r="G246">
        <f>Food_Original!H245</f>
        <v>0</v>
      </c>
    </row>
    <row r="247" spans="1:7" x14ac:dyDescent="0.2">
      <c r="A247" t="str">
        <f>_xlfn.CONCAT(Food_Original!A246," - ",Food_Original!B246)</f>
        <v xml:space="preserve"> - </v>
      </c>
      <c r="B247">
        <f>Food_Original!C246</f>
        <v>0</v>
      </c>
      <c r="C247">
        <f>Food_Original!D246</f>
        <v>0</v>
      </c>
      <c r="D247">
        <f>Food_Original!E246</f>
        <v>0</v>
      </c>
      <c r="E247">
        <f>Food_Original!F246</f>
        <v>0</v>
      </c>
      <c r="F247">
        <f>Food_Original!G246</f>
        <v>0</v>
      </c>
      <c r="G247">
        <f>Food_Original!H246</f>
        <v>0</v>
      </c>
    </row>
    <row r="248" spans="1:7" x14ac:dyDescent="0.2">
      <c r="A248" t="str">
        <f>_xlfn.CONCAT(Food_Original!A247," - ",Food_Original!B247)</f>
        <v xml:space="preserve"> - </v>
      </c>
      <c r="B248">
        <f>Food_Original!C247</f>
        <v>0</v>
      </c>
      <c r="C248">
        <f>Food_Original!D247</f>
        <v>0</v>
      </c>
      <c r="D248">
        <f>Food_Original!E247</f>
        <v>0</v>
      </c>
      <c r="E248">
        <f>Food_Original!F247</f>
        <v>0</v>
      </c>
      <c r="F248">
        <f>Food_Original!G247</f>
        <v>0</v>
      </c>
      <c r="G248">
        <f>Food_Original!H247</f>
        <v>0</v>
      </c>
    </row>
    <row r="249" spans="1:7" x14ac:dyDescent="0.2">
      <c r="A249" t="str">
        <f>_xlfn.CONCAT(Food_Original!A248," - ",Food_Original!B248)</f>
        <v xml:space="preserve"> - </v>
      </c>
      <c r="B249">
        <f>Food_Original!C248</f>
        <v>0</v>
      </c>
      <c r="C249">
        <f>Food_Original!D248</f>
        <v>0</v>
      </c>
      <c r="D249">
        <f>Food_Original!E248</f>
        <v>0</v>
      </c>
      <c r="E249">
        <f>Food_Original!F248</f>
        <v>0</v>
      </c>
      <c r="F249">
        <f>Food_Original!G248</f>
        <v>0</v>
      </c>
      <c r="G249">
        <f>Food_Original!H248</f>
        <v>0</v>
      </c>
    </row>
    <row r="250" spans="1:7" x14ac:dyDescent="0.2">
      <c r="A250" t="str">
        <f>_xlfn.CONCAT(Food_Original!A249," - ",Food_Original!B249)</f>
        <v xml:space="preserve"> - </v>
      </c>
      <c r="B250">
        <f>Food_Original!C249</f>
        <v>0</v>
      </c>
      <c r="C250">
        <f>Food_Original!D249</f>
        <v>0</v>
      </c>
      <c r="D250">
        <f>Food_Original!E249</f>
        <v>0</v>
      </c>
      <c r="E250">
        <f>Food_Original!F249</f>
        <v>0</v>
      </c>
      <c r="F250">
        <f>Food_Original!G249</f>
        <v>0</v>
      </c>
      <c r="G250">
        <f>Food_Original!H249</f>
        <v>0</v>
      </c>
    </row>
    <row r="251" spans="1:7" x14ac:dyDescent="0.2">
      <c r="A251" t="str">
        <f>_xlfn.CONCAT(Food_Original!A250," - ",Food_Original!B250)</f>
        <v xml:space="preserve"> - </v>
      </c>
      <c r="B251">
        <f>Food_Original!C250</f>
        <v>0</v>
      </c>
      <c r="C251">
        <f>Food_Original!D250</f>
        <v>0</v>
      </c>
      <c r="D251">
        <f>Food_Original!E250</f>
        <v>0</v>
      </c>
      <c r="E251">
        <f>Food_Original!F250</f>
        <v>0</v>
      </c>
      <c r="F251">
        <f>Food_Original!G250</f>
        <v>0</v>
      </c>
      <c r="G251">
        <f>Food_Original!H250</f>
        <v>0</v>
      </c>
    </row>
    <row r="252" spans="1:7" x14ac:dyDescent="0.2">
      <c r="A252" t="str">
        <f>_xlfn.CONCAT(Food_Original!A251," - ",Food_Original!B251)</f>
        <v xml:space="preserve"> - </v>
      </c>
      <c r="B252">
        <f>Food_Original!C251</f>
        <v>0</v>
      </c>
      <c r="C252">
        <f>Food_Original!D251</f>
        <v>0</v>
      </c>
      <c r="D252">
        <f>Food_Original!E251</f>
        <v>0</v>
      </c>
      <c r="E252">
        <f>Food_Original!F251</f>
        <v>0</v>
      </c>
      <c r="F252">
        <f>Food_Original!G251</f>
        <v>0</v>
      </c>
      <c r="G252">
        <f>Food_Original!H251</f>
        <v>0</v>
      </c>
    </row>
    <row r="253" spans="1:7" x14ac:dyDescent="0.2">
      <c r="A253" t="str">
        <f>_xlfn.CONCAT(Food_Original!A252," - ",Food_Original!B252)</f>
        <v xml:space="preserve"> - </v>
      </c>
      <c r="B253">
        <f>Food_Original!C252</f>
        <v>0</v>
      </c>
      <c r="C253">
        <f>Food_Original!D252</f>
        <v>0</v>
      </c>
      <c r="D253">
        <f>Food_Original!E252</f>
        <v>0</v>
      </c>
      <c r="E253">
        <f>Food_Original!F252</f>
        <v>0</v>
      </c>
      <c r="F253">
        <f>Food_Original!G252</f>
        <v>0</v>
      </c>
      <c r="G253">
        <f>Food_Original!H252</f>
        <v>0</v>
      </c>
    </row>
    <row r="254" spans="1:7" x14ac:dyDescent="0.2">
      <c r="A254" t="str">
        <f>_xlfn.CONCAT(Food_Original!A253," - ",Food_Original!B253)</f>
        <v xml:space="preserve"> - </v>
      </c>
      <c r="B254">
        <f>Food_Original!C253</f>
        <v>0</v>
      </c>
      <c r="C254">
        <f>Food_Original!D253</f>
        <v>0</v>
      </c>
      <c r="D254">
        <f>Food_Original!E253</f>
        <v>0</v>
      </c>
      <c r="E254">
        <f>Food_Original!F253</f>
        <v>0</v>
      </c>
      <c r="F254">
        <f>Food_Original!G253</f>
        <v>0</v>
      </c>
      <c r="G254">
        <f>Food_Original!H253</f>
        <v>0</v>
      </c>
    </row>
    <row r="255" spans="1:7" x14ac:dyDescent="0.2">
      <c r="A255" t="str">
        <f>_xlfn.CONCAT(Food_Original!A254," - ",Food_Original!B254)</f>
        <v xml:space="preserve"> - </v>
      </c>
      <c r="B255">
        <f>Food_Original!C254</f>
        <v>0</v>
      </c>
      <c r="C255">
        <f>Food_Original!D254</f>
        <v>0</v>
      </c>
      <c r="D255">
        <f>Food_Original!E254</f>
        <v>0</v>
      </c>
      <c r="E255">
        <f>Food_Original!F254</f>
        <v>0</v>
      </c>
      <c r="F255">
        <f>Food_Original!G254</f>
        <v>0</v>
      </c>
      <c r="G255">
        <f>Food_Original!H254</f>
        <v>0</v>
      </c>
    </row>
    <row r="256" spans="1:7" x14ac:dyDescent="0.2">
      <c r="A256" t="str">
        <f>_xlfn.CONCAT(Food_Original!A255," - ",Food_Original!B255)</f>
        <v xml:space="preserve"> - </v>
      </c>
      <c r="B256">
        <f>Food_Original!C255</f>
        <v>0</v>
      </c>
      <c r="C256">
        <f>Food_Original!D255</f>
        <v>0</v>
      </c>
      <c r="D256">
        <f>Food_Original!E255</f>
        <v>0</v>
      </c>
      <c r="E256">
        <f>Food_Original!F255</f>
        <v>0</v>
      </c>
      <c r="F256">
        <f>Food_Original!G255</f>
        <v>0</v>
      </c>
      <c r="G256">
        <f>Food_Original!H255</f>
        <v>0</v>
      </c>
    </row>
    <row r="257" spans="1:7" x14ac:dyDescent="0.2">
      <c r="A257" t="str">
        <f>_xlfn.CONCAT(Food_Original!A256," - ",Food_Original!B256)</f>
        <v xml:space="preserve"> - </v>
      </c>
      <c r="B257">
        <f>Food_Original!C256</f>
        <v>0</v>
      </c>
      <c r="C257">
        <f>Food_Original!D256</f>
        <v>0</v>
      </c>
      <c r="D257">
        <f>Food_Original!E256</f>
        <v>0</v>
      </c>
      <c r="E257">
        <f>Food_Original!F256</f>
        <v>0</v>
      </c>
      <c r="F257">
        <f>Food_Original!G256</f>
        <v>0</v>
      </c>
      <c r="G257">
        <f>Food_Original!H256</f>
        <v>0</v>
      </c>
    </row>
    <row r="258" spans="1:7" x14ac:dyDescent="0.2">
      <c r="A258" t="str">
        <f>_xlfn.CONCAT(Food_Original!A257," - ",Food_Original!B257)</f>
        <v xml:space="preserve"> - </v>
      </c>
      <c r="B258">
        <f>Food_Original!C257</f>
        <v>0</v>
      </c>
      <c r="C258">
        <f>Food_Original!D257</f>
        <v>0</v>
      </c>
      <c r="D258">
        <f>Food_Original!E257</f>
        <v>0</v>
      </c>
      <c r="E258">
        <f>Food_Original!F257</f>
        <v>0</v>
      </c>
      <c r="F258">
        <f>Food_Original!G257</f>
        <v>0</v>
      </c>
      <c r="G258">
        <f>Food_Original!H257</f>
        <v>0</v>
      </c>
    </row>
    <row r="259" spans="1:7" x14ac:dyDescent="0.2">
      <c r="A259" t="str">
        <f>_xlfn.CONCAT(Food_Original!A258," - ",Food_Original!B258)</f>
        <v xml:space="preserve"> - </v>
      </c>
      <c r="B259">
        <f>Food_Original!C258</f>
        <v>0</v>
      </c>
      <c r="C259">
        <f>Food_Original!D258</f>
        <v>0</v>
      </c>
      <c r="D259">
        <f>Food_Original!E258</f>
        <v>0</v>
      </c>
      <c r="E259">
        <f>Food_Original!F258</f>
        <v>0</v>
      </c>
      <c r="F259">
        <f>Food_Original!G258</f>
        <v>0</v>
      </c>
      <c r="G259">
        <f>Food_Original!H258</f>
        <v>0</v>
      </c>
    </row>
    <row r="260" spans="1:7" x14ac:dyDescent="0.2">
      <c r="A260" t="str">
        <f>_xlfn.CONCAT(Food_Original!A259," - ",Food_Original!B259)</f>
        <v xml:space="preserve"> - </v>
      </c>
      <c r="B260">
        <f>Food_Original!C259</f>
        <v>0</v>
      </c>
      <c r="C260">
        <f>Food_Original!D259</f>
        <v>0</v>
      </c>
      <c r="D260">
        <f>Food_Original!E259</f>
        <v>0</v>
      </c>
      <c r="E260">
        <f>Food_Original!F259</f>
        <v>0</v>
      </c>
      <c r="F260">
        <f>Food_Original!G259</f>
        <v>0</v>
      </c>
      <c r="G260">
        <f>Food_Original!H259</f>
        <v>0</v>
      </c>
    </row>
    <row r="261" spans="1:7" x14ac:dyDescent="0.2">
      <c r="A261" t="str">
        <f>_xlfn.CONCAT(Food_Original!A260," - ",Food_Original!B260)</f>
        <v xml:space="preserve"> - </v>
      </c>
      <c r="B261">
        <f>Food_Original!C260</f>
        <v>0</v>
      </c>
      <c r="C261">
        <f>Food_Original!D260</f>
        <v>0</v>
      </c>
      <c r="D261">
        <f>Food_Original!E260</f>
        <v>0</v>
      </c>
      <c r="E261">
        <f>Food_Original!F260</f>
        <v>0</v>
      </c>
      <c r="F261">
        <f>Food_Original!G260</f>
        <v>0</v>
      </c>
      <c r="G261">
        <f>Food_Original!H260</f>
        <v>0</v>
      </c>
    </row>
    <row r="262" spans="1:7" x14ac:dyDescent="0.2">
      <c r="A262" t="str">
        <f>_xlfn.CONCAT(Food_Original!A261," - ",Food_Original!B261)</f>
        <v xml:space="preserve"> - </v>
      </c>
      <c r="B262">
        <f>Food_Original!C261</f>
        <v>0</v>
      </c>
      <c r="C262">
        <f>Food_Original!D261</f>
        <v>0</v>
      </c>
      <c r="D262">
        <f>Food_Original!E261</f>
        <v>0</v>
      </c>
      <c r="E262">
        <f>Food_Original!F261</f>
        <v>0</v>
      </c>
      <c r="F262">
        <f>Food_Original!G261</f>
        <v>0</v>
      </c>
      <c r="G262">
        <f>Food_Original!H261</f>
        <v>0</v>
      </c>
    </row>
    <row r="263" spans="1:7" x14ac:dyDescent="0.2">
      <c r="A263" t="str">
        <f>_xlfn.CONCAT(Food_Original!A262," - ",Food_Original!B262)</f>
        <v xml:space="preserve"> - </v>
      </c>
      <c r="B263">
        <f>Food_Original!C262</f>
        <v>0</v>
      </c>
      <c r="C263">
        <f>Food_Original!D262</f>
        <v>0</v>
      </c>
      <c r="D263">
        <f>Food_Original!E262</f>
        <v>0</v>
      </c>
      <c r="E263">
        <f>Food_Original!F262</f>
        <v>0</v>
      </c>
      <c r="F263">
        <f>Food_Original!G262</f>
        <v>0</v>
      </c>
      <c r="G263">
        <f>Food_Original!H262</f>
        <v>0</v>
      </c>
    </row>
    <row r="264" spans="1:7" x14ac:dyDescent="0.2">
      <c r="A264" t="str">
        <f>_xlfn.CONCAT(Food_Original!A263," - ",Food_Original!B263)</f>
        <v xml:space="preserve"> - </v>
      </c>
      <c r="B264">
        <f>Food_Original!C263</f>
        <v>0</v>
      </c>
      <c r="C264">
        <f>Food_Original!D263</f>
        <v>0</v>
      </c>
      <c r="D264">
        <f>Food_Original!E263</f>
        <v>0</v>
      </c>
      <c r="E264">
        <f>Food_Original!F263</f>
        <v>0</v>
      </c>
      <c r="F264">
        <f>Food_Original!G263</f>
        <v>0</v>
      </c>
      <c r="G264">
        <f>Food_Original!H263</f>
        <v>0</v>
      </c>
    </row>
    <row r="265" spans="1:7" x14ac:dyDescent="0.2">
      <c r="A265" t="str">
        <f>_xlfn.CONCAT(Food_Original!A264," - ",Food_Original!B264)</f>
        <v xml:space="preserve"> - </v>
      </c>
      <c r="B265">
        <f>Food_Original!C264</f>
        <v>0</v>
      </c>
      <c r="C265">
        <f>Food_Original!D264</f>
        <v>0</v>
      </c>
      <c r="D265">
        <f>Food_Original!E264</f>
        <v>0</v>
      </c>
      <c r="E265">
        <f>Food_Original!F264</f>
        <v>0</v>
      </c>
      <c r="F265">
        <f>Food_Original!G264</f>
        <v>0</v>
      </c>
      <c r="G265">
        <f>Food_Original!H264</f>
        <v>0</v>
      </c>
    </row>
    <row r="266" spans="1:7" x14ac:dyDescent="0.2">
      <c r="A266" t="str">
        <f>_xlfn.CONCAT(Food_Original!A265," - ",Food_Original!B265)</f>
        <v xml:space="preserve"> - </v>
      </c>
      <c r="B266">
        <f>Food_Original!C265</f>
        <v>0</v>
      </c>
      <c r="C266">
        <f>Food_Original!D265</f>
        <v>0</v>
      </c>
      <c r="D266">
        <f>Food_Original!E265</f>
        <v>0</v>
      </c>
      <c r="E266">
        <f>Food_Original!F265</f>
        <v>0</v>
      </c>
      <c r="F266">
        <f>Food_Original!G265</f>
        <v>0</v>
      </c>
      <c r="G266">
        <f>Food_Original!H265</f>
        <v>0</v>
      </c>
    </row>
    <row r="267" spans="1:7" x14ac:dyDescent="0.2">
      <c r="A267" t="str">
        <f>_xlfn.CONCAT(Food_Original!A266," - ",Food_Original!B266)</f>
        <v xml:space="preserve"> - </v>
      </c>
      <c r="B267">
        <f>Food_Original!C266</f>
        <v>0</v>
      </c>
      <c r="C267">
        <f>Food_Original!D266</f>
        <v>0</v>
      </c>
      <c r="D267">
        <f>Food_Original!E266</f>
        <v>0</v>
      </c>
      <c r="E267">
        <f>Food_Original!F266</f>
        <v>0</v>
      </c>
      <c r="F267">
        <f>Food_Original!G266</f>
        <v>0</v>
      </c>
      <c r="G267">
        <f>Food_Original!H266</f>
        <v>0</v>
      </c>
    </row>
    <row r="268" spans="1:7" x14ac:dyDescent="0.2">
      <c r="A268" t="str">
        <f>_xlfn.CONCAT(Food_Original!A267," - ",Food_Original!B267)</f>
        <v xml:space="preserve"> - </v>
      </c>
      <c r="B268">
        <f>Food_Original!C267</f>
        <v>0</v>
      </c>
      <c r="C268">
        <f>Food_Original!D267</f>
        <v>0</v>
      </c>
      <c r="D268">
        <f>Food_Original!E267</f>
        <v>0</v>
      </c>
      <c r="E268">
        <f>Food_Original!F267</f>
        <v>0</v>
      </c>
      <c r="F268">
        <f>Food_Original!G267</f>
        <v>0</v>
      </c>
      <c r="G268">
        <f>Food_Original!H267</f>
        <v>0</v>
      </c>
    </row>
    <row r="269" spans="1:7" x14ac:dyDescent="0.2">
      <c r="A269" t="str">
        <f>_xlfn.CONCAT(Food_Original!A268," - ",Food_Original!B268)</f>
        <v xml:space="preserve"> - </v>
      </c>
      <c r="B269">
        <f>Food_Original!C268</f>
        <v>0</v>
      </c>
      <c r="C269">
        <f>Food_Original!D268</f>
        <v>0</v>
      </c>
      <c r="D269">
        <f>Food_Original!E268</f>
        <v>0</v>
      </c>
      <c r="E269">
        <f>Food_Original!F268</f>
        <v>0</v>
      </c>
      <c r="F269">
        <f>Food_Original!G268</f>
        <v>0</v>
      </c>
      <c r="G269">
        <f>Food_Original!H268</f>
        <v>0</v>
      </c>
    </row>
    <row r="270" spans="1:7" x14ac:dyDescent="0.2">
      <c r="A270" t="str">
        <f>_xlfn.CONCAT(Food_Original!A269," - ",Food_Original!B269)</f>
        <v xml:space="preserve"> - </v>
      </c>
      <c r="B270">
        <f>Food_Original!C269</f>
        <v>0</v>
      </c>
      <c r="C270">
        <f>Food_Original!D269</f>
        <v>0</v>
      </c>
      <c r="D270">
        <f>Food_Original!E269</f>
        <v>0</v>
      </c>
      <c r="E270">
        <f>Food_Original!F269</f>
        <v>0</v>
      </c>
      <c r="F270">
        <f>Food_Original!G269</f>
        <v>0</v>
      </c>
      <c r="G270">
        <f>Food_Original!H269</f>
        <v>0</v>
      </c>
    </row>
    <row r="271" spans="1:7" x14ac:dyDescent="0.2">
      <c r="A271" t="str">
        <f>_xlfn.CONCAT(Food_Original!A270," - ",Food_Original!B270)</f>
        <v xml:space="preserve"> - </v>
      </c>
      <c r="B271">
        <f>Food_Original!C270</f>
        <v>0</v>
      </c>
      <c r="C271">
        <f>Food_Original!D270</f>
        <v>0</v>
      </c>
      <c r="D271">
        <f>Food_Original!E270</f>
        <v>0</v>
      </c>
      <c r="E271">
        <f>Food_Original!F270</f>
        <v>0</v>
      </c>
      <c r="F271">
        <f>Food_Original!G270</f>
        <v>0</v>
      </c>
      <c r="G271">
        <f>Food_Original!H270</f>
        <v>0</v>
      </c>
    </row>
    <row r="272" spans="1:7" x14ac:dyDescent="0.2">
      <c r="A272" t="str">
        <f>_xlfn.CONCAT(Food_Original!A271," - ",Food_Original!B271)</f>
        <v xml:space="preserve"> - </v>
      </c>
      <c r="B272">
        <f>Food_Original!C271</f>
        <v>0</v>
      </c>
      <c r="C272">
        <f>Food_Original!D271</f>
        <v>0</v>
      </c>
      <c r="D272">
        <f>Food_Original!E271</f>
        <v>0</v>
      </c>
      <c r="E272">
        <f>Food_Original!F271</f>
        <v>0</v>
      </c>
      <c r="F272">
        <f>Food_Original!G271</f>
        <v>0</v>
      </c>
      <c r="G272">
        <f>Food_Original!H271</f>
        <v>0</v>
      </c>
    </row>
    <row r="273" spans="1:7" x14ac:dyDescent="0.2">
      <c r="A273" t="str">
        <f>_xlfn.CONCAT(Food_Original!A272," - ",Food_Original!B272)</f>
        <v xml:space="preserve"> - </v>
      </c>
      <c r="B273">
        <f>Food_Original!C272</f>
        <v>0</v>
      </c>
      <c r="C273">
        <f>Food_Original!D272</f>
        <v>0</v>
      </c>
      <c r="D273">
        <f>Food_Original!E272</f>
        <v>0</v>
      </c>
      <c r="E273">
        <f>Food_Original!F272</f>
        <v>0</v>
      </c>
      <c r="F273">
        <f>Food_Original!G272</f>
        <v>0</v>
      </c>
      <c r="G273">
        <f>Food_Original!H272</f>
        <v>0</v>
      </c>
    </row>
    <row r="274" spans="1:7" x14ac:dyDescent="0.2">
      <c r="A274" t="str">
        <f>_xlfn.CONCAT(Food_Original!A273," - ",Food_Original!B273)</f>
        <v xml:space="preserve"> - </v>
      </c>
      <c r="B274">
        <f>Food_Original!C273</f>
        <v>0</v>
      </c>
      <c r="C274">
        <f>Food_Original!D273</f>
        <v>0</v>
      </c>
      <c r="D274">
        <f>Food_Original!E273</f>
        <v>0</v>
      </c>
      <c r="E274">
        <f>Food_Original!F273</f>
        <v>0</v>
      </c>
      <c r="F274">
        <f>Food_Original!G273</f>
        <v>0</v>
      </c>
      <c r="G274">
        <f>Food_Original!H273</f>
        <v>0</v>
      </c>
    </row>
    <row r="275" spans="1:7" x14ac:dyDescent="0.2">
      <c r="A275" t="str">
        <f>_xlfn.CONCAT(Food_Original!A274," - ",Food_Original!B274)</f>
        <v xml:space="preserve"> - </v>
      </c>
      <c r="B275">
        <f>Food_Original!C274</f>
        <v>0</v>
      </c>
      <c r="C275">
        <f>Food_Original!D274</f>
        <v>0</v>
      </c>
      <c r="D275">
        <f>Food_Original!E274</f>
        <v>0</v>
      </c>
      <c r="E275">
        <f>Food_Original!F274</f>
        <v>0</v>
      </c>
      <c r="F275">
        <f>Food_Original!G274</f>
        <v>0</v>
      </c>
      <c r="G275">
        <f>Food_Original!H274</f>
        <v>0</v>
      </c>
    </row>
    <row r="276" spans="1:7" x14ac:dyDescent="0.2">
      <c r="A276" t="str">
        <f>_xlfn.CONCAT(Food_Original!A275," - ",Food_Original!B275)</f>
        <v xml:space="preserve"> - </v>
      </c>
      <c r="B276">
        <f>Food_Original!C275</f>
        <v>0</v>
      </c>
      <c r="C276">
        <f>Food_Original!D275</f>
        <v>0</v>
      </c>
      <c r="D276">
        <f>Food_Original!E275</f>
        <v>0</v>
      </c>
      <c r="E276">
        <f>Food_Original!F275</f>
        <v>0</v>
      </c>
      <c r="F276">
        <f>Food_Original!G275</f>
        <v>0</v>
      </c>
      <c r="G276">
        <f>Food_Original!H275</f>
        <v>0</v>
      </c>
    </row>
    <row r="277" spans="1:7" x14ac:dyDescent="0.2">
      <c r="A277" t="str">
        <f>_xlfn.CONCAT(Food_Original!A276," - ",Food_Original!B276)</f>
        <v xml:space="preserve"> - </v>
      </c>
      <c r="B277">
        <f>Food_Original!C276</f>
        <v>0</v>
      </c>
      <c r="C277">
        <f>Food_Original!D276</f>
        <v>0</v>
      </c>
      <c r="D277">
        <f>Food_Original!E276</f>
        <v>0</v>
      </c>
      <c r="E277">
        <f>Food_Original!F276</f>
        <v>0</v>
      </c>
      <c r="F277">
        <f>Food_Original!G276</f>
        <v>0</v>
      </c>
      <c r="G277">
        <f>Food_Original!H276</f>
        <v>0</v>
      </c>
    </row>
    <row r="278" spans="1:7" x14ac:dyDescent="0.2">
      <c r="A278" t="str">
        <f>_xlfn.CONCAT(Food_Original!A277," - ",Food_Original!B277)</f>
        <v xml:space="preserve"> - </v>
      </c>
      <c r="B278">
        <f>Food_Original!C277</f>
        <v>0</v>
      </c>
      <c r="C278">
        <f>Food_Original!D277</f>
        <v>0</v>
      </c>
      <c r="D278">
        <f>Food_Original!E277</f>
        <v>0</v>
      </c>
      <c r="E278">
        <f>Food_Original!F277</f>
        <v>0</v>
      </c>
      <c r="F278">
        <f>Food_Original!G277</f>
        <v>0</v>
      </c>
      <c r="G278">
        <f>Food_Original!H277</f>
        <v>0</v>
      </c>
    </row>
    <row r="279" spans="1:7" x14ac:dyDescent="0.2">
      <c r="A279" t="str">
        <f>_xlfn.CONCAT(Food_Original!A278," - ",Food_Original!B278)</f>
        <v xml:space="preserve"> - </v>
      </c>
      <c r="B279">
        <f>Food_Original!C278</f>
        <v>0</v>
      </c>
      <c r="C279">
        <f>Food_Original!D278</f>
        <v>0</v>
      </c>
      <c r="D279">
        <f>Food_Original!E278</f>
        <v>0</v>
      </c>
      <c r="E279">
        <f>Food_Original!F278</f>
        <v>0</v>
      </c>
      <c r="F279">
        <f>Food_Original!G278</f>
        <v>0</v>
      </c>
      <c r="G279">
        <f>Food_Original!H278</f>
        <v>0</v>
      </c>
    </row>
    <row r="280" spans="1:7" x14ac:dyDescent="0.2">
      <c r="A280" t="str">
        <f>_xlfn.CONCAT(Food_Original!A279," - ",Food_Original!B279)</f>
        <v xml:space="preserve"> - </v>
      </c>
      <c r="B280">
        <f>Food_Original!C279</f>
        <v>0</v>
      </c>
      <c r="C280">
        <f>Food_Original!D279</f>
        <v>0</v>
      </c>
      <c r="D280">
        <f>Food_Original!E279</f>
        <v>0</v>
      </c>
      <c r="E280">
        <f>Food_Original!F279</f>
        <v>0</v>
      </c>
      <c r="F280">
        <f>Food_Original!G279</f>
        <v>0</v>
      </c>
      <c r="G280">
        <f>Food_Original!H279</f>
        <v>0</v>
      </c>
    </row>
    <row r="281" spans="1:7" x14ac:dyDescent="0.2">
      <c r="A281" t="str">
        <f>_xlfn.CONCAT(Food_Original!A280," - ",Food_Original!B280)</f>
        <v xml:space="preserve"> - </v>
      </c>
      <c r="B281">
        <f>Food_Original!C280</f>
        <v>0</v>
      </c>
      <c r="C281">
        <f>Food_Original!D280</f>
        <v>0</v>
      </c>
      <c r="D281">
        <f>Food_Original!E280</f>
        <v>0</v>
      </c>
      <c r="E281">
        <f>Food_Original!F280</f>
        <v>0</v>
      </c>
      <c r="F281">
        <f>Food_Original!G280</f>
        <v>0</v>
      </c>
      <c r="G281">
        <f>Food_Original!H280</f>
        <v>0</v>
      </c>
    </row>
    <row r="282" spans="1:7" x14ac:dyDescent="0.2">
      <c r="A282" t="str">
        <f>_xlfn.CONCAT(Food_Original!A281," - ",Food_Original!B281)</f>
        <v xml:space="preserve"> - </v>
      </c>
      <c r="B282">
        <f>Food_Original!C281</f>
        <v>0</v>
      </c>
      <c r="C282">
        <f>Food_Original!D281</f>
        <v>0</v>
      </c>
      <c r="D282">
        <f>Food_Original!E281</f>
        <v>0</v>
      </c>
      <c r="E282">
        <f>Food_Original!F281</f>
        <v>0</v>
      </c>
      <c r="F282">
        <f>Food_Original!G281</f>
        <v>0</v>
      </c>
      <c r="G282">
        <f>Food_Original!H281</f>
        <v>0</v>
      </c>
    </row>
    <row r="283" spans="1:7" x14ac:dyDescent="0.2">
      <c r="A283" t="str">
        <f>_xlfn.CONCAT(Food_Original!A282," - ",Food_Original!B282)</f>
        <v xml:space="preserve"> - </v>
      </c>
      <c r="B283">
        <f>Food_Original!C282</f>
        <v>0</v>
      </c>
      <c r="C283">
        <f>Food_Original!D282</f>
        <v>0</v>
      </c>
      <c r="D283">
        <f>Food_Original!E282</f>
        <v>0</v>
      </c>
      <c r="E283">
        <f>Food_Original!F282</f>
        <v>0</v>
      </c>
      <c r="F283">
        <f>Food_Original!G282</f>
        <v>0</v>
      </c>
      <c r="G283">
        <f>Food_Original!H282</f>
        <v>0</v>
      </c>
    </row>
    <row r="284" spans="1:7" x14ac:dyDescent="0.2">
      <c r="A284" t="str">
        <f>_xlfn.CONCAT(Food_Original!A283," - ",Food_Original!B283)</f>
        <v xml:space="preserve"> - </v>
      </c>
      <c r="B284">
        <f>Food_Original!C283</f>
        <v>0</v>
      </c>
      <c r="C284">
        <f>Food_Original!D283</f>
        <v>0</v>
      </c>
      <c r="D284">
        <f>Food_Original!E283</f>
        <v>0</v>
      </c>
      <c r="E284">
        <f>Food_Original!F283</f>
        <v>0</v>
      </c>
      <c r="F284">
        <f>Food_Original!G283</f>
        <v>0</v>
      </c>
      <c r="G284">
        <f>Food_Original!H283</f>
        <v>0</v>
      </c>
    </row>
    <row r="285" spans="1:7" x14ac:dyDescent="0.2">
      <c r="A285" t="str">
        <f>_xlfn.CONCAT(Food_Original!A284," - ",Food_Original!B284)</f>
        <v xml:space="preserve"> - </v>
      </c>
      <c r="B285">
        <f>Food_Original!C284</f>
        <v>0</v>
      </c>
      <c r="C285">
        <f>Food_Original!D284</f>
        <v>0</v>
      </c>
      <c r="D285">
        <f>Food_Original!E284</f>
        <v>0</v>
      </c>
      <c r="E285">
        <f>Food_Original!F284</f>
        <v>0</v>
      </c>
      <c r="F285">
        <f>Food_Original!G284</f>
        <v>0</v>
      </c>
      <c r="G285">
        <f>Food_Original!H284</f>
        <v>0</v>
      </c>
    </row>
    <row r="286" spans="1:7" x14ac:dyDescent="0.2">
      <c r="A286" t="str">
        <f>_xlfn.CONCAT(Food_Original!A285," - ",Food_Original!B285)</f>
        <v xml:space="preserve"> - </v>
      </c>
      <c r="B286">
        <f>Food_Original!C285</f>
        <v>0</v>
      </c>
      <c r="C286">
        <f>Food_Original!D285</f>
        <v>0</v>
      </c>
      <c r="D286">
        <f>Food_Original!E285</f>
        <v>0</v>
      </c>
      <c r="E286">
        <f>Food_Original!F285</f>
        <v>0</v>
      </c>
      <c r="F286">
        <f>Food_Original!G285</f>
        <v>0</v>
      </c>
      <c r="G286">
        <f>Food_Original!H285</f>
        <v>0</v>
      </c>
    </row>
    <row r="287" spans="1:7" x14ac:dyDescent="0.2">
      <c r="A287" t="str">
        <f>_xlfn.CONCAT(Food_Original!A286," - ",Food_Original!B286)</f>
        <v xml:space="preserve"> - </v>
      </c>
      <c r="B287">
        <f>Food_Original!C286</f>
        <v>0</v>
      </c>
      <c r="C287">
        <f>Food_Original!D286</f>
        <v>0</v>
      </c>
      <c r="D287">
        <f>Food_Original!E286</f>
        <v>0</v>
      </c>
      <c r="E287">
        <f>Food_Original!F286</f>
        <v>0</v>
      </c>
      <c r="F287">
        <f>Food_Original!G286</f>
        <v>0</v>
      </c>
      <c r="G287">
        <f>Food_Original!H286</f>
        <v>0</v>
      </c>
    </row>
    <row r="288" spans="1:7" x14ac:dyDescent="0.2">
      <c r="A288" t="str">
        <f>_xlfn.CONCAT(Food_Original!A287," - ",Food_Original!B287)</f>
        <v xml:space="preserve"> - </v>
      </c>
      <c r="B288">
        <f>Food_Original!C287</f>
        <v>0</v>
      </c>
      <c r="C288">
        <f>Food_Original!D287</f>
        <v>0</v>
      </c>
      <c r="D288">
        <f>Food_Original!E287</f>
        <v>0</v>
      </c>
      <c r="E288">
        <f>Food_Original!F287</f>
        <v>0</v>
      </c>
      <c r="F288">
        <f>Food_Original!G287</f>
        <v>0</v>
      </c>
      <c r="G288">
        <f>Food_Original!H287</f>
        <v>0</v>
      </c>
    </row>
    <row r="289" spans="1:7" x14ac:dyDescent="0.2">
      <c r="A289" t="str">
        <f>_xlfn.CONCAT(Food_Original!A288," - ",Food_Original!B288)</f>
        <v xml:space="preserve"> - </v>
      </c>
      <c r="B289">
        <f>Food_Original!C288</f>
        <v>0</v>
      </c>
      <c r="C289">
        <f>Food_Original!D288</f>
        <v>0</v>
      </c>
      <c r="D289">
        <f>Food_Original!E288</f>
        <v>0</v>
      </c>
      <c r="E289">
        <f>Food_Original!F288</f>
        <v>0</v>
      </c>
      <c r="F289">
        <f>Food_Original!G288</f>
        <v>0</v>
      </c>
      <c r="G289">
        <f>Food_Original!H288</f>
        <v>0</v>
      </c>
    </row>
    <row r="290" spans="1:7" x14ac:dyDescent="0.2">
      <c r="A290" t="str">
        <f>_xlfn.CONCAT(Food_Original!A289," - ",Food_Original!B289)</f>
        <v xml:space="preserve"> - </v>
      </c>
      <c r="B290">
        <f>Food_Original!C289</f>
        <v>0</v>
      </c>
      <c r="C290">
        <f>Food_Original!D289</f>
        <v>0</v>
      </c>
      <c r="D290">
        <f>Food_Original!E289</f>
        <v>0</v>
      </c>
      <c r="E290">
        <f>Food_Original!F289</f>
        <v>0</v>
      </c>
      <c r="F290">
        <f>Food_Original!G289</f>
        <v>0</v>
      </c>
      <c r="G290">
        <f>Food_Original!H289</f>
        <v>0</v>
      </c>
    </row>
    <row r="291" spans="1:7" x14ac:dyDescent="0.2">
      <c r="A291" t="str">
        <f>_xlfn.CONCAT(Food_Original!A290," - ",Food_Original!B290)</f>
        <v xml:space="preserve"> - </v>
      </c>
      <c r="B291">
        <f>Food_Original!C290</f>
        <v>0</v>
      </c>
      <c r="C291">
        <f>Food_Original!D290</f>
        <v>0</v>
      </c>
      <c r="D291">
        <f>Food_Original!E290</f>
        <v>0</v>
      </c>
      <c r="E291">
        <f>Food_Original!F290</f>
        <v>0</v>
      </c>
      <c r="F291">
        <f>Food_Original!G290</f>
        <v>0</v>
      </c>
      <c r="G291">
        <f>Food_Original!H290</f>
        <v>0</v>
      </c>
    </row>
    <row r="292" spans="1:7" x14ac:dyDescent="0.2">
      <c r="A292" t="str">
        <f>_xlfn.CONCAT(Food_Original!A291," - ",Food_Original!B291)</f>
        <v xml:space="preserve"> - </v>
      </c>
      <c r="B292">
        <f>Food_Original!C291</f>
        <v>0</v>
      </c>
      <c r="C292">
        <f>Food_Original!D291</f>
        <v>0</v>
      </c>
      <c r="D292">
        <f>Food_Original!E291</f>
        <v>0</v>
      </c>
      <c r="E292">
        <f>Food_Original!F291</f>
        <v>0</v>
      </c>
      <c r="F292">
        <f>Food_Original!G291</f>
        <v>0</v>
      </c>
      <c r="G292">
        <f>Food_Original!H291</f>
        <v>0</v>
      </c>
    </row>
    <row r="293" spans="1:7" x14ac:dyDescent="0.2">
      <c r="A293" t="str">
        <f>_xlfn.CONCAT(Food_Original!A292," - ",Food_Original!B292)</f>
        <v xml:space="preserve"> - </v>
      </c>
      <c r="B293">
        <f>Food_Original!C292</f>
        <v>0</v>
      </c>
      <c r="C293">
        <f>Food_Original!D292</f>
        <v>0</v>
      </c>
      <c r="D293">
        <f>Food_Original!E292</f>
        <v>0</v>
      </c>
      <c r="E293">
        <f>Food_Original!F292</f>
        <v>0</v>
      </c>
      <c r="F293">
        <f>Food_Original!G292</f>
        <v>0</v>
      </c>
      <c r="G293">
        <f>Food_Original!H292</f>
        <v>0</v>
      </c>
    </row>
    <row r="294" spans="1:7" x14ac:dyDescent="0.2">
      <c r="A294" t="str">
        <f>_xlfn.CONCAT(Food_Original!A293," - ",Food_Original!B293)</f>
        <v xml:space="preserve"> - </v>
      </c>
      <c r="B294">
        <f>Food_Original!C293</f>
        <v>0</v>
      </c>
      <c r="C294">
        <f>Food_Original!D293</f>
        <v>0</v>
      </c>
      <c r="D294">
        <f>Food_Original!E293</f>
        <v>0</v>
      </c>
      <c r="E294">
        <f>Food_Original!F293</f>
        <v>0</v>
      </c>
      <c r="F294">
        <f>Food_Original!G293</f>
        <v>0</v>
      </c>
      <c r="G294">
        <f>Food_Original!H293</f>
        <v>0</v>
      </c>
    </row>
    <row r="295" spans="1:7" x14ac:dyDescent="0.2">
      <c r="A295" t="str">
        <f>_xlfn.CONCAT(Food_Original!A294," - ",Food_Original!B294)</f>
        <v xml:space="preserve"> - </v>
      </c>
      <c r="B295">
        <f>Food_Original!C294</f>
        <v>0</v>
      </c>
      <c r="C295">
        <f>Food_Original!D294</f>
        <v>0</v>
      </c>
      <c r="D295">
        <f>Food_Original!E294</f>
        <v>0</v>
      </c>
      <c r="E295">
        <f>Food_Original!F294</f>
        <v>0</v>
      </c>
      <c r="F295">
        <f>Food_Original!G294</f>
        <v>0</v>
      </c>
      <c r="G295">
        <f>Food_Original!H294</f>
        <v>0</v>
      </c>
    </row>
    <row r="296" spans="1:7" x14ac:dyDescent="0.2">
      <c r="A296" t="str">
        <f>_xlfn.CONCAT(Food_Original!A295," - ",Food_Original!B295)</f>
        <v xml:space="preserve"> - </v>
      </c>
      <c r="B296">
        <f>Food_Original!C295</f>
        <v>0</v>
      </c>
      <c r="C296">
        <f>Food_Original!D295</f>
        <v>0</v>
      </c>
      <c r="D296">
        <f>Food_Original!E295</f>
        <v>0</v>
      </c>
      <c r="E296">
        <f>Food_Original!F295</f>
        <v>0</v>
      </c>
      <c r="F296">
        <f>Food_Original!G295</f>
        <v>0</v>
      </c>
      <c r="G296">
        <f>Food_Original!H295</f>
        <v>0</v>
      </c>
    </row>
    <row r="297" spans="1:7" x14ac:dyDescent="0.2">
      <c r="A297" t="str">
        <f>_xlfn.CONCAT(Food_Original!A296," - ",Food_Original!B296)</f>
        <v xml:space="preserve"> - </v>
      </c>
      <c r="B297">
        <f>Food_Original!C296</f>
        <v>0</v>
      </c>
      <c r="C297">
        <f>Food_Original!D296</f>
        <v>0</v>
      </c>
      <c r="D297">
        <f>Food_Original!E296</f>
        <v>0</v>
      </c>
      <c r="E297">
        <f>Food_Original!F296</f>
        <v>0</v>
      </c>
      <c r="F297">
        <f>Food_Original!G296</f>
        <v>0</v>
      </c>
      <c r="G297">
        <f>Food_Original!H296</f>
        <v>0</v>
      </c>
    </row>
    <row r="298" spans="1:7" x14ac:dyDescent="0.2">
      <c r="A298" t="str">
        <f>_xlfn.CONCAT(Food_Original!A297," - ",Food_Original!B297)</f>
        <v xml:space="preserve"> - </v>
      </c>
      <c r="B298">
        <f>Food_Original!C297</f>
        <v>0</v>
      </c>
      <c r="C298">
        <f>Food_Original!D297</f>
        <v>0</v>
      </c>
      <c r="D298">
        <f>Food_Original!E297</f>
        <v>0</v>
      </c>
      <c r="E298">
        <f>Food_Original!F297</f>
        <v>0</v>
      </c>
      <c r="F298">
        <f>Food_Original!G297</f>
        <v>0</v>
      </c>
      <c r="G298">
        <f>Food_Original!H297</f>
        <v>0</v>
      </c>
    </row>
    <row r="299" spans="1:7" x14ac:dyDescent="0.2">
      <c r="A299" t="str">
        <f>_xlfn.CONCAT(Food_Original!A298," - ",Food_Original!B298)</f>
        <v xml:space="preserve"> - </v>
      </c>
      <c r="B299">
        <f>Food_Original!C298</f>
        <v>0</v>
      </c>
      <c r="C299">
        <f>Food_Original!D298</f>
        <v>0</v>
      </c>
      <c r="D299">
        <f>Food_Original!E298</f>
        <v>0</v>
      </c>
      <c r="E299">
        <f>Food_Original!F298</f>
        <v>0</v>
      </c>
      <c r="F299">
        <f>Food_Original!G298</f>
        <v>0</v>
      </c>
      <c r="G299">
        <f>Food_Original!H298</f>
        <v>0</v>
      </c>
    </row>
    <row r="300" spans="1:7" x14ac:dyDescent="0.2">
      <c r="A300" t="str">
        <f>_xlfn.CONCAT(Food_Original!A299," - ",Food_Original!B299)</f>
        <v xml:space="preserve"> - </v>
      </c>
      <c r="B300">
        <f>Food_Original!C299</f>
        <v>0</v>
      </c>
      <c r="C300">
        <f>Food_Original!D299</f>
        <v>0</v>
      </c>
      <c r="D300">
        <f>Food_Original!E299</f>
        <v>0</v>
      </c>
      <c r="E300">
        <f>Food_Original!F299</f>
        <v>0</v>
      </c>
      <c r="F300">
        <f>Food_Original!G299</f>
        <v>0</v>
      </c>
      <c r="G300">
        <f>Food_Original!H299</f>
        <v>0</v>
      </c>
    </row>
    <row r="301" spans="1:7" x14ac:dyDescent="0.2">
      <c r="A301" t="str">
        <f>_xlfn.CONCAT(Food_Original!A300," - ",Food_Original!B300)</f>
        <v xml:space="preserve"> - </v>
      </c>
      <c r="B301">
        <f>Food_Original!C300</f>
        <v>0</v>
      </c>
      <c r="C301">
        <f>Food_Original!D300</f>
        <v>0</v>
      </c>
      <c r="D301">
        <f>Food_Original!E300</f>
        <v>0</v>
      </c>
      <c r="E301">
        <f>Food_Original!F300</f>
        <v>0</v>
      </c>
      <c r="F301">
        <f>Food_Original!G300</f>
        <v>0</v>
      </c>
      <c r="G301">
        <f>Food_Original!H300</f>
        <v>0</v>
      </c>
    </row>
    <row r="302" spans="1:7" x14ac:dyDescent="0.2">
      <c r="A302" t="str">
        <f>_xlfn.CONCAT(Food_Original!A301," - ",Food_Original!B301)</f>
        <v xml:space="preserve"> - </v>
      </c>
      <c r="B302">
        <f>Food_Original!C301</f>
        <v>0</v>
      </c>
      <c r="C302">
        <f>Food_Original!D301</f>
        <v>0</v>
      </c>
      <c r="D302">
        <f>Food_Original!E301</f>
        <v>0</v>
      </c>
      <c r="E302">
        <f>Food_Original!F301</f>
        <v>0</v>
      </c>
      <c r="F302">
        <f>Food_Original!G301</f>
        <v>0</v>
      </c>
      <c r="G302">
        <f>Food_Original!H301</f>
        <v>0</v>
      </c>
    </row>
    <row r="303" spans="1:7" x14ac:dyDescent="0.2">
      <c r="A303" t="str">
        <f>_xlfn.CONCAT(Food_Original!A302," - ",Food_Original!B302)</f>
        <v xml:space="preserve"> - </v>
      </c>
      <c r="B303">
        <f>Food_Original!C302</f>
        <v>0</v>
      </c>
      <c r="C303">
        <f>Food_Original!D302</f>
        <v>0</v>
      </c>
      <c r="D303">
        <f>Food_Original!E302</f>
        <v>0</v>
      </c>
      <c r="E303">
        <f>Food_Original!F302</f>
        <v>0</v>
      </c>
      <c r="F303">
        <f>Food_Original!G302</f>
        <v>0</v>
      </c>
      <c r="G303">
        <f>Food_Original!H302</f>
        <v>0</v>
      </c>
    </row>
    <row r="304" spans="1:7" x14ac:dyDescent="0.2">
      <c r="A304" t="str">
        <f>_xlfn.CONCAT(Food_Original!A303," - ",Food_Original!B303)</f>
        <v xml:space="preserve"> - </v>
      </c>
      <c r="B304">
        <f>Food_Original!C303</f>
        <v>0</v>
      </c>
      <c r="C304">
        <f>Food_Original!D303</f>
        <v>0</v>
      </c>
      <c r="D304">
        <f>Food_Original!E303</f>
        <v>0</v>
      </c>
      <c r="E304">
        <f>Food_Original!F303</f>
        <v>0</v>
      </c>
      <c r="F304">
        <f>Food_Original!G303</f>
        <v>0</v>
      </c>
      <c r="G304">
        <f>Food_Original!H303</f>
        <v>0</v>
      </c>
    </row>
    <row r="305" spans="1:7" x14ac:dyDescent="0.2">
      <c r="A305" t="str">
        <f>_xlfn.CONCAT(Food_Original!A304," - ",Food_Original!B304)</f>
        <v xml:space="preserve"> - </v>
      </c>
      <c r="B305">
        <f>Food_Original!C304</f>
        <v>0</v>
      </c>
      <c r="C305">
        <f>Food_Original!D304</f>
        <v>0</v>
      </c>
      <c r="D305">
        <f>Food_Original!E304</f>
        <v>0</v>
      </c>
      <c r="E305">
        <f>Food_Original!F304</f>
        <v>0</v>
      </c>
      <c r="F305">
        <f>Food_Original!G304</f>
        <v>0</v>
      </c>
      <c r="G305">
        <f>Food_Original!H304</f>
        <v>0</v>
      </c>
    </row>
    <row r="306" spans="1:7" x14ac:dyDescent="0.2">
      <c r="A306" t="str">
        <f>_xlfn.CONCAT(Food_Original!A305," - ",Food_Original!B305)</f>
        <v xml:space="preserve"> - </v>
      </c>
      <c r="B306">
        <f>Food_Original!C305</f>
        <v>0</v>
      </c>
      <c r="C306">
        <f>Food_Original!D305</f>
        <v>0</v>
      </c>
      <c r="D306">
        <f>Food_Original!E305</f>
        <v>0</v>
      </c>
      <c r="E306">
        <f>Food_Original!F305</f>
        <v>0</v>
      </c>
      <c r="F306">
        <f>Food_Original!G305</f>
        <v>0</v>
      </c>
      <c r="G306">
        <f>Food_Original!H305</f>
        <v>0</v>
      </c>
    </row>
    <row r="307" spans="1:7" x14ac:dyDescent="0.2">
      <c r="A307" t="str">
        <f>_xlfn.CONCAT(Food_Original!A306," - ",Food_Original!B306)</f>
        <v xml:space="preserve"> - </v>
      </c>
      <c r="B307">
        <f>Food_Original!C306</f>
        <v>0</v>
      </c>
      <c r="C307">
        <f>Food_Original!D306</f>
        <v>0</v>
      </c>
      <c r="D307">
        <f>Food_Original!E306</f>
        <v>0</v>
      </c>
      <c r="E307">
        <f>Food_Original!F306</f>
        <v>0</v>
      </c>
      <c r="F307">
        <f>Food_Original!G306</f>
        <v>0</v>
      </c>
      <c r="G307">
        <f>Food_Original!H306</f>
        <v>0</v>
      </c>
    </row>
    <row r="308" spans="1:7" x14ac:dyDescent="0.2">
      <c r="A308" t="str">
        <f>_xlfn.CONCAT(Food_Original!A307," - ",Food_Original!B307)</f>
        <v xml:space="preserve"> - </v>
      </c>
      <c r="B308">
        <f>Food_Original!C307</f>
        <v>0</v>
      </c>
      <c r="C308">
        <f>Food_Original!D307</f>
        <v>0</v>
      </c>
      <c r="D308">
        <f>Food_Original!E307</f>
        <v>0</v>
      </c>
      <c r="E308">
        <f>Food_Original!F307</f>
        <v>0</v>
      </c>
      <c r="F308">
        <f>Food_Original!G307</f>
        <v>0</v>
      </c>
      <c r="G308">
        <f>Food_Original!H307</f>
        <v>0</v>
      </c>
    </row>
    <row r="309" spans="1:7" x14ac:dyDescent="0.2">
      <c r="A309" t="str">
        <f>_xlfn.CONCAT(Food_Original!A308," - ",Food_Original!B308)</f>
        <v xml:space="preserve"> - </v>
      </c>
      <c r="B309">
        <f>Food_Original!C308</f>
        <v>0</v>
      </c>
      <c r="C309">
        <f>Food_Original!D308</f>
        <v>0</v>
      </c>
      <c r="D309">
        <f>Food_Original!E308</f>
        <v>0</v>
      </c>
      <c r="E309">
        <f>Food_Original!F308</f>
        <v>0</v>
      </c>
      <c r="F309">
        <f>Food_Original!G308</f>
        <v>0</v>
      </c>
      <c r="G309">
        <f>Food_Original!H308</f>
        <v>0</v>
      </c>
    </row>
    <row r="310" spans="1:7" x14ac:dyDescent="0.2">
      <c r="A310" t="str">
        <f>_xlfn.CONCAT(Food_Original!A309," - ",Food_Original!B309)</f>
        <v xml:space="preserve"> - </v>
      </c>
      <c r="B310">
        <f>Food_Original!C309</f>
        <v>0</v>
      </c>
      <c r="C310">
        <f>Food_Original!D309</f>
        <v>0</v>
      </c>
      <c r="D310">
        <f>Food_Original!E309</f>
        <v>0</v>
      </c>
      <c r="E310">
        <f>Food_Original!F309</f>
        <v>0</v>
      </c>
      <c r="F310">
        <f>Food_Original!G309</f>
        <v>0</v>
      </c>
      <c r="G310">
        <f>Food_Original!H309</f>
        <v>0</v>
      </c>
    </row>
    <row r="311" spans="1:7" x14ac:dyDescent="0.2">
      <c r="A311" t="str">
        <f>_xlfn.CONCAT(Food_Original!A310," - ",Food_Original!B310)</f>
        <v xml:space="preserve"> - </v>
      </c>
      <c r="B311">
        <f>Food_Original!C310</f>
        <v>0</v>
      </c>
      <c r="C311">
        <f>Food_Original!D310</f>
        <v>0</v>
      </c>
      <c r="D311">
        <f>Food_Original!E310</f>
        <v>0</v>
      </c>
      <c r="E311">
        <f>Food_Original!F310</f>
        <v>0</v>
      </c>
      <c r="F311">
        <f>Food_Original!G310</f>
        <v>0</v>
      </c>
      <c r="G311">
        <f>Food_Original!H310</f>
        <v>0</v>
      </c>
    </row>
    <row r="312" spans="1:7" x14ac:dyDescent="0.2">
      <c r="A312" t="str">
        <f>_xlfn.CONCAT(Food_Original!A311," - ",Food_Original!B311)</f>
        <v xml:space="preserve"> - </v>
      </c>
      <c r="B312">
        <f>Food_Original!C311</f>
        <v>0</v>
      </c>
      <c r="C312">
        <f>Food_Original!D311</f>
        <v>0</v>
      </c>
      <c r="D312">
        <f>Food_Original!E311</f>
        <v>0</v>
      </c>
      <c r="E312">
        <f>Food_Original!F311</f>
        <v>0</v>
      </c>
      <c r="F312">
        <f>Food_Original!G311</f>
        <v>0</v>
      </c>
      <c r="G312">
        <f>Food_Original!H311</f>
        <v>0</v>
      </c>
    </row>
    <row r="313" spans="1:7" x14ac:dyDescent="0.2">
      <c r="A313" t="str">
        <f>_xlfn.CONCAT(Food_Original!A312," - ",Food_Original!B312)</f>
        <v xml:space="preserve"> - </v>
      </c>
      <c r="B313">
        <f>Food_Original!C312</f>
        <v>0</v>
      </c>
      <c r="C313">
        <f>Food_Original!D312</f>
        <v>0</v>
      </c>
      <c r="D313">
        <f>Food_Original!E312</f>
        <v>0</v>
      </c>
      <c r="E313">
        <f>Food_Original!F312</f>
        <v>0</v>
      </c>
      <c r="F313">
        <f>Food_Original!G312</f>
        <v>0</v>
      </c>
      <c r="G313">
        <f>Food_Original!H312</f>
        <v>0</v>
      </c>
    </row>
    <row r="314" spans="1:7" x14ac:dyDescent="0.2">
      <c r="A314" t="str">
        <f>_xlfn.CONCAT(Food_Original!A313," - ",Food_Original!B313)</f>
        <v xml:space="preserve"> - </v>
      </c>
      <c r="B314">
        <f>Food_Original!C313</f>
        <v>0</v>
      </c>
      <c r="C314">
        <f>Food_Original!D313</f>
        <v>0</v>
      </c>
      <c r="D314">
        <f>Food_Original!E313</f>
        <v>0</v>
      </c>
      <c r="E314">
        <f>Food_Original!F313</f>
        <v>0</v>
      </c>
      <c r="F314">
        <f>Food_Original!G313</f>
        <v>0</v>
      </c>
      <c r="G314">
        <f>Food_Original!H313</f>
        <v>0</v>
      </c>
    </row>
    <row r="315" spans="1:7" x14ac:dyDescent="0.2">
      <c r="A315" t="str">
        <f>_xlfn.CONCAT(Food_Original!A314," - ",Food_Original!B314)</f>
        <v xml:space="preserve"> - </v>
      </c>
      <c r="B315">
        <f>Food_Original!C314</f>
        <v>0</v>
      </c>
      <c r="C315">
        <f>Food_Original!D314</f>
        <v>0</v>
      </c>
      <c r="D315">
        <f>Food_Original!E314</f>
        <v>0</v>
      </c>
      <c r="E315">
        <f>Food_Original!F314</f>
        <v>0</v>
      </c>
      <c r="F315">
        <f>Food_Original!G314</f>
        <v>0</v>
      </c>
      <c r="G315">
        <f>Food_Original!H314</f>
        <v>0</v>
      </c>
    </row>
    <row r="316" spans="1:7" x14ac:dyDescent="0.2">
      <c r="A316" t="str">
        <f>_xlfn.CONCAT(Food_Original!A315," - ",Food_Original!B315)</f>
        <v xml:space="preserve"> - </v>
      </c>
      <c r="B316">
        <f>Food_Original!C315</f>
        <v>0</v>
      </c>
      <c r="C316">
        <f>Food_Original!D315</f>
        <v>0</v>
      </c>
      <c r="D316">
        <f>Food_Original!E315</f>
        <v>0</v>
      </c>
      <c r="E316">
        <f>Food_Original!F315</f>
        <v>0</v>
      </c>
      <c r="F316">
        <f>Food_Original!G315</f>
        <v>0</v>
      </c>
      <c r="G316">
        <f>Food_Original!H315</f>
        <v>0</v>
      </c>
    </row>
    <row r="317" spans="1:7" x14ac:dyDescent="0.2">
      <c r="A317" t="str">
        <f>_xlfn.CONCAT(Food_Original!A316," - ",Food_Original!B316)</f>
        <v xml:space="preserve"> - </v>
      </c>
      <c r="B317">
        <f>Food_Original!C316</f>
        <v>0</v>
      </c>
      <c r="C317">
        <f>Food_Original!D316</f>
        <v>0</v>
      </c>
      <c r="D317">
        <f>Food_Original!E316</f>
        <v>0</v>
      </c>
      <c r="E317">
        <f>Food_Original!F316</f>
        <v>0</v>
      </c>
      <c r="F317">
        <f>Food_Original!G316</f>
        <v>0</v>
      </c>
      <c r="G317">
        <f>Food_Original!H316</f>
        <v>0</v>
      </c>
    </row>
    <row r="318" spans="1:7" x14ac:dyDescent="0.2">
      <c r="A318" t="str">
        <f>_xlfn.CONCAT(Food_Original!A317," - ",Food_Original!B317)</f>
        <v xml:space="preserve"> - </v>
      </c>
      <c r="B318">
        <f>Food_Original!C317</f>
        <v>0</v>
      </c>
      <c r="C318">
        <f>Food_Original!D317</f>
        <v>0</v>
      </c>
      <c r="D318">
        <f>Food_Original!E317</f>
        <v>0</v>
      </c>
      <c r="E318">
        <f>Food_Original!F317</f>
        <v>0</v>
      </c>
      <c r="F318">
        <f>Food_Original!G317</f>
        <v>0</v>
      </c>
      <c r="G318">
        <f>Food_Original!H317</f>
        <v>0</v>
      </c>
    </row>
    <row r="319" spans="1:7" x14ac:dyDescent="0.2">
      <c r="A319" t="str">
        <f>_xlfn.CONCAT(Food_Original!A318," - ",Food_Original!B318)</f>
        <v xml:space="preserve"> - </v>
      </c>
      <c r="B319">
        <f>Food_Original!C318</f>
        <v>0</v>
      </c>
      <c r="C319">
        <f>Food_Original!D318</f>
        <v>0</v>
      </c>
      <c r="D319">
        <f>Food_Original!E318</f>
        <v>0</v>
      </c>
      <c r="E319">
        <f>Food_Original!F318</f>
        <v>0</v>
      </c>
      <c r="F319">
        <f>Food_Original!G318</f>
        <v>0</v>
      </c>
      <c r="G319">
        <f>Food_Original!H318</f>
        <v>0</v>
      </c>
    </row>
    <row r="320" spans="1:7" x14ac:dyDescent="0.2">
      <c r="A320" t="str">
        <f>_xlfn.CONCAT(Food_Original!A319," - ",Food_Original!B319)</f>
        <v xml:space="preserve"> - </v>
      </c>
      <c r="B320">
        <f>Food_Original!C319</f>
        <v>0</v>
      </c>
      <c r="C320">
        <f>Food_Original!D319</f>
        <v>0</v>
      </c>
      <c r="D320">
        <f>Food_Original!E319</f>
        <v>0</v>
      </c>
      <c r="E320">
        <f>Food_Original!F319</f>
        <v>0</v>
      </c>
      <c r="F320">
        <f>Food_Original!G319</f>
        <v>0</v>
      </c>
      <c r="G320">
        <f>Food_Original!H319</f>
        <v>0</v>
      </c>
    </row>
    <row r="321" spans="1:7" x14ac:dyDescent="0.2">
      <c r="A321" t="str">
        <f>_xlfn.CONCAT(Food_Original!A320," - ",Food_Original!B320)</f>
        <v xml:space="preserve"> - </v>
      </c>
      <c r="B321">
        <f>Food_Original!C320</f>
        <v>0</v>
      </c>
      <c r="C321">
        <f>Food_Original!D320</f>
        <v>0</v>
      </c>
      <c r="D321">
        <f>Food_Original!E320</f>
        <v>0</v>
      </c>
      <c r="E321">
        <f>Food_Original!F320</f>
        <v>0</v>
      </c>
      <c r="F321">
        <f>Food_Original!G320</f>
        <v>0</v>
      </c>
      <c r="G321">
        <f>Food_Original!H320</f>
        <v>0</v>
      </c>
    </row>
    <row r="322" spans="1:7" x14ac:dyDescent="0.2">
      <c r="A322" t="str">
        <f>_xlfn.CONCAT(Food_Original!A321," - ",Food_Original!B321)</f>
        <v xml:space="preserve"> - </v>
      </c>
      <c r="B322">
        <f>Food_Original!C321</f>
        <v>0</v>
      </c>
      <c r="C322">
        <f>Food_Original!D321</f>
        <v>0</v>
      </c>
      <c r="D322">
        <f>Food_Original!E321</f>
        <v>0</v>
      </c>
      <c r="E322">
        <f>Food_Original!F321</f>
        <v>0</v>
      </c>
      <c r="F322">
        <f>Food_Original!G321</f>
        <v>0</v>
      </c>
      <c r="G322">
        <f>Food_Original!H321</f>
        <v>0</v>
      </c>
    </row>
    <row r="323" spans="1:7" x14ac:dyDescent="0.2">
      <c r="A323" t="str">
        <f>_xlfn.CONCAT(Food_Original!A322," - ",Food_Original!B322)</f>
        <v xml:space="preserve"> - </v>
      </c>
      <c r="B323">
        <f>Food_Original!C322</f>
        <v>0</v>
      </c>
      <c r="C323">
        <f>Food_Original!D322</f>
        <v>0</v>
      </c>
      <c r="D323">
        <f>Food_Original!E322</f>
        <v>0</v>
      </c>
      <c r="E323">
        <f>Food_Original!F322</f>
        <v>0</v>
      </c>
      <c r="F323">
        <f>Food_Original!G322</f>
        <v>0</v>
      </c>
      <c r="G323">
        <f>Food_Original!H322</f>
        <v>0</v>
      </c>
    </row>
    <row r="324" spans="1:7" x14ac:dyDescent="0.2">
      <c r="A324" t="str">
        <f>_xlfn.CONCAT(Food_Original!A323," - ",Food_Original!B323)</f>
        <v xml:space="preserve"> - </v>
      </c>
      <c r="B324">
        <f>Food_Original!C323</f>
        <v>0</v>
      </c>
      <c r="C324">
        <f>Food_Original!D323</f>
        <v>0</v>
      </c>
      <c r="D324">
        <f>Food_Original!E323</f>
        <v>0</v>
      </c>
      <c r="E324">
        <f>Food_Original!F323</f>
        <v>0</v>
      </c>
      <c r="F324">
        <f>Food_Original!G323</f>
        <v>0</v>
      </c>
      <c r="G324">
        <f>Food_Original!H323</f>
        <v>0</v>
      </c>
    </row>
    <row r="325" spans="1:7" x14ac:dyDescent="0.2">
      <c r="A325" t="str">
        <f>_xlfn.CONCAT(Food_Original!A324," - ",Food_Original!B324)</f>
        <v xml:space="preserve"> - </v>
      </c>
      <c r="B325">
        <f>Food_Original!C324</f>
        <v>0</v>
      </c>
      <c r="C325">
        <f>Food_Original!D324</f>
        <v>0</v>
      </c>
      <c r="D325">
        <f>Food_Original!E324</f>
        <v>0</v>
      </c>
      <c r="E325">
        <f>Food_Original!F324</f>
        <v>0</v>
      </c>
      <c r="F325">
        <f>Food_Original!G324</f>
        <v>0</v>
      </c>
      <c r="G325">
        <f>Food_Original!H324</f>
        <v>0</v>
      </c>
    </row>
    <row r="326" spans="1:7" x14ac:dyDescent="0.2">
      <c r="A326" t="str">
        <f>_xlfn.CONCAT(Food_Original!A325," - ",Food_Original!B325)</f>
        <v xml:space="preserve"> - </v>
      </c>
      <c r="B326">
        <f>Food_Original!C325</f>
        <v>0</v>
      </c>
      <c r="C326">
        <f>Food_Original!D325</f>
        <v>0</v>
      </c>
      <c r="D326">
        <f>Food_Original!E325</f>
        <v>0</v>
      </c>
      <c r="E326">
        <f>Food_Original!F325</f>
        <v>0</v>
      </c>
      <c r="F326">
        <f>Food_Original!G325</f>
        <v>0</v>
      </c>
      <c r="G326">
        <f>Food_Original!H325</f>
        <v>0</v>
      </c>
    </row>
    <row r="327" spans="1:7" x14ac:dyDescent="0.2">
      <c r="A327" t="str">
        <f>_xlfn.CONCAT(Food_Original!A326," - ",Food_Original!B326)</f>
        <v xml:space="preserve"> - </v>
      </c>
      <c r="B327">
        <f>Food_Original!C326</f>
        <v>0</v>
      </c>
      <c r="C327">
        <f>Food_Original!D326</f>
        <v>0</v>
      </c>
      <c r="D327">
        <f>Food_Original!E326</f>
        <v>0</v>
      </c>
      <c r="E327">
        <f>Food_Original!F326</f>
        <v>0</v>
      </c>
      <c r="F327">
        <f>Food_Original!G326</f>
        <v>0</v>
      </c>
      <c r="G327">
        <f>Food_Original!H326</f>
        <v>0</v>
      </c>
    </row>
    <row r="328" spans="1:7" x14ac:dyDescent="0.2">
      <c r="A328" t="str">
        <f>_xlfn.CONCAT(Food_Original!A327," - ",Food_Original!B327)</f>
        <v xml:space="preserve"> - </v>
      </c>
      <c r="B328">
        <f>Food_Original!C327</f>
        <v>0</v>
      </c>
      <c r="C328">
        <f>Food_Original!D327</f>
        <v>0</v>
      </c>
      <c r="D328">
        <f>Food_Original!E327</f>
        <v>0</v>
      </c>
      <c r="E328">
        <f>Food_Original!F327</f>
        <v>0</v>
      </c>
      <c r="F328">
        <f>Food_Original!G327</f>
        <v>0</v>
      </c>
      <c r="G328">
        <f>Food_Original!H327</f>
        <v>0</v>
      </c>
    </row>
    <row r="329" spans="1:7" x14ac:dyDescent="0.2">
      <c r="A329" t="str">
        <f>_xlfn.CONCAT(Food_Original!A328," - ",Food_Original!B328)</f>
        <v xml:space="preserve"> - </v>
      </c>
      <c r="B329">
        <f>Food_Original!C328</f>
        <v>0</v>
      </c>
      <c r="C329">
        <f>Food_Original!D328</f>
        <v>0</v>
      </c>
      <c r="D329">
        <f>Food_Original!E328</f>
        <v>0</v>
      </c>
      <c r="E329">
        <f>Food_Original!F328</f>
        <v>0</v>
      </c>
      <c r="F329">
        <f>Food_Original!G328</f>
        <v>0</v>
      </c>
      <c r="G329">
        <f>Food_Original!H328</f>
        <v>0</v>
      </c>
    </row>
    <row r="330" spans="1:7" x14ac:dyDescent="0.2">
      <c r="A330" t="str">
        <f>_xlfn.CONCAT(Food_Original!A329," - ",Food_Original!B329)</f>
        <v xml:space="preserve"> - </v>
      </c>
      <c r="B330">
        <f>Food_Original!C329</f>
        <v>0</v>
      </c>
      <c r="C330">
        <f>Food_Original!D329</f>
        <v>0</v>
      </c>
      <c r="D330">
        <f>Food_Original!E329</f>
        <v>0</v>
      </c>
      <c r="E330">
        <f>Food_Original!F329</f>
        <v>0</v>
      </c>
      <c r="F330">
        <f>Food_Original!G329</f>
        <v>0</v>
      </c>
      <c r="G330">
        <f>Food_Original!H329</f>
        <v>0</v>
      </c>
    </row>
    <row r="331" spans="1:7" x14ac:dyDescent="0.2">
      <c r="A331" t="str">
        <f>_xlfn.CONCAT(Food_Original!A330," - ",Food_Original!B330)</f>
        <v xml:space="preserve"> - </v>
      </c>
      <c r="B331">
        <f>Food_Original!C330</f>
        <v>0</v>
      </c>
      <c r="C331">
        <f>Food_Original!D330</f>
        <v>0</v>
      </c>
      <c r="D331">
        <f>Food_Original!E330</f>
        <v>0</v>
      </c>
      <c r="E331">
        <f>Food_Original!F330</f>
        <v>0</v>
      </c>
      <c r="F331">
        <f>Food_Original!G330</f>
        <v>0</v>
      </c>
      <c r="G331">
        <f>Food_Original!H330</f>
        <v>0</v>
      </c>
    </row>
    <row r="332" spans="1:7" x14ac:dyDescent="0.2">
      <c r="A332" t="str">
        <f>_xlfn.CONCAT(Food_Original!A331," - ",Food_Original!B331)</f>
        <v xml:space="preserve"> - </v>
      </c>
      <c r="B332">
        <f>Food_Original!C331</f>
        <v>0</v>
      </c>
      <c r="C332">
        <f>Food_Original!D331</f>
        <v>0</v>
      </c>
      <c r="D332">
        <f>Food_Original!E331</f>
        <v>0</v>
      </c>
      <c r="E332">
        <f>Food_Original!F331</f>
        <v>0</v>
      </c>
      <c r="F332">
        <f>Food_Original!G331</f>
        <v>0</v>
      </c>
      <c r="G332">
        <f>Food_Original!H331</f>
        <v>0</v>
      </c>
    </row>
    <row r="333" spans="1:7" x14ac:dyDescent="0.2">
      <c r="A333" t="str">
        <f>_xlfn.CONCAT(Food_Original!A332," - ",Food_Original!B332)</f>
        <v xml:space="preserve"> - </v>
      </c>
      <c r="B333">
        <f>Food_Original!C332</f>
        <v>0</v>
      </c>
      <c r="C333">
        <f>Food_Original!D332</f>
        <v>0</v>
      </c>
      <c r="D333">
        <f>Food_Original!E332</f>
        <v>0</v>
      </c>
      <c r="E333">
        <f>Food_Original!F332</f>
        <v>0</v>
      </c>
      <c r="F333">
        <f>Food_Original!G332</f>
        <v>0</v>
      </c>
      <c r="G333">
        <f>Food_Original!H332</f>
        <v>0</v>
      </c>
    </row>
    <row r="334" spans="1:7" x14ac:dyDescent="0.2">
      <c r="A334" t="str">
        <f>_xlfn.CONCAT(Food_Original!A333," - ",Food_Original!B333)</f>
        <v xml:space="preserve"> - </v>
      </c>
      <c r="B334">
        <f>Food_Original!C333</f>
        <v>0</v>
      </c>
      <c r="C334">
        <f>Food_Original!D333</f>
        <v>0</v>
      </c>
      <c r="D334">
        <f>Food_Original!E333</f>
        <v>0</v>
      </c>
      <c r="E334">
        <f>Food_Original!F333</f>
        <v>0</v>
      </c>
      <c r="F334">
        <f>Food_Original!G333</f>
        <v>0</v>
      </c>
      <c r="G334">
        <f>Food_Original!H333</f>
        <v>0</v>
      </c>
    </row>
    <row r="335" spans="1:7" x14ac:dyDescent="0.2">
      <c r="A335" t="str">
        <f>_xlfn.CONCAT(Food_Original!A334," - ",Food_Original!B334)</f>
        <v xml:space="preserve"> - </v>
      </c>
      <c r="B335">
        <f>Food_Original!C334</f>
        <v>0</v>
      </c>
      <c r="C335">
        <f>Food_Original!D334</f>
        <v>0</v>
      </c>
      <c r="D335">
        <f>Food_Original!E334</f>
        <v>0</v>
      </c>
      <c r="E335">
        <f>Food_Original!F334</f>
        <v>0</v>
      </c>
      <c r="F335">
        <f>Food_Original!G334</f>
        <v>0</v>
      </c>
      <c r="G335">
        <f>Food_Original!H334</f>
        <v>0</v>
      </c>
    </row>
    <row r="336" spans="1:7" x14ac:dyDescent="0.2">
      <c r="A336" t="str">
        <f>_xlfn.CONCAT(Food_Original!A335," - ",Food_Original!B335)</f>
        <v xml:space="preserve"> - </v>
      </c>
      <c r="B336">
        <f>Food_Original!C335</f>
        <v>0</v>
      </c>
      <c r="C336">
        <f>Food_Original!D335</f>
        <v>0</v>
      </c>
      <c r="D336">
        <f>Food_Original!E335</f>
        <v>0</v>
      </c>
      <c r="E336">
        <f>Food_Original!F335</f>
        <v>0</v>
      </c>
      <c r="F336">
        <f>Food_Original!G335</f>
        <v>0</v>
      </c>
      <c r="G336">
        <f>Food_Original!H335</f>
        <v>0</v>
      </c>
    </row>
    <row r="337" spans="1:7" x14ac:dyDescent="0.2">
      <c r="A337" t="str">
        <f>_xlfn.CONCAT(Food_Original!A336," - ",Food_Original!B336)</f>
        <v xml:space="preserve"> - </v>
      </c>
      <c r="B337">
        <f>Food_Original!C336</f>
        <v>0</v>
      </c>
      <c r="C337">
        <f>Food_Original!D336</f>
        <v>0</v>
      </c>
      <c r="D337">
        <f>Food_Original!E336</f>
        <v>0</v>
      </c>
      <c r="E337">
        <f>Food_Original!F336</f>
        <v>0</v>
      </c>
      <c r="F337">
        <f>Food_Original!G336</f>
        <v>0</v>
      </c>
      <c r="G337">
        <f>Food_Original!H336</f>
        <v>0</v>
      </c>
    </row>
    <row r="338" spans="1:7" x14ac:dyDescent="0.2">
      <c r="A338" t="str">
        <f>_xlfn.CONCAT(Food_Original!A337," - ",Food_Original!B337)</f>
        <v xml:space="preserve"> - </v>
      </c>
      <c r="B338">
        <f>Food_Original!C337</f>
        <v>0</v>
      </c>
      <c r="C338">
        <f>Food_Original!D337</f>
        <v>0</v>
      </c>
      <c r="D338">
        <f>Food_Original!E337</f>
        <v>0</v>
      </c>
      <c r="E338">
        <f>Food_Original!F337</f>
        <v>0</v>
      </c>
      <c r="F338">
        <f>Food_Original!G337</f>
        <v>0</v>
      </c>
      <c r="G338">
        <f>Food_Original!H337</f>
        <v>0</v>
      </c>
    </row>
    <row r="339" spans="1:7" x14ac:dyDescent="0.2">
      <c r="A339" t="str">
        <f>_xlfn.CONCAT(Food_Original!A338," - ",Food_Original!B338)</f>
        <v xml:space="preserve"> - </v>
      </c>
      <c r="B339">
        <f>Food_Original!C338</f>
        <v>0</v>
      </c>
      <c r="C339">
        <f>Food_Original!D338</f>
        <v>0</v>
      </c>
      <c r="D339">
        <f>Food_Original!E338</f>
        <v>0</v>
      </c>
      <c r="E339">
        <f>Food_Original!F338</f>
        <v>0</v>
      </c>
      <c r="F339">
        <f>Food_Original!G338</f>
        <v>0</v>
      </c>
      <c r="G339">
        <f>Food_Original!H338</f>
        <v>0</v>
      </c>
    </row>
    <row r="340" spans="1:7" x14ac:dyDescent="0.2">
      <c r="A340" t="str">
        <f>_xlfn.CONCAT(Food_Original!A339," - ",Food_Original!B339)</f>
        <v xml:space="preserve"> - </v>
      </c>
      <c r="B340">
        <f>Food_Original!C339</f>
        <v>0</v>
      </c>
      <c r="C340">
        <f>Food_Original!D339</f>
        <v>0</v>
      </c>
      <c r="D340">
        <f>Food_Original!E339</f>
        <v>0</v>
      </c>
      <c r="E340">
        <f>Food_Original!F339</f>
        <v>0</v>
      </c>
      <c r="F340">
        <f>Food_Original!G339</f>
        <v>0</v>
      </c>
      <c r="G340">
        <f>Food_Original!H339</f>
        <v>0</v>
      </c>
    </row>
    <row r="341" spans="1:7" x14ac:dyDescent="0.2">
      <c r="A341" t="str">
        <f>_xlfn.CONCAT(Food_Original!A340," - ",Food_Original!B340)</f>
        <v xml:space="preserve"> - </v>
      </c>
      <c r="B341">
        <f>Food_Original!C340</f>
        <v>0</v>
      </c>
      <c r="C341">
        <f>Food_Original!D340</f>
        <v>0</v>
      </c>
      <c r="D341">
        <f>Food_Original!E340</f>
        <v>0</v>
      </c>
      <c r="E341">
        <f>Food_Original!F340</f>
        <v>0</v>
      </c>
      <c r="F341">
        <f>Food_Original!G340</f>
        <v>0</v>
      </c>
      <c r="G341">
        <f>Food_Original!H340</f>
        <v>0</v>
      </c>
    </row>
    <row r="342" spans="1:7" x14ac:dyDescent="0.2">
      <c r="A342" t="str">
        <f>_xlfn.CONCAT(Food_Original!A341," - ",Food_Original!B341)</f>
        <v xml:space="preserve"> - </v>
      </c>
      <c r="B342">
        <f>Food_Original!C341</f>
        <v>0</v>
      </c>
      <c r="C342">
        <f>Food_Original!D341</f>
        <v>0</v>
      </c>
      <c r="D342">
        <f>Food_Original!E341</f>
        <v>0</v>
      </c>
      <c r="E342">
        <f>Food_Original!F341</f>
        <v>0</v>
      </c>
      <c r="F342">
        <f>Food_Original!G341</f>
        <v>0</v>
      </c>
      <c r="G342">
        <f>Food_Original!H341</f>
        <v>0</v>
      </c>
    </row>
    <row r="343" spans="1:7" x14ac:dyDescent="0.2">
      <c r="A343" t="str">
        <f>_xlfn.CONCAT(Food_Original!A342," - ",Food_Original!B342)</f>
        <v xml:space="preserve"> - </v>
      </c>
      <c r="B343">
        <f>Food_Original!C342</f>
        <v>0</v>
      </c>
      <c r="C343">
        <f>Food_Original!D342</f>
        <v>0</v>
      </c>
      <c r="D343">
        <f>Food_Original!E342</f>
        <v>0</v>
      </c>
      <c r="E343">
        <f>Food_Original!F342</f>
        <v>0</v>
      </c>
      <c r="F343">
        <f>Food_Original!G342</f>
        <v>0</v>
      </c>
      <c r="G343">
        <f>Food_Original!H342</f>
        <v>0</v>
      </c>
    </row>
    <row r="344" spans="1:7" x14ac:dyDescent="0.2">
      <c r="A344" t="str">
        <f>_xlfn.CONCAT(Food_Original!A343," - ",Food_Original!B343)</f>
        <v xml:space="preserve"> - </v>
      </c>
      <c r="B344">
        <f>Food_Original!C343</f>
        <v>0</v>
      </c>
      <c r="C344">
        <f>Food_Original!D343</f>
        <v>0</v>
      </c>
      <c r="D344">
        <f>Food_Original!E343</f>
        <v>0</v>
      </c>
      <c r="E344">
        <f>Food_Original!F343</f>
        <v>0</v>
      </c>
      <c r="F344">
        <f>Food_Original!G343</f>
        <v>0</v>
      </c>
      <c r="G344">
        <f>Food_Original!H343</f>
        <v>0</v>
      </c>
    </row>
    <row r="345" spans="1:7" x14ac:dyDescent="0.2">
      <c r="A345" t="str">
        <f>_xlfn.CONCAT(Food_Original!A344," - ",Food_Original!B344)</f>
        <v xml:space="preserve"> - </v>
      </c>
      <c r="B345">
        <f>Food_Original!C344</f>
        <v>0</v>
      </c>
      <c r="C345">
        <f>Food_Original!D344</f>
        <v>0</v>
      </c>
      <c r="D345">
        <f>Food_Original!E344</f>
        <v>0</v>
      </c>
      <c r="E345">
        <f>Food_Original!F344</f>
        <v>0</v>
      </c>
      <c r="F345">
        <f>Food_Original!G344</f>
        <v>0</v>
      </c>
      <c r="G345">
        <f>Food_Original!H344</f>
        <v>0</v>
      </c>
    </row>
    <row r="346" spans="1:7" x14ac:dyDescent="0.2">
      <c r="A346" t="str">
        <f>_xlfn.CONCAT(Food_Original!A345," - ",Food_Original!B345)</f>
        <v xml:space="preserve"> - </v>
      </c>
      <c r="B346">
        <f>Food_Original!C345</f>
        <v>0</v>
      </c>
      <c r="C346">
        <f>Food_Original!D345</f>
        <v>0</v>
      </c>
      <c r="D346">
        <f>Food_Original!E345</f>
        <v>0</v>
      </c>
      <c r="E346">
        <f>Food_Original!F345</f>
        <v>0</v>
      </c>
      <c r="F346">
        <f>Food_Original!G345</f>
        <v>0</v>
      </c>
      <c r="G346">
        <f>Food_Original!H345</f>
        <v>0</v>
      </c>
    </row>
    <row r="347" spans="1:7" x14ac:dyDescent="0.2">
      <c r="A347" t="str">
        <f>_xlfn.CONCAT(Food_Original!A346," - ",Food_Original!B346)</f>
        <v xml:space="preserve"> - </v>
      </c>
      <c r="B347">
        <f>Food_Original!C346</f>
        <v>0</v>
      </c>
      <c r="C347">
        <f>Food_Original!D346</f>
        <v>0</v>
      </c>
      <c r="D347">
        <f>Food_Original!E346</f>
        <v>0</v>
      </c>
      <c r="E347">
        <f>Food_Original!F346</f>
        <v>0</v>
      </c>
      <c r="F347">
        <f>Food_Original!G346</f>
        <v>0</v>
      </c>
      <c r="G347">
        <f>Food_Original!H346</f>
        <v>0</v>
      </c>
    </row>
    <row r="348" spans="1:7" x14ac:dyDescent="0.2">
      <c r="A348" t="str">
        <f>_xlfn.CONCAT(Food_Original!A347," - ",Food_Original!B347)</f>
        <v xml:space="preserve"> - </v>
      </c>
      <c r="B348">
        <f>Food_Original!C347</f>
        <v>0</v>
      </c>
      <c r="C348">
        <f>Food_Original!D347</f>
        <v>0</v>
      </c>
      <c r="D348">
        <f>Food_Original!E347</f>
        <v>0</v>
      </c>
      <c r="E348">
        <f>Food_Original!F347</f>
        <v>0</v>
      </c>
      <c r="F348">
        <f>Food_Original!G347</f>
        <v>0</v>
      </c>
      <c r="G348">
        <f>Food_Original!H347</f>
        <v>0</v>
      </c>
    </row>
    <row r="349" spans="1:7" x14ac:dyDescent="0.2">
      <c r="A349" t="str">
        <f>_xlfn.CONCAT(Food_Original!A348," - ",Food_Original!B348)</f>
        <v xml:space="preserve"> - </v>
      </c>
      <c r="B349">
        <f>Food_Original!C348</f>
        <v>0</v>
      </c>
      <c r="C349">
        <f>Food_Original!D348</f>
        <v>0</v>
      </c>
      <c r="D349">
        <f>Food_Original!E348</f>
        <v>0</v>
      </c>
      <c r="E349">
        <f>Food_Original!F348</f>
        <v>0</v>
      </c>
      <c r="F349">
        <f>Food_Original!G348</f>
        <v>0</v>
      </c>
      <c r="G349">
        <f>Food_Original!H348</f>
        <v>0</v>
      </c>
    </row>
    <row r="350" spans="1:7" x14ac:dyDescent="0.2">
      <c r="A350" t="str">
        <f>_xlfn.CONCAT(Food_Original!A349," - ",Food_Original!B349)</f>
        <v xml:space="preserve"> - </v>
      </c>
      <c r="B350">
        <f>Food_Original!C349</f>
        <v>0</v>
      </c>
      <c r="C350">
        <f>Food_Original!D349</f>
        <v>0</v>
      </c>
      <c r="D350">
        <f>Food_Original!E349</f>
        <v>0</v>
      </c>
      <c r="E350">
        <f>Food_Original!F349</f>
        <v>0</v>
      </c>
      <c r="F350">
        <f>Food_Original!G349</f>
        <v>0</v>
      </c>
      <c r="G350">
        <f>Food_Original!H349</f>
        <v>0</v>
      </c>
    </row>
    <row r="351" spans="1:7" x14ac:dyDescent="0.2">
      <c r="A351" t="str">
        <f>_xlfn.CONCAT(Food_Original!A350," - ",Food_Original!B350)</f>
        <v xml:space="preserve"> - </v>
      </c>
      <c r="B351">
        <f>Food_Original!C350</f>
        <v>0</v>
      </c>
      <c r="C351">
        <f>Food_Original!D350</f>
        <v>0</v>
      </c>
      <c r="D351">
        <f>Food_Original!E350</f>
        <v>0</v>
      </c>
      <c r="E351">
        <f>Food_Original!F350</f>
        <v>0</v>
      </c>
      <c r="F351">
        <f>Food_Original!G350</f>
        <v>0</v>
      </c>
      <c r="G351">
        <f>Food_Original!H350</f>
        <v>0</v>
      </c>
    </row>
    <row r="352" spans="1:7" x14ac:dyDescent="0.2">
      <c r="A352" t="str">
        <f>_xlfn.CONCAT(Food_Original!A351," - ",Food_Original!B351)</f>
        <v xml:space="preserve"> - </v>
      </c>
      <c r="B352">
        <f>Food_Original!C351</f>
        <v>0</v>
      </c>
      <c r="C352">
        <f>Food_Original!D351</f>
        <v>0</v>
      </c>
      <c r="D352">
        <f>Food_Original!E351</f>
        <v>0</v>
      </c>
      <c r="E352">
        <f>Food_Original!F351</f>
        <v>0</v>
      </c>
      <c r="F352">
        <f>Food_Original!G351</f>
        <v>0</v>
      </c>
      <c r="G352">
        <f>Food_Original!H351</f>
        <v>0</v>
      </c>
    </row>
    <row r="353" spans="1:7" x14ac:dyDescent="0.2">
      <c r="A353" t="str">
        <f>_xlfn.CONCAT(Food_Original!A352," - ",Food_Original!B352)</f>
        <v xml:space="preserve"> - </v>
      </c>
      <c r="B353">
        <f>Food_Original!C352</f>
        <v>0</v>
      </c>
      <c r="C353">
        <f>Food_Original!D352</f>
        <v>0</v>
      </c>
      <c r="D353">
        <f>Food_Original!E352</f>
        <v>0</v>
      </c>
      <c r="E353">
        <f>Food_Original!F352</f>
        <v>0</v>
      </c>
      <c r="F353">
        <f>Food_Original!G352</f>
        <v>0</v>
      </c>
      <c r="G353">
        <f>Food_Original!H352</f>
        <v>0</v>
      </c>
    </row>
    <row r="354" spans="1:7" x14ac:dyDescent="0.2">
      <c r="A354" t="str">
        <f>_xlfn.CONCAT(Food_Original!A353," - ",Food_Original!B353)</f>
        <v xml:space="preserve"> - </v>
      </c>
      <c r="B354">
        <f>Food_Original!C353</f>
        <v>0</v>
      </c>
      <c r="C354">
        <f>Food_Original!D353</f>
        <v>0</v>
      </c>
      <c r="D354">
        <f>Food_Original!E353</f>
        <v>0</v>
      </c>
      <c r="E354">
        <f>Food_Original!F353</f>
        <v>0</v>
      </c>
      <c r="F354">
        <f>Food_Original!G353</f>
        <v>0</v>
      </c>
      <c r="G354">
        <f>Food_Original!H353</f>
        <v>0</v>
      </c>
    </row>
    <row r="355" spans="1:7" x14ac:dyDescent="0.2">
      <c r="A355" t="str">
        <f>_xlfn.CONCAT(Food_Original!A354," - ",Food_Original!B354)</f>
        <v xml:space="preserve"> - </v>
      </c>
      <c r="B355">
        <f>Food_Original!C354</f>
        <v>0</v>
      </c>
      <c r="C355">
        <f>Food_Original!D354</f>
        <v>0</v>
      </c>
      <c r="D355">
        <f>Food_Original!E354</f>
        <v>0</v>
      </c>
      <c r="E355">
        <f>Food_Original!F354</f>
        <v>0</v>
      </c>
      <c r="F355">
        <f>Food_Original!G354</f>
        <v>0</v>
      </c>
      <c r="G355">
        <f>Food_Original!H354</f>
        <v>0</v>
      </c>
    </row>
    <row r="356" spans="1:7" x14ac:dyDescent="0.2">
      <c r="A356" t="str">
        <f>_xlfn.CONCAT(Food_Original!A355," - ",Food_Original!B355)</f>
        <v xml:space="preserve"> - </v>
      </c>
      <c r="B356">
        <f>Food_Original!C355</f>
        <v>0</v>
      </c>
      <c r="C356">
        <f>Food_Original!D355</f>
        <v>0</v>
      </c>
      <c r="D356">
        <f>Food_Original!E355</f>
        <v>0</v>
      </c>
      <c r="E356">
        <f>Food_Original!F355</f>
        <v>0</v>
      </c>
      <c r="F356">
        <f>Food_Original!G355</f>
        <v>0</v>
      </c>
      <c r="G356">
        <f>Food_Original!H355</f>
        <v>0</v>
      </c>
    </row>
    <row r="357" spans="1:7" x14ac:dyDescent="0.2">
      <c r="A357" t="str">
        <f>_xlfn.CONCAT(Food_Original!A356," - ",Food_Original!B356)</f>
        <v xml:space="preserve"> - </v>
      </c>
      <c r="B357">
        <f>Food_Original!C356</f>
        <v>0</v>
      </c>
      <c r="C357">
        <f>Food_Original!D356</f>
        <v>0</v>
      </c>
      <c r="D357">
        <f>Food_Original!E356</f>
        <v>0</v>
      </c>
      <c r="E357">
        <f>Food_Original!F356</f>
        <v>0</v>
      </c>
      <c r="F357">
        <f>Food_Original!G356</f>
        <v>0</v>
      </c>
      <c r="G357">
        <f>Food_Original!H356</f>
        <v>0</v>
      </c>
    </row>
    <row r="358" spans="1:7" x14ac:dyDescent="0.2">
      <c r="A358" t="str">
        <f>_xlfn.CONCAT(Food_Original!A357," - ",Food_Original!B357)</f>
        <v xml:space="preserve"> - </v>
      </c>
      <c r="B358">
        <f>Food_Original!C357</f>
        <v>0</v>
      </c>
      <c r="C358">
        <f>Food_Original!D357</f>
        <v>0</v>
      </c>
      <c r="D358">
        <f>Food_Original!E357</f>
        <v>0</v>
      </c>
      <c r="E358">
        <f>Food_Original!F357</f>
        <v>0</v>
      </c>
      <c r="F358">
        <f>Food_Original!G357</f>
        <v>0</v>
      </c>
      <c r="G358">
        <f>Food_Original!H357</f>
        <v>0</v>
      </c>
    </row>
    <row r="359" spans="1:7" x14ac:dyDescent="0.2">
      <c r="A359" t="str">
        <f>_xlfn.CONCAT(Food_Original!A358," - ",Food_Original!B358)</f>
        <v xml:space="preserve"> - </v>
      </c>
      <c r="B359">
        <f>Food_Original!C358</f>
        <v>0</v>
      </c>
      <c r="C359">
        <f>Food_Original!D358</f>
        <v>0</v>
      </c>
      <c r="D359">
        <f>Food_Original!E358</f>
        <v>0</v>
      </c>
      <c r="E359">
        <f>Food_Original!F358</f>
        <v>0</v>
      </c>
      <c r="F359">
        <f>Food_Original!G358</f>
        <v>0</v>
      </c>
      <c r="G359">
        <f>Food_Original!H358</f>
        <v>0</v>
      </c>
    </row>
    <row r="360" spans="1:7" x14ac:dyDescent="0.2">
      <c r="A360" t="str">
        <f>_xlfn.CONCAT(Food_Original!A359," - ",Food_Original!B359)</f>
        <v xml:space="preserve"> - </v>
      </c>
      <c r="B360">
        <f>Food_Original!C359</f>
        <v>0</v>
      </c>
      <c r="C360">
        <f>Food_Original!D359</f>
        <v>0</v>
      </c>
      <c r="D360">
        <f>Food_Original!E359</f>
        <v>0</v>
      </c>
      <c r="E360">
        <f>Food_Original!F359</f>
        <v>0</v>
      </c>
      <c r="F360">
        <f>Food_Original!G359</f>
        <v>0</v>
      </c>
      <c r="G360">
        <f>Food_Original!H359</f>
        <v>0</v>
      </c>
    </row>
    <row r="361" spans="1:7" x14ac:dyDescent="0.2">
      <c r="A361" t="str">
        <f>_xlfn.CONCAT(Food_Original!A360," - ",Food_Original!B360)</f>
        <v xml:space="preserve"> - </v>
      </c>
      <c r="B361">
        <f>Food_Original!C360</f>
        <v>0</v>
      </c>
      <c r="C361">
        <f>Food_Original!D360</f>
        <v>0</v>
      </c>
      <c r="D361">
        <f>Food_Original!E360</f>
        <v>0</v>
      </c>
      <c r="E361">
        <f>Food_Original!F360</f>
        <v>0</v>
      </c>
      <c r="F361">
        <f>Food_Original!G360</f>
        <v>0</v>
      </c>
      <c r="G361">
        <f>Food_Original!H360</f>
        <v>0</v>
      </c>
    </row>
    <row r="362" spans="1:7" x14ac:dyDescent="0.2">
      <c r="A362" t="str">
        <f>_xlfn.CONCAT(Food_Original!A361," - ",Food_Original!B361)</f>
        <v xml:space="preserve"> - </v>
      </c>
      <c r="B362">
        <f>Food_Original!C361</f>
        <v>0</v>
      </c>
      <c r="C362">
        <f>Food_Original!D361</f>
        <v>0</v>
      </c>
      <c r="D362">
        <f>Food_Original!E361</f>
        <v>0</v>
      </c>
      <c r="E362">
        <f>Food_Original!F361</f>
        <v>0</v>
      </c>
      <c r="F362">
        <f>Food_Original!G361</f>
        <v>0</v>
      </c>
      <c r="G362">
        <f>Food_Original!H361</f>
        <v>0</v>
      </c>
    </row>
    <row r="363" spans="1:7" x14ac:dyDescent="0.2">
      <c r="A363" t="str">
        <f>_xlfn.CONCAT(Food_Original!A362," - ",Food_Original!B362)</f>
        <v xml:space="preserve"> - </v>
      </c>
      <c r="B363">
        <f>Food_Original!C362</f>
        <v>0</v>
      </c>
      <c r="C363">
        <f>Food_Original!D362</f>
        <v>0</v>
      </c>
      <c r="D363">
        <f>Food_Original!E362</f>
        <v>0</v>
      </c>
      <c r="E363">
        <f>Food_Original!F362</f>
        <v>0</v>
      </c>
      <c r="F363">
        <f>Food_Original!G362</f>
        <v>0</v>
      </c>
      <c r="G363">
        <f>Food_Original!H362</f>
        <v>0</v>
      </c>
    </row>
    <row r="364" spans="1:7" x14ac:dyDescent="0.2">
      <c r="A364" t="str">
        <f>_xlfn.CONCAT(Food_Original!A363," - ",Food_Original!B363)</f>
        <v xml:space="preserve"> - </v>
      </c>
      <c r="B364">
        <f>Food_Original!C363</f>
        <v>0</v>
      </c>
      <c r="C364">
        <f>Food_Original!D363</f>
        <v>0</v>
      </c>
      <c r="D364">
        <f>Food_Original!E363</f>
        <v>0</v>
      </c>
      <c r="E364">
        <f>Food_Original!F363</f>
        <v>0</v>
      </c>
      <c r="F364">
        <f>Food_Original!G363</f>
        <v>0</v>
      </c>
      <c r="G364">
        <f>Food_Original!H363</f>
        <v>0</v>
      </c>
    </row>
    <row r="365" spans="1:7" x14ac:dyDescent="0.2">
      <c r="A365" t="str">
        <f>_xlfn.CONCAT(Food_Original!A364," - ",Food_Original!B364)</f>
        <v xml:space="preserve"> - </v>
      </c>
      <c r="B365">
        <f>Food_Original!C364</f>
        <v>0</v>
      </c>
      <c r="C365">
        <f>Food_Original!D364</f>
        <v>0</v>
      </c>
      <c r="D365">
        <f>Food_Original!E364</f>
        <v>0</v>
      </c>
      <c r="E365">
        <f>Food_Original!F364</f>
        <v>0</v>
      </c>
      <c r="F365">
        <f>Food_Original!G364</f>
        <v>0</v>
      </c>
      <c r="G365">
        <f>Food_Original!H364</f>
        <v>0</v>
      </c>
    </row>
    <row r="366" spans="1:7" x14ac:dyDescent="0.2">
      <c r="A366" t="str">
        <f>_xlfn.CONCAT(Food_Original!A365," - ",Food_Original!B365)</f>
        <v xml:space="preserve"> - </v>
      </c>
      <c r="B366">
        <f>Food_Original!C365</f>
        <v>0</v>
      </c>
      <c r="C366">
        <f>Food_Original!D365</f>
        <v>0</v>
      </c>
      <c r="D366">
        <f>Food_Original!E365</f>
        <v>0</v>
      </c>
      <c r="E366">
        <f>Food_Original!F365</f>
        <v>0</v>
      </c>
      <c r="F366">
        <f>Food_Original!G365</f>
        <v>0</v>
      </c>
      <c r="G366">
        <f>Food_Original!H365</f>
        <v>0</v>
      </c>
    </row>
    <row r="367" spans="1:7" x14ac:dyDescent="0.2">
      <c r="A367" t="str">
        <f>_xlfn.CONCAT(Food_Original!A366," - ",Food_Original!B366)</f>
        <v xml:space="preserve"> - </v>
      </c>
      <c r="B367">
        <f>Food_Original!C366</f>
        <v>0</v>
      </c>
      <c r="C367">
        <f>Food_Original!D366</f>
        <v>0</v>
      </c>
      <c r="D367">
        <f>Food_Original!E366</f>
        <v>0</v>
      </c>
      <c r="E367">
        <f>Food_Original!F366</f>
        <v>0</v>
      </c>
      <c r="F367">
        <f>Food_Original!G366</f>
        <v>0</v>
      </c>
      <c r="G367">
        <f>Food_Original!H366</f>
        <v>0</v>
      </c>
    </row>
    <row r="368" spans="1:7" x14ac:dyDescent="0.2">
      <c r="A368" t="str">
        <f>_xlfn.CONCAT(Food_Original!A367," - ",Food_Original!B367)</f>
        <v xml:space="preserve"> - </v>
      </c>
      <c r="B368">
        <f>Food_Original!C367</f>
        <v>0</v>
      </c>
      <c r="C368">
        <f>Food_Original!D367</f>
        <v>0</v>
      </c>
      <c r="D368">
        <f>Food_Original!E367</f>
        <v>0</v>
      </c>
      <c r="E368">
        <f>Food_Original!F367</f>
        <v>0</v>
      </c>
      <c r="F368">
        <f>Food_Original!G367</f>
        <v>0</v>
      </c>
      <c r="G368">
        <f>Food_Original!H367</f>
        <v>0</v>
      </c>
    </row>
    <row r="369" spans="1:7" x14ac:dyDescent="0.2">
      <c r="A369" t="str">
        <f>_xlfn.CONCAT(Food_Original!A368," - ",Food_Original!B368)</f>
        <v xml:space="preserve"> - </v>
      </c>
      <c r="B369">
        <f>Food_Original!C368</f>
        <v>0</v>
      </c>
      <c r="C369">
        <f>Food_Original!D368</f>
        <v>0</v>
      </c>
      <c r="D369">
        <f>Food_Original!E368</f>
        <v>0</v>
      </c>
      <c r="E369">
        <f>Food_Original!F368</f>
        <v>0</v>
      </c>
      <c r="F369">
        <f>Food_Original!G368</f>
        <v>0</v>
      </c>
      <c r="G369">
        <f>Food_Original!H368</f>
        <v>0</v>
      </c>
    </row>
    <row r="370" spans="1:7" x14ac:dyDescent="0.2">
      <c r="A370" t="str">
        <f>_xlfn.CONCAT(Food_Original!A369," - ",Food_Original!B369)</f>
        <v xml:space="preserve"> - </v>
      </c>
      <c r="B370">
        <f>Food_Original!C369</f>
        <v>0</v>
      </c>
      <c r="C370">
        <f>Food_Original!D369</f>
        <v>0</v>
      </c>
      <c r="D370">
        <f>Food_Original!E369</f>
        <v>0</v>
      </c>
      <c r="E370">
        <f>Food_Original!F369</f>
        <v>0</v>
      </c>
      <c r="F370">
        <f>Food_Original!G369</f>
        <v>0</v>
      </c>
      <c r="G370">
        <f>Food_Original!H369</f>
        <v>0</v>
      </c>
    </row>
    <row r="371" spans="1:7" x14ac:dyDescent="0.2">
      <c r="A371" t="str">
        <f>_xlfn.CONCAT(Food_Original!A370," - ",Food_Original!B370)</f>
        <v xml:space="preserve"> - </v>
      </c>
      <c r="B371">
        <f>Food_Original!C370</f>
        <v>0</v>
      </c>
      <c r="C371">
        <f>Food_Original!D370</f>
        <v>0</v>
      </c>
      <c r="D371">
        <f>Food_Original!E370</f>
        <v>0</v>
      </c>
      <c r="E371">
        <f>Food_Original!F370</f>
        <v>0</v>
      </c>
      <c r="F371">
        <f>Food_Original!G370</f>
        <v>0</v>
      </c>
      <c r="G371">
        <f>Food_Original!H370</f>
        <v>0</v>
      </c>
    </row>
    <row r="372" spans="1:7" x14ac:dyDescent="0.2">
      <c r="A372" t="str">
        <f>_xlfn.CONCAT(Food_Original!A371," - ",Food_Original!B371)</f>
        <v xml:space="preserve"> - </v>
      </c>
      <c r="B372">
        <f>Food_Original!C371</f>
        <v>0</v>
      </c>
      <c r="C372">
        <f>Food_Original!D371</f>
        <v>0</v>
      </c>
      <c r="D372">
        <f>Food_Original!E371</f>
        <v>0</v>
      </c>
      <c r="E372">
        <f>Food_Original!F371</f>
        <v>0</v>
      </c>
      <c r="F372">
        <f>Food_Original!G371</f>
        <v>0</v>
      </c>
      <c r="G372">
        <f>Food_Original!H371</f>
        <v>0</v>
      </c>
    </row>
    <row r="373" spans="1:7" x14ac:dyDescent="0.2">
      <c r="A373" t="str">
        <f>_xlfn.CONCAT(Food_Original!A372," - ",Food_Original!B372)</f>
        <v xml:space="preserve"> - </v>
      </c>
      <c r="B373">
        <f>Food_Original!C372</f>
        <v>0</v>
      </c>
      <c r="C373">
        <f>Food_Original!D372</f>
        <v>0</v>
      </c>
      <c r="D373">
        <f>Food_Original!E372</f>
        <v>0</v>
      </c>
      <c r="E373">
        <f>Food_Original!F372</f>
        <v>0</v>
      </c>
      <c r="F373">
        <f>Food_Original!G372</f>
        <v>0</v>
      </c>
      <c r="G373">
        <f>Food_Original!H372</f>
        <v>0</v>
      </c>
    </row>
    <row r="374" spans="1:7" x14ac:dyDescent="0.2">
      <c r="A374" t="str">
        <f>_xlfn.CONCAT(Food_Original!A373," - ",Food_Original!B373)</f>
        <v xml:space="preserve"> - </v>
      </c>
      <c r="B374">
        <f>Food_Original!C373</f>
        <v>0</v>
      </c>
      <c r="C374">
        <f>Food_Original!D373</f>
        <v>0</v>
      </c>
      <c r="D374">
        <f>Food_Original!E373</f>
        <v>0</v>
      </c>
      <c r="E374">
        <f>Food_Original!F373</f>
        <v>0</v>
      </c>
      <c r="F374">
        <f>Food_Original!G373</f>
        <v>0</v>
      </c>
      <c r="G374">
        <f>Food_Original!H373</f>
        <v>0</v>
      </c>
    </row>
    <row r="375" spans="1:7" x14ac:dyDescent="0.2">
      <c r="A375" t="str">
        <f>_xlfn.CONCAT(Food_Original!A374," - ",Food_Original!B374)</f>
        <v xml:space="preserve"> - </v>
      </c>
      <c r="B375">
        <f>Food_Original!C374</f>
        <v>0</v>
      </c>
      <c r="C375">
        <f>Food_Original!D374</f>
        <v>0</v>
      </c>
      <c r="D375">
        <f>Food_Original!E374</f>
        <v>0</v>
      </c>
      <c r="E375">
        <f>Food_Original!F374</f>
        <v>0</v>
      </c>
      <c r="F375">
        <f>Food_Original!G374</f>
        <v>0</v>
      </c>
      <c r="G375">
        <f>Food_Original!H374</f>
        <v>0</v>
      </c>
    </row>
    <row r="376" spans="1:7" x14ac:dyDescent="0.2">
      <c r="A376" t="str">
        <f>_xlfn.CONCAT(Food_Original!A375," - ",Food_Original!B375)</f>
        <v xml:space="preserve"> - </v>
      </c>
      <c r="B376">
        <f>Food_Original!C375</f>
        <v>0</v>
      </c>
      <c r="C376">
        <f>Food_Original!D375</f>
        <v>0</v>
      </c>
      <c r="D376">
        <f>Food_Original!E375</f>
        <v>0</v>
      </c>
      <c r="E376">
        <f>Food_Original!F375</f>
        <v>0</v>
      </c>
      <c r="F376">
        <f>Food_Original!G375</f>
        <v>0</v>
      </c>
      <c r="G376">
        <f>Food_Original!H375</f>
        <v>0</v>
      </c>
    </row>
    <row r="377" spans="1:7" x14ac:dyDescent="0.2">
      <c r="A377" t="str">
        <f>_xlfn.CONCAT(Food_Original!A376," - ",Food_Original!B376)</f>
        <v xml:space="preserve"> - </v>
      </c>
      <c r="B377">
        <f>Food_Original!C376</f>
        <v>0</v>
      </c>
      <c r="C377">
        <f>Food_Original!D376</f>
        <v>0</v>
      </c>
      <c r="D377">
        <f>Food_Original!E376</f>
        <v>0</v>
      </c>
      <c r="E377">
        <f>Food_Original!F376</f>
        <v>0</v>
      </c>
      <c r="F377">
        <f>Food_Original!G376</f>
        <v>0</v>
      </c>
      <c r="G377">
        <f>Food_Original!H376</f>
        <v>0</v>
      </c>
    </row>
    <row r="378" spans="1:7" x14ac:dyDescent="0.2">
      <c r="A378" t="str">
        <f>_xlfn.CONCAT(Food_Original!A377," - ",Food_Original!B377)</f>
        <v xml:space="preserve"> - </v>
      </c>
      <c r="B378">
        <f>Food_Original!C377</f>
        <v>0</v>
      </c>
      <c r="C378">
        <f>Food_Original!D377</f>
        <v>0</v>
      </c>
      <c r="D378">
        <f>Food_Original!E377</f>
        <v>0</v>
      </c>
      <c r="E378">
        <f>Food_Original!F377</f>
        <v>0</v>
      </c>
      <c r="F378">
        <f>Food_Original!G377</f>
        <v>0</v>
      </c>
      <c r="G378">
        <f>Food_Original!H377</f>
        <v>0</v>
      </c>
    </row>
    <row r="379" spans="1:7" x14ac:dyDescent="0.2">
      <c r="A379" t="str">
        <f>_xlfn.CONCAT(Food_Original!A378," - ",Food_Original!B378)</f>
        <v xml:space="preserve"> - </v>
      </c>
      <c r="B379">
        <f>Food_Original!C378</f>
        <v>0</v>
      </c>
      <c r="C379">
        <f>Food_Original!D378</f>
        <v>0</v>
      </c>
      <c r="D379">
        <f>Food_Original!E378</f>
        <v>0</v>
      </c>
      <c r="E379">
        <f>Food_Original!F378</f>
        <v>0</v>
      </c>
      <c r="F379">
        <f>Food_Original!G378</f>
        <v>0</v>
      </c>
      <c r="G379">
        <f>Food_Original!H378</f>
        <v>0</v>
      </c>
    </row>
    <row r="380" spans="1:7" x14ac:dyDescent="0.2">
      <c r="A380" t="str">
        <f>_xlfn.CONCAT(Food_Original!A379," - ",Food_Original!B379)</f>
        <v xml:space="preserve"> - </v>
      </c>
      <c r="B380">
        <f>Food_Original!C379</f>
        <v>0</v>
      </c>
      <c r="C380">
        <f>Food_Original!D379</f>
        <v>0</v>
      </c>
      <c r="D380">
        <f>Food_Original!E379</f>
        <v>0</v>
      </c>
      <c r="E380">
        <f>Food_Original!F379</f>
        <v>0</v>
      </c>
      <c r="F380">
        <f>Food_Original!G379</f>
        <v>0</v>
      </c>
      <c r="G380">
        <f>Food_Original!H379</f>
        <v>0</v>
      </c>
    </row>
    <row r="381" spans="1:7" x14ac:dyDescent="0.2">
      <c r="A381" t="str">
        <f>_xlfn.CONCAT(Food_Original!A380," - ",Food_Original!B380)</f>
        <v xml:space="preserve"> - </v>
      </c>
      <c r="B381">
        <f>Food_Original!C380</f>
        <v>0</v>
      </c>
      <c r="C381">
        <f>Food_Original!D380</f>
        <v>0</v>
      </c>
      <c r="D381">
        <f>Food_Original!E380</f>
        <v>0</v>
      </c>
      <c r="E381">
        <f>Food_Original!F380</f>
        <v>0</v>
      </c>
      <c r="F381">
        <f>Food_Original!G380</f>
        <v>0</v>
      </c>
      <c r="G381">
        <f>Food_Original!H380</f>
        <v>0</v>
      </c>
    </row>
    <row r="382" spans="1:7" x14ac:dyDescent="0.2">
      <c r="A382" t="str">
        <f>_xlfn.CONCAT(Food_Original!A381," - ",Food_Original!B381)</f>
        <v xml:space="preserve"> - </v>
      </c>
      <c r="B382">
        <f>Food_Original!C381</f>
        <v>0</v>
      </c>
      <c r="C382">
        <f>Food_Original!D381</f>
        <v>0</v>
      </c>
      <c r="D382">
        <f>Food_Original!E381</f>
        <v>0</v>
      </c>
      <c r="E382">
        <f>Food_Original!F381</f>
        <v>0</v>
      </c>
      <c r="F382">
        <f>Food_Original!G381</f>
        <v>0</v>
      </c>
      <c r="G382">
        <f>Food_Original!H381</f>
        <v>0</v>
      </c>
    </row>
    <row r="383" spans="1:7" x14ac:dyDescent="0.2">
      <c r="A383" t="str">
        <f>_xlfn.CONCAT(Food_Original!A382," - ",Food_Original!B382)</f>
        <v xml:space="preserve"> - </v>
      </c>
      <c r="B383">
        <f>Food_Original!C382</f>
        <v>0</v>
      </c>
      <c r="C383">
        <f>Food_Original!D382</f>
        <v>0</v>
      </c>
      <c r="D383">
        <f>Food_Original!E382</f>
        <v>0</v>
      </c>
      <c r="E383">
        <f>Food_Original!F382</f>
        <v>0</v>
      </c>
      <c r="F383">
        <f>Food_Original!G382</f>
        <v>0</v>
      </c>
      <c r="G383">
        <f>Food_Original!H382</f>
        <v>0</v>
      </c>
    </row>
    <row r="384" spans="1:7" x14ac:dyDescent="0.2">
      <c r="A384" t="str">
        <f>_xlfn.CONCAT(Food_Original!A383," - ",Food_Original!B383)</f>
        <v xml:space="preserve"> - </v>
      </c>
      <c r="B384">
        <f>Food_Original!C383</f>
        <v>0</v>
      </c>
      <c r="C384">
        <f>Food_Original!D383</f>
        <v>0</v>
      </c>
      <c r="D384">
        <f>Food_Original!E383</f>
        <v>0</v>
      </c>
      <c r="E384">
        <f>Food_Original!F383</f>
        <v>0</v>
      </c>
      <c r="F384">
        <f>Food_Original!G383</f>
        <v>0</v>
      </c>
      <c r="G384">
        <f>Food_Original!H383</f>
        <v>0</v>
      </c>
    </row>
    <row r="385" spans="1:7" x14ac:dyDescent="0.2">
      <c r="A385" t="str">
        <f>_xlfn.CONCAT(Food_Original!A384," - ",Food_Original!B384)</f>
        <v xml:space="preserve"> - </v>
      </c>
      <c r="B385">
        <f>Food_Original!C384</f>
        <v>0</v>
      </c>
      <c r="C385">
        <f>Food_Original!D384</f>
        <v>0</v>
      </c>
      <c r="D385">
        <f>Food_Original!E384</f>
        <v>0</v>
      </c>
      <c r="E385">
        <f>Food_Original!F384</f>
        <v>0</v>
      </c>
      <c r="F385">
        <f>Food_Original!G384</f>
        <v>0</v>
      </c>
      <c r="G385">
        <f>Food_Original!H384</f>
        <v>0</v>
      </c>
    </row>
    <row r="386" spans="1:7" x14ac:dyDescent="0.2">
      <c r="A386" t="str">
        <f>_xlfn.CONCAT(Food_Original!A385," - ",Food_Original!B385)</f>
        <v xml:space="preserve"> - </v>
      </c>
      <c r="B386">
        <f>Food_Original!C385</f>
        <v>0</v>
      </c>
      <c r="C386">
        <f>Food_Original!D385</f>
        <v>0</v>
      </c>
      <c r="D386">
        <f>Food_Original!E385</f>
        <v>0</v>
      </c>
      <c r="E386">
        <f>Food_Original!F385</f>
        <v>0</v>
      </c>
      <c r="F386">
        <f>Food_Original!G385</f>
        <v>0</v>
      </c>
      <c r="G386">
        <f>Food_Original!H385</f>
        <v>0</v>
      </c>
    </row>
    <row r="387" spans="1:7" x14ac:dyDescent="0.2">
      <c r="A387" t="str">
        <f>_xlfn.CONCAT(Food_Original!A386," - ",Food_Original!B386)</f>
        <v xml:space="preserve"> - </v>
      </c>
      <c r="B387">
        <f>Food_Original!C386</f>
        <v>0</v>
      </c>
      <c r="C387">
        <f>Food_Original!D386</f>
        <v>0</v>
      </c>
      <c r="D387">
        <f>Food_Original!E386</f>
        <v>0</v>
      </c>
      <c r="E387">
        <f>Food_Original!F386</f>
        <v>0</v>
      </c>
      <c r="F387">
        <f>Food_Original!G386</f>
        <v>0</v>
      </c>
      <c r="G387">
        <f>Food_Original!H386</f>
        <v>0</v>
      </c>
    </row>
    <row r="388" spans="1:7" x14ac:dyDescent="0.2">
      <c r="A388" t="str">
        <f>_xlfn.CONCAT(Food_Original!A387," - ",Food_Original!B387)</f>
        <v xml:space="preserve"> - </v>
      </c>
      <c r="B388">
        <f>Food_Original!C387</f>
        <v>0</v>
      </c>
      <c r="C388">
        <f>Food_Original!D387</f>
        <v>0</v>
      </c>
      <c r="D388">
        <f>Food_Original!E387</f>
        <v>0</v>
      </c>
      <c r="E388">
        <f>Food_Original!F387</f>
        <v>0</v>
      </c>
      <c r="F388">
        <f>Food_Original!G387</f>
        <v>0</v>
      </c>
      <c r="G388">
        <f>Food_Original!H387</f>
        <v>0</v>
      </c>
    </row>
    <row r="389" spans="1:7" x14ac:dyDescent="0.2">
      <c r="A389" t="str">
        <f>_xlfn.CONCAT(Food_Original!A388," - ",Food_Original!B388)</f>
        <v xml:space="preserve"> - </v>
      </c>
      <c r="B389">
        <f>Food_Original!C388</f>
        <v>0</v>
      </c>
      <c r="C389">
        <f>Food_Original!D388</f>
        <v>0</v>
      </c>
      <c r="D389">
        <f>Food_Original!E388</f>
        <v>0</v>
      </c>
      <c r="E389">
        <f>Food_Original!F388</f>
        <v>0</v>
      </c>
      <c r="F389">
        <f>Food_Original!G388</f>
        <v>0</v>
      </c>
      <c r="G389">
        <f>Food_Original!H388</f>
        <v>0</v>
      </c>
    </row>
    <row r="390" spans="1:7" x14ac:dyDescent="0.2">
      <c r="A390" t="str">
        <f>_xlfn.CONCAT(Food_Original!A389," - ",Food_Original!B389)</f>
        <v xml:space="preserve"> - </v>
      </c>
      <c r="B390">
        <f>Food_Original!C389</f>
        <v>0</v>
      </c>
      <c r="C390">
        <f>Food_Original!D389</f>
        <v>0</v>
      </c>
      <c r="D390">
        <f>Food_Original!E389</f>
        <v>0</v>
      </c>
      <c r="E390">
        <f>Food_Original!F389</f>
        <v>0</v>
      </c>
      <c r="F390">
        <f>Food_Original!G389</f>
        <v>0</v>
      </c>
      <c r="G390">
        <f>Food_Original!H389</f>
        <v>0</v>
      </c>
    </row>
    <row r="391" spans="1:7" x14ac:dyDescent="0.2">
      <c r="A391" t="str">
        <f>_xlfn.CONCAT(Food_Original!A390," - ",Food_Original!B390)</f>
        <v xml:space="preserve"> - </v>
      </c>
      <c r="B391">
        <f>Food_Original!C390</f>
        <v>0</v>
      </c>
      <c r="C391">
        <f>Food_Original!D390</f>
        <v>0</v>
      </c>
      <c r="D391">
        <f>Food_Original!E390</f>
        <v>0</v>
      </c>
      <c r="E391">
        <f>Food_Original!F390</f>
        <v>0</v>
      </c>
      <c r="F391">
        <f>Food_Original!G390</f>
        <v>0</v>
      </c>
      <c r="G391">
        <f>Food_Original!H390</f>
        <v>0</v>
      </c>
    </row>
    <row r="392" spans="1:7" x14ac:dyDescent="0.2">
      <c r="A392" t="str">
        <f>_xlfn.CONCAT(Food_Original!A391," - ",Food_Original!B391)</f>
        <v xml:space="preserve"> - </v>
      </c>
      <c r="B392">
        <f>Food_Original!C391</f>
        <v>0</v>
      </c>
      <c r="C392">
        <f>Food_Original!D391</f>
        <v>0</v>
      </c>
      <c r="D392">
        <f>Food_Original!E391</f>
        <v>0</v>
      </c>
      <c r="E392">
        <f>Food_Original!F391</f>
        <v>0</v>
      </c>
      <c r="F392">
        <f>Food_Original!G391</f>
        <v>0</v>
      </c>
      <c r="G392">
        <f>Food_Original!H391</f>
        <v>0</v>
      </c>
    </row>
    <row r="393" spans="1:7" x14ac:dyDescent="0.2">
      <c r="A393" t="str">
        <f>_xlfn.CONCAT(Food_Original!A392," - ",Food_Original!B392)</f>
        <v xml:space="preserve"> - </v>
      </c>
      <c r="B393">
        <f>Food_Original!C392</f>
        <v>0</v>
      </c>
      <c r="C393">
        <f>Food_Original!D392</f>
        <v>0</v>
      </c>
      <c r="D393">
        <f>Food_Original!E392</f>
        <v>0</v>
      </c>
      <c r="E393">
        <f>Food_Original!F392</f>
        <v>0</v>
      </c>
      <c r="F393">
        <f>Food_Original!G392</f>
        <v>0</v>
      </c>
      <c r="G393">
        <f>Food_Original!H392</f>
        <v>0</v>
      </c>
    </row>
    <row r="394" spans="1:7" x14ac:dyDescent="0.2">
      <c r="A394" t="str">
        <f>_xlfn.CONCAT(Food_Original!A393," - ",Food_Original!B393)</f>
        <v xml:space="preserve"> - </v>
      </c>
      <c r="B394">
        <f>Food_Original!C393</f>
        <v>0</v>
      </c>
      <c r="C394">
        <f>Food_Original!D393</f>
        <v>0</v>
      </c>
      <c r="D394">
        <f>Food_Original!E393</f>
        <v>0</v>
      </c>
      <c r="E394">
        <f>Food_Original!F393</f>
        <v>0</v>
      </c>
      <c r="F394">
        <f>Food_Original!G393</f>
        <v>0</v>
      </c>
      <c r="G394">
        <f>Food_Original!H393</f>
        <v>0</v>
      </c>
    </row>
    <row r="395" spans="1:7" x14ac:dyDescent="0.2">
      <c r="A395" t="str">
        <f>_xlfn.CONCAT(Food_Original!A394," - ",Food_Original!B394)</f>
        <v xml:space="preserve"> - </v>
      </c>
      <c r="B395">
        <f>Food_Original!C394</f>
        <v>0</v>
      </c>
      <c r="C395">
        <f>Food_Original!D394</f>
        <v>0</v>
      </c>
      <c r="D395">
        <f>Food_Original!E394</f>
        <v>0</v>
      </c>
      <c r="E395">
        <f>Food_Original!F394</f>
        <v>0</v>
      </c>
      <c r="F395">
        <f>Food_Original!G394</f>
        <v>0</v>
      </c>
      <c r="G395">
        <f>Food_Original!H394</f>
        <v>0</v>
      </c>
    </row>
    <row r="396" spans="1:7" x14ac:dyDescent="0.2">
      <c r="A396" t="str">
        <f>_xlfn.CONCAT(Food_Original!A395," - ",Food_Original!B395)</f>
        <v xml:space="preserve"> - </v>
      </c>
      <c r="B396">
        <f>Food_Original!C395</f>
        <v>0</v>
      </c>
      <c r="C396">
        <f>Food_Original!D395</f>
        <v>0</v>
      </c>
      <c r="D396">
        <f>Food_Original!E395</f>
        <v>0</v>
      </c>
      <c r="E396">
        <f>Food_Original!F395</f>
        <v>0</v>
      </c>
      <c r="F396">
        <f>Food_Original!G395</f>
        <v>0</v>
      </c>
      <c r="G396">
        <f>Food_Original!H395</f>
        <v>0</v>
      </c>
    </row>
    <row r="397" spans="1:7" x14ac:dyDescent="0.2">
      <c r="A397" t="str">
        <f>_xlfn.CONCAT(Food_Original!A396," - ",Food_Original!B396)</f>
        <v xml:space="preserve"> - </v>
      </c>
      <c r="B397">
        <f>Food_Original!C396</f>
        <v>0</v>
      </c>
      <c r="C397">
        <f>Food_Original!D396</f>
        <v>0</v>
      </c>
      <c r="D397">
        <f>Food_Original!E396</f>
        <v>0</v>
      </c>
      <c r="E397">
        <f>Food_Original!F396</f>
        <v>0</v>
      </c>
      <c r="F397">
        <f>Food_Original!G396</f>
        <v>0</v>
      </c>
      <c r="G397">
        <f>Food_Original!H396</f>
        <v>0</v>
      </c>
    </row>
    <row r="398" spans="1:7" x14ac:dyDescent="0.2">
      <c r="A398" t="str">
        <f>_xlfn.CONCAT(Food_Original!A397," - ",Food_Original!B397)</f>
        <v xml:space="preserve"> - </v>
      </c>
      <c r="B398">
        <f>Food_Original!C397</f>
        <v>0</v>
      </c>
      <c r="C398">
        <f>Food_Original!D397</f>
        <v>0</v>
      </c>
      <c r="D398">
        <f>Food_Original!E397</f>
        <v>0</v>
      </c>
      <c r="E398">
        <f>Food_Original!F397</f>
        <v>0</v>
      </c>
      <c r="F398">
        <f>Food_Original!G397</f>
        <v>0</v>
      </c>
      <c r="G398">
        <f>Food_Original!H397</f>
        <v>0</v>
      </c>
    </row>
    <row r="399" spans="1:7" x14ac:dyDescent="0.2">
      <c r="A399" t="str">
        <f>_xlfn.CONCAT(Food_Original!A398," - ",Food_Original!B398)</f>
        <v xml:space="preserve"> - </v>
      </c>
      <c r="B399">
        <f>Food_Original!C398</f>
        <v>0</v>
      </c>
      <c r="C399">
        <f>Food_Original!D398</f>
        <v>0</v>
      </c>
      <c r="D399">
        <f>Food_Original!E398</f>
        <v>0</v>
      </c>
      <c r="E399">
        <f>Food_Original!F398</f>
        <v>0</v>
      </c>
      <c r="F399">
        <f>Food_Original!G398</f>
        <v>0</v>
      </c>
      <c r="G399">
        <f>Food_Original!H398</f>
        <v>0</v>
      </c>
    </row>
    <row r="400" spans="1:7" x14ac:dyDescent="0.2">
      <c r="A400" t="str">
        <f>_xlfn.CONCAT(Food_Original!A399," - ",Food_Original!B399)</f>
        <v xml:space="preserve"> - </v>
      </c>
      <c r="B400">
        <f>Food_Original!C399</f>
        <v>0</v>
      </c>
      <c r="C400">
        <f>Food_Original!D399</f>
        <v>0</v>
      </c>
      <c r="D400">
        <f>Food_Original!E399</f>
        <v>0</v>
      </c>
      <c r="E400">
        <f>Food_Original!F399</f>
        <v>0</v>
      </c>
      <c r="F400">
        <f>Food_Original!G399</f>
        <v>0</v>
      </c>
      <c r="G400">
        <f>Food_Original!H399</f>
        <v>0</v>
      </c>
    </row>
    <row r="401" spans="1:7" x14ac:dyDescent="0.2">
      <c r="A401" t="str">
        <f>_xlfn.CONCAT(Food_Original!A400," - ",Food_Original!B400)</f>
        <v xml:space="preserve"> - </v>
      </c>
      <c r="B401">
        <f>Food_Original!C400</f>
        <v>0</v>
      </c>
      <c r="C401">
        <f>Food_Original!D400</f>
        <v>0</v>
      </c>
      <c r="D401">
        <f>Food_Original!E400</f>
        <v>0</v>
      </c>
      <c r="E401">
        <f>Food_Original!F400</f>
        <v>0</v>
      </c>
      <c r="F401">
        <f>Food_Original!G400</f>
        <v>0</v>
      </c>
      <c r="G401">
        <f>Food_Original!H400</f>
        <v>0</v>
      </c>
    </row>
    <row r="402" spans="1:7" x14ac:dyDescent="0.2">
      <c r="A402" t="str">
        <f>_xlfn.CONCAT(Food_Original!A401," - ",Food_Original!B401)</f>
        <v xml:space="preserve"> - </v>
      </c>
      <c r="B402">
        <f>Food_Original!C401</f>
        <v>0</v>
      </c>
      <c r="C402">
        <f>Food_Original!D401</f>
        <v>0</v>
      </c>
      <c r="D402">
        <f>Food_Original!E401</f>
        <v>0</v>
      </c>
      <c r="E402">
        <f>Food_Original!F401</f>
        <v>0</v>
      </c>
      <c r="F402">
        <f>Food_Original!G401</f>
        <v>0</v>
      </c>
      <c r="G402">
        <f>Food_Original!H401</f>
        <v>0</v>
      </c>
    </row>
    <row r="403" spans="1:7" x14ac:dyDescent="0.2">
      <c r="A403" t="str">
        <f>_xlfn.CONCAT(Food_Original!A402," - ",Food_Original!B402)</f>
        <v xml:space="preserve"> - </v>
      </c>
      <c r="B403">
        <f>Food_Original!C402</f>
        <v>0</v>
      </c>
      <c r="C403">
        <f>Food_Original!D402</f>
        <v>0</v>
      </c>
      <c r="D403">
        <f>Food_Original!E402</f>
        <v>0</v>
      </c>
      <c r="E403">
        <f>Food_Original!F402</f>
        <v>0</v>
      </c>
      <c r="F403">
        <f>Food_Original!G402</f>
        <v>0</v>
      </c>
      <c r="G403">
        <f>Food_Original!H402</f>
        <v>0</v>
      </c>
    </row>
    <row r="404" spans="1:7" x14ac:dyDescent="0.2">
      <c r="A404" t="str">
        <f>_xlfn.CONCAT(Food_Original!A403," - ",Food_Original!B403)</f>
        <v xml:space="preserve"> - </v>
      </c>
      <c r="B404">
        <f>Food_Original!C403</f>
        <v>0</v>
      </c>
      <c r="C404">
        <f>Food_Original!D403</f>
        <v>0</v>
      </c>
      <c r="D404">
        <f>Food_Original!E403</f>
        <v>0</v>
      </c>
      <c r="E404">
        <f>Food_Original!F403</f>
        <v>0</v>
      </c>
      <c r="F404">
        <f>Food_Original!G403</f>
        <v>0</v>
      </c>
      <c r="G404">
        <f>Food_Original!H403</f>
        <v>0</v>
      </c>
    </row>
    <row r="405" spans="1:7" x14ac:dyDescent="0.2">
      <c r="A405" t="str">
        <f>_xlfn.CONCAT(Food_Original!A404," - ",Food_Original!B404)</f>
        <v xml:space="preserve"> - </v>
      </c>
      <c r="B405">
        <f>Food_Original!C404</f>
        <v>0</v>
      </c>
      <c r="C405">
        <f>Food_Original!D404</f>
        <v>0</v>
      </c>
      <c r="D405">
        <f>Food_Original!E404</f>
        <v>0</v>
      </c>
      <c r="E405">
        <f>Food_Original!F404</f>
        <v>0</v>
      </c>
      <c r="F405">
        <f>Food_Original!G404</f>
        <v>0</v>
      </c>
      <c r="G405">
        <f>Food_Original!H404</f>
        <v>0</v>
      </c>
    </row>
    <row r="406" spans="1:7" x14ac:dyDescent="0.2">
      <c r="A406" t="str">
        <f>_xlfn.CONCAT(Food_Original!A405," - ",Food_Original!B405)</f>
        <v xml:space="preserve"> - </v>
      </c>
      <c r="B406">
        <f>Food_Original!C405</f>
        <v>0</v>
      </c>
      <c r="C406">
        <f>Food_Original!D405</f>
        <v>0</v>
      </c>
      <c r="D406">
        <f>Food_Original!E405</f>
        <v>0</v>
      </c>
      <c r="E406">
        <f>Food_Original!F405</f>
        <v>0</v>
      </c>
      <c r="F406">
        <f>Food_Original!G405</f>
        <v>0</v>
      </c>
      <c r="G406">
        <f>Food_Original!H405</f>
        <v>0</v>
      </c>
    </row>
    <row r="407" spans="1:7" x14ac:dyDescent="0.2">
      <c r="A407" t="str">
        <f>_xlfn.CONCAT(Food_Original!A406," - ",Food_Original!B406)</f>
        <v xml:space="preserve"> - </v>
      </c>
      <c r="B407">
        <f>Food_Original!C406</f>
        <v>0</v>
      </c>
      <c r="C407">
        <f>Food_Original!D406</f>
        <v>0</v>
      </c>
      <c r="D407">
        <f>Food_Original!E406</f>
        <v>0</v>
      </c>
      <c r="E407">
        <f>Food_Original!F406</f>
        <v>0</v>
      </c>
      <c r="F407">
        <f>Food_Original!G406</f>
        <v>0</v>
      </c>
      <c r="G407">
        <f>Food_Original!H406</f>
        <v>0</v>
      </c>
    </row>
    <row r="408" spans="1:7" x14ac:dyDescent="0.2">
      <c r="A408" t="str">
        <f>_xlfn.CONCAT(Food_Original!A407," - ",Food_Original!B407)</f>
        <v xml:space="preserve"> - </v>
      </c>
      <c r="B408">
        <f>Food_Original!C407</f>
        <v>0</v>
      </c>
      <c r="C408">
        <f>Food_Original!D407</f>
        <v>0</v>
      </c>
      <c r="D408">
        <f>Food_Original!E407</f>
        <v>0</v>
      </c>
      <c r="E408">
        <f>Food_Original!F407</f>
        <v>0</v>
      </c>
      <c r="F408">
        <f>Food_Original!G407</f>
        <v>0</v>
      </c>
      <c r="G408">
        <f>Food_Original!H407</f>
        <v>0</v>
      </c>
    </row>
    <row r="409" spans="1:7" x14ac:dyDescent="0.2">
      <c r="A409" t="str">
        <f>_xlfn.CONCAT(Food_Original!A408," - ",Food_Original!B408)</f>
        <v xml:space="preserve"> - </v>
      </c>
      <c r="B409">
        <f>Food_Original!C408</f>
        <v>0</v>
      </c>
      <c r="C409">
        <f>Food_Original!D408</f>
        <v>0</v>
      </c>
      <c r="D409">
        <f>Food_Original!E408</f>
        <v>0</v>
      </c>
      <c r="E409">
        <f>Food_Original!F408</f>
        <v>0</v>
      </c>
      <c r="F409">
        <f>Food_Original!G408</f>
        <v>0</v>
      </c>
      <c r="G409">
        <f>Food_Original!H408</f>
        <v>0</v>
      </c>
    </row>
    <row r="410" spans="1:7" x14ac:dyDescent="0.2">
      <c r="A410" t="str">
        <f>_xlfn.CONCAT(Food_Original!A409," - ",Food_Original!B409)</f>
        <v xml:space="preserve"> - </v>
      </c>
      <c r="B410">
        <f>Food_Original!C409</f>
        <v>0</v>
      </c>
      <c r="C410">
        <f>Food_Original!D409</f>
        <v>0</v>
      </c>
      <c r="D410">
        <f>Food_Original!E409</f>
        <v>0</v>
      </c>
      <c r="E410">
        <f>Food_Original!F409</f>
        <v>0</v>
      </c>
      <c r="F410">
        <f>Food_Original!G409</f>
        <v>0</v>
      </c>
      <c r="G410">
        <f>Food_Original!H409</f>
        <v>0</v>
      </c>
    </row>
    <row r="411" spans="1:7" x14ac:dyDescent="0.2">
      <c r="A411" t="str">
        <f>_xlfn.CONCAT(Food_Original!A410," - ",Food_Original!B410)</f>
        <v xml:space="preserve"> - </v>
      </c>
      <c r="B411">
        <f>Food_Original!C410</f>
        <v>0</v>
      </c>
      <c r="C411">
        <f>Food_Original!D410</f>
        <v>0</v>
      </c>
      <c r="D411">
        <f>Food_Original!E410</f>
        <v>0</v>
      </c>
      <c r="E411">
        <f>Food_Original!F410</f>
        <v>0</v>
      </c>
      <c r="F411">
        <f>Food_Original!G410</f>
        <v>0</v>
      </c>
      <c r="G411">
        <f>Food_Original!H410</f>
        <v>0</v>
      </c>
    </row>
    <row r="412" spans="1:7" x14ac:dyDescent="0.2">
      <c r="A412" t="str">
        <f>_xlfn.CONCAT(Food_Original!A411," - ",Food_Original!B411)</f>
        <v xml:space="preserve"> - </v>
      </c>
      <c r="B412">
        <f>Food_Original!C411</f>
        <v>0</v>
      </c>
      <c r="C412">
        <f>Food_Original!D411</f>
        <v>0</v>
      </c>
      <c r="D412">
        <f>Food_Original!E411</f>
        <v>0</v>
      </c>
      <c r="E412">
        <f>Food_Original!F411</f>
        <v>0</v>
      </c>
      <c r="F412">
        <f>Food_Original!G411</f>
        <v>0</v>
      </c>
      <c r="G412">
        <f>Food_Original!H411</f>
        <v>0</v>
      </c>
    </row>
    <row r="413" spans="1:7" x14ac:dyDescent="0.2">
      <c r="A413" t="str">
        <f>_xlfn.CONCAT(Food_Original!A412," - ",Food_Original!B412)</f>
        <v xml:space="preserve"> - </v>
      </c>
      <c r="B413">
        <f>Food_Original!C412</f>
        <v>0</v>
      </c>
      <c r="C413">
        <f>Food_Original!D412</f>
        <v>0</v>
      </c>
      <c r="D413">
        <f>Food_Original!E412</f>
        <v>0</v>
      </c>
      <c r="E413">
        <f>Food_Original!F412</f>
        <v>0</v>
      </c>
      <c r="F413">
        <f>Food_Original!G412</f>
        <v>0</v>
      </c>
      <c r="G413">
        <f>Food_Original!H412</f>
        <v>0</v>
      </c>
    </row>
    <row r="414" spans="1:7" x14ac:dyDescent="0.2">
      <c r="A414" t="str">
        <f>_xlfn.CONCAT(Food_Original!A413," - ",Food_Original!B413)</f>
        <v xml:space="preserve"> - </v>
      </c>
      <c r="B414">
        <f>Food_Original!C413</f>
        <v>0</v>
      </c>
      <c r="C414">
        <f>Food_Original!D413</f>
        <v>0</v>
      </c>
      <c r="D414">
        <f>Food_Original!E413</f>
        <v>0</v>
      </c>
      <c r="E414">
        <f>Food_Original!F413</f>
        <v>0</v>
      </c>
      <c r="F414">
        <f>Food_Original!G413</f>
        <v>0</v>
      </c>
      <c r="G414">
        <f>Food_Original!H413</f>
        <v>0</v>
      </c>
    </row>
    <row r="415" spans="1:7" x14ac:dyDescent="0.2">
      <c r="A415" t="str">
        <f>_xlfn.CONCAT(Food_Original!A414," - ",Food_Original!B414)</f>
        <v xml:space="preserve"> - </v>
      </c>
      <c r="B415">
        <f>Food_Original!C414</f>
        <v>0</v>
      </c>
      <c r="C415">
        <f>Food_Original!D414</f>
        <v>0</v>
      </c>
      <c r="D415">
        <f>Food_Original!E414</f>
        <v>0</v>
      </c>
      <c r="E415">
        <f>Food_Original!F414</f>
        <v>0</v>
      </c>
      <c r="F415">
        <f>Food_Original!G414</f>
        <v>0</v>
      </c>
      <c r="G415">
        <f>Food_Original!H414</f>
        <v>0</v>
      </c>
    </row>
    <row r="416" spans="1:7" x14ac:dyDescent="0.2">
      <c r="A416" t="str">
        <f>_xlfn.CONCAT(Food_Original!A415," - ",Food_Original!B415)</f>
        <v xml:space="preserve"> - </v>
      </c>
      <c r="B416">
        <f>Food_Original!C415</f>
        <v>0</v>
      </c>
      <c r="C416">
        <f>Food_Original!D415</f>
        <v>0</v>
      </c>
      <c r="D416">
        <f>Food_Original!E415</f>
        <v>0</v>
      </c>
      <c r="E416">
        <f>Food_Original!F415</f>
        <v>0</v>
      </c>
      <c r="F416">
        <f>Food_Original!G415</f>
        <v>0</v>
      </c>
      <c r="G416">
        <f>Food_Original!H415</f>
        <v>0</v>
      </c>
    </row>
    <row r="417" spans="1:7" x14ac:dyDescent="0.2">
      <c r="A417" t="str">
        <f>_xlfn.CONCAT(Food_Original!A416," - ",Food_Original!B416)</f>
        <v xml:space="preserve"> - </v>
      </c>
      <c r="B417">
        <f>Food_Original!C416</f>
        <v>0</v>
      </c>
      <c r="C417">
        <f>Food_Original!D416</f>
        <v>0</v>
      </c>
      <c r="D417">
        <f>Food_Original!E416</f>
        <v>0</v>
      </c>
      <c r="E417">
        <f>Food_Original!F416</f>
        <v>0</v>
      </c>
      <c r="F417">
        <f>Food_Original!G416</f>
        <v>0</v>
      </c>
      <c r="G417">
        <f>Food_Original!H416</f>
        <v>0</v>
      </c>
    </row>
    <row r="418" spans="1:7" x14ac:dyDescent="0.2">
      <c r="A418" t="str">
        <f>_xlfn.CONCAT(Food_Original!A417," - ",Food_Original!B417)</f>
        <v xml:space="preserve"> - </v>
      </c>
      <c r="B418">
        <f>Food_Original!C417</f>
        <v>0</v>
      </c>
      <c r="C418">
        <f>Food_Original!D417</f>
        <v>0</v>
      </c>
      <c r="D418">
        <f>Food_Original!E417</f>
        <v>0</v>
      </c>
      <c r="E418">
        <f>Food_Original!F417</f>
        <v>0</v>
      </c>
      <c r="F418">
        <f>Food_Original!G417</f>
        <v>0</v>
      </c>
      <c r="G418">
        <f>Food_Original!H417</f>
        <v>0</v>
      </c>
    </row>
    <row r="419" spans="1:7" x14ac:dyDescent="0.2">
      <c r="A419" t="str">
        <f>_xlfn.CONCAT(Food_Original!A418," - ",Food_Original!B418)</f>
        <v xml:space="preserve"> - </v>
      </c>
      <c r="B419">
        <f>Food_Original!C418</f>
        <v>0</v>
      </c>
      <c r="C419">
        <f>Food_Original!D418</f>
        <v>0</v>
      </c>
      <c r="D419">
        <f>Food_Original!E418</f>
        <v>0</v>
      </c>
      <c r="E419">
        <f>Food_Original!F418</f>
        <v>0</v>
      </c>
      <c r="F419">
        <f>Food_Original!G418</f>
        <v>0</v>
      </c>
      <c r="G419">
        <f>Food_Original!H418</f>
        <v>0</v>
      </c>
    </row>
    <row r="420" spans="1:7" x14ac:dyDescent="0.2">
      <c r="A420" t="str">
        <f>_xlfn.CONCAT(Food_Original!A419," - ",Food_Original!B419)</f>
        <v xml:space="preserve"> - </v>
      </c>
      <c r="B420">
        <f>Food_Original!C419</f>
        <v>0</v>
      </c>
      <c r="C420">
        <f>Food_Original!D419</f>
        <v>0</v>
      </c>
      <c r="D420">
        <f>Food_Original!E419</f>
        <v>0</v>
      </c>
      <c r="E420">
        <f>Food_Original!F419</f>
        <v>0</v>
      </c>
      <c r="F420">
        <f>Food_Original!G419</f>
        <v>0</v>
      </c>
      <c r="G420">
        <f>Food_Original!H419</f>
        <v>0</v>
      </c>
    </row>
    <row r="421" spans="1:7" x14ac:dyDescent="0.2">
      <c r="A421" t="str">
        <f>_xlfn.CONCAT(Food_Original!A420," - ",Food_Original!B420)</f>
        <v xml:space="preserve"> - </v>
      </c>
      <c r="B421">
        <f>Food_Original!C420</f>
        <v>0</v>
      </c>
      <c r="C421">
        <f>Food_Original!D420</f>
        <v>0</v>
      </c>
      <c r="D421">
        <f>Food_Original!E420</f>
        <v>0</v>
      </c>
      <c r="E421">
        <f>Food_Original!F420</f>
        <v>0</v>
      </c>
      <c r="F421">
        <f>Food_Original!G420</f>
        <v>0</v>
      </c>
      <c r="G421">
        <f>Food_Original!H420</f>
        <v>0</v>
      </c>
    </row>
    <row r="422" spans="1:7" x14ac:dyDescent="0.2">
      <c r="A422" t="str">
        <f>_xlfn.CONCAT(Food_Original!A421," - ",Food_Original!B421)</f>
        <v xml:space="preserve"> - </v>
      </c>
      <c r="B422">
        <f>Food_Original!C421</f>
        <v>0</v>
      </c>
      <c r="C422">
        <f>Food_Original!D421</f>
        <v>0</v>
      </c>
      <c r="D422">
        <f>Food_Original!E421</f>
        <v>0</v>
      </c>
      <c r="E422">
        <f>Food_Original!F421</f>
        <v>0</v>
      </c>
      <c r="F422">
        <f>Food_Original!G421</f>
        <v>0</v>
      </c>
      <c r="G422">
        <f>Food_Original!H421</f>
        <v>0</v>
      </c>
    </row>
    <row r="423" spans="1:7" x14ac:dyDescent="0.2">
      <c r="A423" t="str">
        <f>_xlfn.CONCAT(Food_Original!A422," - ",Food_Original!B422)</f>
        <v xml:space="preserve"> - </v>
      </c>
      <c r="B423">
        <f>Food_Original!C422</f>
        <v>0</v>
      </c>
      <c r="C423">
        <f>Food_Original!D422</f>
        <v>0</v>
      </c>
      <c r="D423">
        <f>Food_Original!E422</f>
        <v>0</v>
      </c>
      <c r="E423">
        <f>Food_Original!F422</f>
        <v>0</v>
      </c>
      <c r="F423">
        <f>Food_Original!G422</f>
        <v>0</v>
      </c>
      <c r="G423">
        <f>Food_Original!H422</f>
        <v>0</v>
      </c>
    </row>
    <row r="424" spans="1:7" x14ac:dyDescent="0.2">
      <c r="A424" t="str">
        <f>_xlfn.CONCAT(Food_Original!A423," - ",Food_Original!B423)</f>
        <v xml:space="preserve"> - </v>
      </c>
      <c r="B424">
        <f>Food_Original!C423</f>
        <v>0</v>
      </c>
      <c r="C424">
        <f>Food_Original!D423</f>
        <v>0</v>
      </c>
      <c r="D424">
        <f>Food_Original!E423</f>
        <v>0</v>
      </c>
      <c r="E424">
        <f>Food_Original!F423</f>
        <v>0</v>
      </c>
      <c r="F424">
        <f>Food_Original!G423</f>
        <v>0</v>
      </c>
      <c r="G424">
        <f>Food_Original!H423</f>
        <v>0</v>
      </c>
    </row>
    <row r="425" spans="1:7" x14ac:dyDescent="0.2">
      <c r="A425" t="str">
        <f>_xlfn.CONCAT(Food_Original!A424," - ",Food_Original!B424)</f>
        <v xml:space="preserve"> - </v>
      </c>
      <c r="B425">
        <f>Food_Original!C424</f>
        <v>0</v>
      </c>
      <c r="C425">
        <f>Food_Original!D424</f>
        <v>0</v>
      </c>
      <c r="D425">
        <f>Food_Original!E424</f>
        <v>0</v>
      </c>
      <c r="E425">
        <f>Food_Original!F424</f>
        <v>0</v>
      </c>
      <c r="F425">
        <f>Food_Original!G424</f>
        <v>0</v>
      </c>
      <c r="G425">
        <f>Food_Original!H424</f>
        <v>0</v>
      </c>
    </row>
    <row r="426" spans="1:7" x14ac:dyDescent="0.2">
      <c r="A426" t="str">
        <f>_xlfn.CONCAT(Food_Original!A425," - ",Food_Original!B425)</f>
        <v xml:space="preserve"> - </v>
      </c>
      <c r="B426">
        <f>Food_Original!C425</f>
        <v>0</v>
      </c>
      <c r="C426">
        <f>Food_Original!D425</f>
        <v>0</v>
      </c>
      <c r="D426">
        <f>Food_Original!E425</f>
        <v>0</v>
      </c>
      <c r="E426">
        <f>Food_Original!F425</f>
        <v>0</v>
      </c>
      <c r="F426">
        <f>Food_Original!G425</f>
        <v>0</v>
      </c>
      <c r="G426">
        <f>Food_Original!H425</f>
        <v>0</v>
      </c>
    </row>
    <row r="427" spans="1:7" x14ac:dyDescent="0.2">
      <c r="A427" t="str">
        <f>_xlfn.CONCAT(Food_Original!A426," - ",Food_Original!B426)</f>
        <v xml:space="preserve"> - </v>
      </c>
      <c r="B427">
        <f>Food_Original!C426</f>
        <v>0</v>
      </c>
      <c r="C427">
        <f>Food_Original!D426</f>
        <v>0</v>
      </c>
      <c r="D427">
        <f>Food_Original!E426</f>
        <v>0</v>
      </c>
      <c r="E427">
        <f>Food_Original!F426</f>
        <v>0</v>
      </c>
      <c r="F427">
        <f>Food_Original!G426</f>
        <v>0</v>
      </c>
      <c r="G427">
        <f>Food_Original!H426</f>
        <v>0</v>
      </c>
    </row>
    <row r="428" spans="1:7" x14ac:dyDescent="0.2">
      <c r="A428" t="str">
        <f>_xlfn.CONCAT(Food_Original!A427," - ",Food_Original!B427)</f>
        <v xml:space="preserve"> - </v>
      </c>
      <c r="B428">
        <f>Food_Original!C427</f>
        <v>0</v>
      </c>
      <c r="C428">
        <f>Food_Original!D427</f>
        <v>0</v>
      </c>
      <c r="D428">
        <f>Food_Original!E427</f>
        <v>0</v>
      </c>
      <c r="E428">
        <f>Food_Original!F427</f>
        <v>0</v>
      </c>
      <c r="F428">
        <f>Food_Original!G427</f>
        <v>0</v>
      </c>
      <c r="G428">
        <f>Food_Original!H427</f>
        <v>0</v>
      </c>
    </row>
    <row r="429" spans="1:7" x14ac:dyDescent="0.2">
      <c r="A429" t="str">
        <f>_xlfn.CONCAT(Food_Original!A428," - ",Food_Original!B428)</f>
        <v xml:space="preserve"> - </v>
      </c>
      <c r="B429">
        <f>Food_Original!C428</f>
        <v>0</v>
      </c>
      <c r="C429">
        <f>Food_Original!D428</f>
        <v>0</v>
      </c>
      <c r="D429">
        <f>Food_Original!E428</f>
        <v>0</v>
      </c>
      <c r="E429">
        <f>Food_Original!F428</f>
        <v>0</v>
      </c>
      <c r="F429">
        <f>Food_Original!G428</f>
        <v>0</v>
      </c>
      <c r="G429">
        <f>Food_Original!H428</f>
        <v>0</v>
      </c>
    </row>
    <row r="430" spans="1:7" x14ac:dyDescent="0.2">
      <c r="A430" t="str">
        <f>_xlfn.CONCAT(Food_Original!A429," - ",Food_Original!B429)</f>
        <v xml:space="preserve"> - </v>
      </c>
      <c r="B430">
        <f>Food_Original!C429</f>
        <v>0</v>
      </c>
      <c r="C430">
        <f>Food_Original!D429</f>
        <v>0</v>
      </c>
      <c r="D430">
        <f>Food_Original!E429</f>
        <v>0</v>
      </c>
      <c r="E430">
        <f>Food_Original!F429</f>
        <v>0</v>
      </c>
      <c r="F430">
        <f>Food_Original!G429</f>
        <v>0</v>
      </c>
      <c r="G430">
        <f>Food_Original!H429</f>
        <v>0</v>
      </c>
    </row>
    <row r="431" spans="1:7" x14ac:dyDescent="0.2">
      <c r="A431" t="str">
        <f>_xlfn.CONCAT(Food_Original!A430," - ",Food_Original!B430)</f>
        <v xml:space="preserve"> - </v>
      </c>
      <c r="B431">
        <f>Food_Original!C430</f>
        <v>0</v>
      </c>
      <c r="C431">
        <f>Food_Original!D430</f>
        <v>0</v>
      </c>
      <c r="D431">
        <f>Food_Original!E430</f>
        <v>0</v>
      </c>
      <c r="E431">
        <f>Food_Original!F430</f>
        <v>0</v>
      </c>
      <c r="F431">
        <f>Food_Original!G430</f>
        <v>0</v>
      </c>
      <c r="G431">
        <f>Food_Original!H430</f>
        <v>0</v>
      </c>
    </row>
    <row r="432" spans="1:7" x14ac:dyDescent="0.2">
      <c r="A432" t="str">
        <f>_xlfn.CONCAT(Food_Original!A431," - ",Food_Original!B431)</f>
        <v xml:space="preserve"> - </v>
      </c>
      <c r="B432">
        <f>Food_Original!C431</f>
        <v>0</v>
      </c>
      <c r="C432">
        <f>Food_Original!D431</f>
        <v>0</v>
      </c>
      <c r="D432">
        <f>Food_Original!E431</f>
        <v>0</v>
      </c>
      <c r="E432">
        <f>Food_Original!F431</f>
        <v>0</v>
      </c>
      <c r="F432">
        <f>Food_Original!G431</f>
        <v>0</v>
      </c>
      <c r="G432">
        <f>Food_Original!H431</f>
        <v>0</v>
      </c>
    </row>
    <row r="433" spans="1:7" x14ac:dyDescent="0.2">
      <c r="A433" t="str">
        <f>_xlfn.CONCAT(Food_Original!A432," - ",Food_Original!B432)</f>
        <v xml:space="preserve"> - </v>
      </c>
      <c r="B433">
        <f>Food_Original!C432</f>
        <v>0</v>
      </c>
      <c r="C433">
        <f>Food_Original!D432</f>
        <v>0</v>
      </c>
      <c r="D433">
        <f>Food_Original!E432</f>
        <v>0</v>
      </c>
      <c r="E433">
        <f>Food_Original!F432</f>
        <v>0</v>
      </c>
      <c r="F433">
        <f>Food_Original!G432</f>
        <v>0</v>
      </c>
      <c r="G433">
        <f>Food_Original!H432</f>
        <v>0</v>
      </c>
    </row>
    <row r="434" spans="1:7" x14ac:dyDescent="0.2">
      <c r="A434" t="str">
        <f>_xlfn.CONCAT(Food_Original!A433," - ",Food_Original!B433)</f>
        <v xml:space="preserve"> - </v>
      </c>
      <c r="B434">
        <f>Food_Original!C433</f>
        <v>0</v>
      </c>
      <c r="C434">
        <f>Food_Original!D433</f>
        <v>0</v>
      </c>
      <c r="D434">
        <f>Food_Original!E433</f>
        <v>0</v>
      </c>
      <c r="E434">
        <f>Food_Original!F433</f>
        <v>0</v>
      </c>
      <c r="F434">
        <f>Food_Original!G433</f>
        <v>0</v>
      </c>
      <c r="G434">
        <f>Food_Original!H433</f>
        <v>0</v>
      </c>
    </row>
    <row r="435" spans="1:7" x14ac:dyDescent="0.2">
      <c r="A435" t="str">
        <f>_xlfn.CONCAT(Food_Original!A434," - ",Food_Original!B434)</f>
        <v xml:space="preserve"> - </v>
      </c>
      <c r="B435">
        <f>Food_Original!C434</f>
        <v>0</v>
      </c>
      <c r="C435">
        <f>Food_Original!D434</f>
        <v>0</v>
      </c>
      <c r="D435">
        <f>Food_Original!E434</f>
        <v>0</v>
      </c>
      <c r="E435">
        <f>Food_Original!F434</f>
        <v>0</v>
      </c>
      <c r="F435">
        <f>Food_Original!G434</f>
        <v>0</v>
      </c>
      <c r="G435">
        <f>Food_Original!H434</f>
        <v>0</v>
      </c>
    </row>
    <row r="436" spans="1:7" x14ac:dyDescent="0.2">
      <c r="A436" t="str">
        <f>_xlfn.CONCAT(Food_Original!A435," - ",Food_Original!B435)</f>
        <v xml:space="preserve"> - </v>
      </c>
      <c r="B436">
        <f>Food_Original!C435</f>
        <v>0</v>
      </c>
      <c r="C436">
        <f>Food_Original!D435</f>
        <v>0</v>
      </c>
      <c r="D436">
        <f>Food_Original!E435</f>
        <v>0</v>
      </c>
      <c r="E436">
        <f>Food_Original!F435</f>
        <v>0</v>
      </c>
      <c r="F436">
        <f>Food_Original!G435</f>
        <v>0</v>
      </c>
      <c r="G436">
        <f>Food_Original!H435</f>
        <v>0</v>
      </c>
    </row>
    <row r="437" spans="1:7" x14ac:dyDescent="0.2">
      <c r="A437" t="str">
        <f>_xlfn.CONCAT(Food_Original!A436," - ",Food_Original!B436)</f>
        <v xml:space="preserve"> - </v>
      </c>
      <c r="B437">
        <f>Food_Original!C436</f>
        <v>0</v>
      </c>
      <c r="C437">
        <f>Food_Original!D436</f>
        <v>0</v>
      </c>
      <c r="D437">
        <f>Food_Original!E436</f>
        <v>0</v>
      </c>
      <c r="E437">
        <f>Food_Original!F436</f>
        <v>0</v>
      </c>
      <c r="F437">
        <f>Food_Original!G436</f>
        <v>0</v>
      </c>
      <c r="G437">
        <f>Food_Original!H436</f>
        <v>0</v>
      </c>
    </row>
    <row r="438" spans="1:7" x14ac:dyDescent="0.2">
      <c r="A438" t="str">
        <f>_xlfn.CONCAT(Food_Original!A437," - ",Food_Original!B437)</f>
        <v xml:space="preserve"> - </v>
      </c>
      <c r="B438">
        <f>Food_Original!C437</f>
        <v>0</v>
      </c>
      <c r="C438">
        <f>Food_Original!D437</f>
        <v>0</v>
      </c>
      <c r="D438">
        <f>Food_Original!E437</f>
        <v>0</v>
      </c>
      <c r="E438">
        <f>Food_Original!F437</f>
        <v>0</v>
      </c>
      <c r="F438">
        <f>Food_Original!G437</f>
        <v>0</v>
      </c>
      <c r="G438">
        <f>Food_Original!H437</f>
        <v>0</v>
      </c>
    </row>
    <row r="439" spans="1:7" x14ac:dyDescent="0.2">
      <c r="A439" t="str">
        <f>_xlfn.CONCAT(Food_Original!A438," - ",Food_Original!B438)</f>
        <v xml:space="preserve"> - </v>
      </c>
      <c r="B439">
        <f>Food_Original!C438</f>
        <v>0</v>
      </c>
      <c r="C439">
        <f>Food_Original!D438</f>
        <v>0</v>
      </c>
      <c r="D439">
        <f>Food_Original!E438</f>
        <v>0</v>
      </c>
      <c r="E439">
        <f>Food_Original!F438</f>
        <v>0</v>
      </c>
      <c r="F439">
        <f>Food_Original!G438</f>
        <v>0</v>
      </c>
      <c r="G439">
        <f>Food_Original!H438</f>
        <v>0</v>
      </c>
    </row>
    <row r="440" spans="1:7" x14ac:dyDescent="0.2">
      <c r="A440" t="str">
        <f>_xlfn.CONCAT(Food_Original!A439," - ",Food_Original!B439)</f>
        <v xml:space="preserve"> - </v>
      </c>
      <c r="B440">
        <f>Food_Original!C439</f>
        <v>0</v>
      </c>
      <c r="C440">
        <f>Food_Original!D439</f>
        <v>0</v>
      </c>
      <c r="D440">
        <f>Food_Original!E439</f>
        <v>0</v>
      </c>
      <c r="E440">
        <f>Food_Original!F439</f>
        <v>0</v>
      </c>
      <c r="F440">
        <f>Food_Original!G439</f>
        <v>0</v>
      </c>
      <c r="G440">
        <f>Food_Original!H439</f>
        <v>0</v>
      </c>
    </row>
    <row r="441" spans="1:7" x14ac:dyDescent="0.2">
      <c r="A441" t="str">
        <f>_xlfn.CONCAT(Food_Original!A440," - ",Food_Original!B440)</f>
        <v xml:space="preserve"> - </v>
      </c>
      <c r="B441">
        <f>Food_Original!C440</f>
        <v>0</v>
      </c>
      <c r="C441">
        <f>Food_Original!D440</f>
        <v>0</v>
      </c>
      <c r="D441">
        <f>Food_Original!E440</f>
        <v>0</v>
      </c>
      <c r="E441">
        <f>Food_Original!F440</f>
        <v>0</v>
      </c>
      <c r="F441">
        <f>Food_Original!G440</f>
        <v>0</v>
      </c>
      <c r="G441">
        <f>Food_Original!H440</f>
        <v>0</v>
      </c>
    </row>
    <row r="442" spans="1:7" x14ac:dyDescent="0.2">
      <c r="A442" t="str">
        <f>_xlfn.CONCAT(Food_Original!A441," - ",Food_Original!B441)</f>
        <v xml:space="preserve"> - </v>
      </c>
      <c r="B442">
        <f>Food_Original!C441</f>
        <v>0</v>
      </c>
      <c r="C442">
        <f>Food_Original!D441</f>
        <v>0</v>
      </c>
      <c r="D442">
        <f>Food_Original!E441</f>
        <v>0</v>
      </c>
      <c r="E442">
        <f>Food_Original!F441</f>
        <v>0</v>
      </c>
      <c r="F442">
        <f>Food_Original!G441</f>
        <v>0</v>
      </c>
      <c r="G442">
        <f>Food_Original!H441</f>
        <v>0</v>
      </c>
    </row>
    <row r="443" spans="1:7" x14ac:dyDescent="0.2">
      <c r="A443" t="str">
        <f>_xlfn.CONCAT(Food_Original!A442," - ",Food_Original!B442)</f>
        <v xml:space="preserve"> - </v>
      </c>
      <c r="B443">
        <f>Food_Original!C442</f>
        <v>0</v>
      </c>
      <c r="C443">
        <f>Food_Original!D442</f>
        <v>0</v>
      </c>
      <c r="D443">
        <f>Food_Original!E442</f>
        <v>0</v>
      </c>
      <c r="E443">
        <f>Food_Original!F442</f>
        <v>0</v>
      </c>
      <c r="F443">
        <f>Food_Original!G442</f>
        <v>0</v>
      </c>
      <c r="G443">
        <f>Food_Original!H442</f>
        <v>0</v>
      </c>
    </row>
    <row r="444" spans="1:7" x14ac:dyDescent="0.2">
      <c r="A444" t="str">
        <f>_xlfn.CONCAT(Food_Original!A443," - ",Food_Original!B443)</f>
        <v xml:space="preserve"> - </v>
      </c>
      <c r="B444">
        <f>Food_Original!C443</f>
        <v>0</v>
      </c>
      <c r="C444">
        <f>Food_Original!D443</f>
        <v>0</v>
      </c>
      <c r="D444">
        <f>Food_Original!E443</f>
        <v>0</v>
      </c>
      <c r="E444">
        <f>Food_Original!F443</f>
        <v>0</v>
      </c>
      <c r="F444">
        <f>Food_Original!G443</f>
        <v>0</v>
      </c>
      <c r="G444">
        <f>Food_Original!H443</f>
        <v>0</v>
      </c>
    </row>
    <row r="445" spans="1:7" x14ac:dyDescent="0.2">
      <c r="A445" t="str">
        <f>_xlfn.CONCAT(Food_Original!A444," - ",Food_Original!B444)</f>
        <v xml:space="preserve"> - </v>
      </c>
      <c r="B445">
        <f>Food_Original!C444</f>
        <v>0</v>
      </c>
      <c r="C445">
        <f>Food_Original!D444</f>
        <v>0</v>
      </c>
      <c r="D445">
        <f>Food_Original!E444</f>
        <v>0</v>
      </c>
      <c r="E445">
        <f>Food_Original!F444</f>
        <v>0</v>
      </c>
      <c r="F445">
        <f>Food_Original!G444</f>
        <v>0</v>
      </c>
      <c r="G445">
        <f>Food_Original!H444</f>
        <v>0</v>
      </c>
    </row>
    <row r="446" spans="1:7" x14ac:dyDescent="0.2">
      <c r="A446" t="str">
        <f>_xlfn.CONCAT(Food_Original!A445," - ",Food_Original!B445)</f>
        <v xml:space="preserve"> - </v>
      </c>
      <c r="B446">
        <f>Food_Original!C445</f>
        <v>0</v>
      </c>
      <c r="C446">
        <f>Food_Original!D445</f>
        <v>0</v>
      </c>
      <c r="D446">
        <f>Food_Original!E445</f>
        <v>0</v>
      </c>
      <c r="E446">
        <f>Food_Original!F445</f>
        <v>0</v>
      </c>
      <c r="F446">
        <f>Food_Original!G445</f>
        <v>0</v>
      </c>
      <c r="G446">
        <f>Food_Original!H445</f>
        <v>0</v>
      </c>
    </row>
    <row r="447" spans="1:7" x14ac:dyDescent="0.2">
      <c r="A447" t="str">
        <f>_xlfn.CONCAT(Food_Original!A446," - ",Food_Original!B446)</f>
        <v xml:space="preserve"> - </v>
      </c>
      <c r="B447">
        <f>Food_Original!C446</f>
        <v>0</v>
      </c>
      <c r="C447">
        <f>Food_Original!D446</f>
        <v>0</v>
      </c>
      <c r="D447">
        <f>Food_Original!E446</f>
        <v>0</v>
      </c>
      <c r="E447">
        <f>Food_Original!F446</f>
        <v>0</v>
      </c>
      <c r="F447">
        <f>Food_Original!G446</f>
        <v>0</v>
      </c>
      <c r="G447">
        <f>Food_Original!H446</f>
        <v>0</v>
      </c>
    </row>
    <row r="448" spans="1:7" x14ac:dyDescent="0.2">
      <c r="A448" t="str">
        <f>_xlfn.CONCAT(Food_Original!A447," - ",Food_Original!B447)</f>
        <v xml:space="preserve"> - </v>
      </c>
      <c r="B448">
        <f>Food_Original!C447</f>
        <v>0</v>
      </c>
      <c r="C448">
        <f>Food_Original!D447</f>
        <v>0</v>
      </c>
      <c r="D448">
        <f>Food_Original!E447</f>
        <v>0</v>
      </c>
      <c r="E448">
        <f>Food_Original!F447</f>
        <v>0</v>
      </c>
      <c r="F448">
        <f>Food_Original!G447</f>
        <v>0</v>
      </c>
      <c r="G448">
        <f>Food_Original!H447</f>
        <v>0</v>
      </c>
    </row>
    <row r="449" spans="1:7" x14ac:dyDescent="0.2">
      <c r="A449" t="str">
        <f>_xlfn.CONCAT(Food_Original!A448," - ",Food_Original!B448)</f>
        <v xml:space="preserve"> - </v>
      </c>
      <c r="B449">
        <f>Food_Original!C448</f>
        <v>0</v>
      </c>
      <c r="C449">
        <f>Food_Original!D448</f>
        <v>0</v>
      </c>
      <c r="D449">
        <f>Food_Original!E448</f>
        <v>0</v>
      </c>
      <c r="E449">
        <f>Food_Original!F448</f>
        <v>0</v>
      </c>
      <c r="F449">
        <f>Food_Original!G448</f>
        <v>0</v>
      </c>
      <c r="G449">
        <f>Food_Original!H448</f>
        <v>0</v>
      </c>
    </row>
    <row r="450" spans="1:7" x14ac:dyDescent="0.2">
      <c r="A450" t="str">
        <f>_xlfn.CONCAT(Food_Original!A449," - ",Food_Original!B449)</f>
        <v xml:space="preserve"> - </v>
      </c>
      <c r="B450">
        <f>Food_Original!C449</f>
        <v>0</v>
      </c>
      <c r="C450">
        <f>Food_Original!D449</f>
        <v>0</v>
      </c>
      <c r="D450">
        <f>Food_Original!E449</f>
        <v>0</v>
      </c>
      <c r="E450">
        <f>Food_Original!F449</f>
        <v>0</v>
      </c>
      <c r="F450">
        <f>Food_Original!G449</f>
        <v>0</v>
      </c>
      <c r="G450">
        <f>Food_Original!H449</f>
        <v>0</v>
      </c>
    </row>
    <row r="451" spans="1:7" x14ac:dyDescent="0.2">
      <c r="A451" t="str">
        <f>_xlfn.CONCAT(Food_Original!A450," - ",Food_Original!B450)</f>
        <v xml:space="preserve"> - </v>
      </c>
      <c r="B451">
        <f>Food_Original!C450</f>
        <v>0</v>
      </c>
      <c r="C451">
        <f>Food_Original!D450</f>
        <v>0</v>
      </c>
      <c r="D451">
        <f>Food_Original!E450</f>
        <v>0</v>
      </c>
      <c r="E451">
        <f>Food_Original!F450</f>
        <v>0</v>
      </c>
      <c r="F451">
        <f>Food_Original!G450</f>
        <v>0</v>
      </c>
      <c r="G451">
        <f>Food_Original!H450</f>
        <v>0</v>
      </c>
    </row>
    <row r="452" spans="1:7" x14ac:dyDescent="0.2">
      <c r="A452" t="str">
        <f>_xlfn.CONCAT(Food_Original!A451," - ",Food_Original!B451)</f>
        <v xml:space="preserve"> - </v>
      </c>
      <c r="B452">
        <f>Food_Original!C451</f>
        <v>0</v>
      </c>
      <c r="C452">
        <f>Food_Original!D451</f>
        <v>0</v>
      </c>
      <c r="D452">
        <f>Food_Original!E451</f>
        <v>0</v>
      </c>
      <c r="E452">
        <f>Food_Original!F451</f>
        <v>0</v>
      </c>
      <c r="F452">
        <f>Food_Original!G451</f>
        <v>0</v>
      </c>
      <c r="G452">
        <f>Food_Original!H451</f>
        <v>0</v>
      </c>
    </row>
    <row r="453" spans="1:7" x14ac:dyDescent="0.2">
      <c r="A453" t="str">
        <f>_xlfn.CONCAT(Food_Original!A452," - ",Food_Original!B452)</f>
        <v xml:space="preserve"> - </v>
      </c>
      <c r="B453">
        <f>Food_Original!C452</f>
        <v>0</v>
      </c>
      <c r="C453">
        <f>Food_Original!D452</f>
        <v>0</v>
      </c>
      <c r="D453">
        <f>Food_Original!E452</f>
        <v>0</v>
      </c>
      <c r="E453">
        <f>Food_Original!F452</f>
        <v>0</v>
      </c>
      <c r="F453">
        <f>Food_Original!G452</f>
        <v>0</v>
      </c>
      <c r="G453">
        <f>Food_Original!H452</f>
        <v>0</v>
      </c>
    </row>
    <row r="454" spans="1:7" x14ac:dyDescent="0.2">
      <c r="A454" t="str">
        <f>_xlfn.CONCAT(Food_Original!A453," - ",Food_Original!B453)</f>
        <v xml:space="preserve"> - </v>
      </c>
      <c r="B454">
        <f>Food_Original!C453</f>
        <v>0</v>
      </c>
      <c r="C454">
        <f>Food_Original!D453</f>
        <v>0</v>
      </c>
      <c r="D454">
        <f>Food_Original!E453</f>
        <v>0</v>
      </c>
      <c r="E454">
        <f>Food_Original!F453</f>
        <v>0</v>
      </c>
      <c r="F454">
        <f>Food_Original!G453</f>
        <v>0</v>
      </c>
      <c r="G454">
        <f>Food_Original!H453</f>
        <v>0</v>
      </c>
    </row>
    <row r="455" spans="1:7" x14ac:dyDescent="0.2">
      <c r="A455" t="str">
        <f>_xlfn.CONCAT(Food_Original!A454," - ",Food_Original!B454)</f>
        <v xml:space="preserve"> - </v>
      </c>
      <c r="B455">
        <f>Food_Original!C454</f>
        <v>0</v>
      </c>
      <c r="C455">
        <f>Food_Original!D454</f>
        <v>0</v>
      </c>
      <c r="D455">
        <f>Food_Original!E454</f>
        <v>0</v>
      </c>
      <c r="E455">
        <f>Food_Original!F454</f>
        <v>0</v>
      </c>
      <c r="F455">
        <f>Food_Original!G454</f>
        <v>0</v>
      </c>
      <c r="G455">
        <f>Food_Original!H454</f>
        <v>0</v>
      </c>
    </row>
    <row r="456" spans="1:7" x14ac:dyDescent="0.2">
      <c r="A456" t="str">
        <f>_xlfn.CONCAT(Food_Original!A455," - ",Food_Original!B455)</f>
        <v xml:space="preserve"> - </v>
      </c>
      <c r="B456">
        <f>Food_Original!C455</f>
        <v>0</v>
      </c>
      <c r="C456">
        <f>Food_Original!D455</f>
        <v>0</v>
      </c>
      <c r="D456">
        <f>Food_Original!E455</f>
        <v>0</v>
      </c>
      <c r="E456">
        <f>Food_Original!F455</f>
        <v>0</v>
      </c>
      <c r="F456">
        <f>Food_Original!G455</f>
        <v>0</v>
      </c>
      <c r="G456">
        <f>Food_Original!H455</f>
        <v>0</v>
      </c>
    </row>
    <row r="457" spans="1:7" x14ac:dyDescent="0.2">
      <c r="A457" t="str">
        <f>_xlfn.CONCAT(Food_Original!A456," - ",Food_Original!B456)</f>
        <v xml:space="preserve"> - </v>
      </c>
      <c r="B457">
        <f>Food_Original!C456</f>
        <v>0</v>
      </c>
      <c r="C457">
        <f>Food_Original!D456</f>
        <v>0</v>
      </c>
      <c r="D457">
        <f>Food_Original!E456</f>
        <v>0</v>
      </c>
      <c r="E457">
        <f>Food_Original!F456</f>
        <v>0</v>
      </c>
      <c r="F457">
        <f>Food_Original!G456</f>
        <v>0</v>
      </c>
      <c r="G457">
        <f>Food_Original!H456</f>
        <v>0</v>
      </c>
    </row>
    <row r="458" spans="1:7" x14ac:dyDescent="0.2">
      <c r="A458" t="str">
        <f>_xlfn.CONCAT(Food_Original!A457," - ",Food_Original!B457)</f>
        <v xml:space="preserve"> - </v>
      </c>
      <c r="B458">
        <f>Food_Original!C457</f>
        <v>0</v>
      </c>
      <c r="C458">
        <f>Food_Original!D457</f>
        <v>0</v>
      </c>
      <c r="D458">
        <f>Food_Original!E457</f>
        <v>0</v>
      </c>
      <c r="E458">
        <f>Food_Original!F457</f>
        <v>0</v>
      </c>
      <c r="F458">
        <f>Food_Original!G457</f>
        <v>0</v>
      </c>
      <c r="G458">
        <f>Food_Original!H457</f>
        <v>0</v>
      </c>
    </row>
    <row r="459" spans="1:7" x14ac:dyDescent="0.2">
      <c r="A459" t="str">
        <f>_xlfn.CONCAT(Food_Original!A458," - ",Food_Original!B458)</f>
        <v xml:space="preserve"> - </v>
      </c>
      <c r="B459">
        <f>Food_Original!C458</f>
        <v>0</v>
      </c>
      <c r="C459">
        <f>Food_Original!D458</f>
        <v>0</v>
      </c>
      <c r="D459">
        <f>Food_Original!E458</f>
        <v>0</v>
      </c>
      <c r="E459">
        <f>Food_Original!F458</f>
        <v>0</v>
      </c>
      <c r="F459">
        <f>Food_Original!G458</f>
        <v>0</v>
      </c>
      <c r="G459">
        <f>Food_Original!H458</f>
        <v>0</v>
      </c>
    </row>
    <row r="460" spans="1:7" x14ac:dyDescent="0.2">
      <c r="A460" t="str">
        <f>_xlfn.CONCAT(Food_Original!A459," - ",Food_Original!B459)</f>
        <v xml:space="preserve"> - </v>
      </c>
      <c r="B460">
        <f>Food_Original!C459</f>
        <v>0</v>
      </c>
      <c r="C460">
        <f>Food_Original!D459</f>
        <v>0</v>
      </c>
      <c r="D460">
        <f>Food_Original!E459</f>
        <v>0</v>
      </c>
      <c r="E460">
        <f>Food_Original!F459</f>
        <v>0</v>
      </c>
      <c r="F460">
        <f>Food_Original!G459</f>
        <v>0</v>
      </c>
      <c r="G460">
        <f>Food_Original!H459</f>
        <v>0</v>
      </c>
    </row>
    <row r="461" spans="1:7" x14ac:dyDescent="0.2">
      <c r="A461" t="str">
        <f>_xlfn.CONCAT(Food_Original!A460," - ",Food_Original!B460)</f>
        <v xml:space="preserve"> - </v>
      </c>
      <c r="B461">
        <f>Food_Original!C460</f>
        <v>0</v>
      </c>
      <c r="C461">
        <f>Food_Original!D460</f>
        <v>0</v>
      </c>
      <c r="D461">
        <f>Food_Original!E460</f>
        <v>0</v>
      </c>
      <c r="E461">
        <f>Food_Original!F460</f>
        <v>0</v>
      </c>
      <c r="F461">
        <f>Food_Original!G460</f>
        <v>0</v>
      </c>
      <c r="G461">
        <f>Food_Original!H460</f>
        <v>0</v>
      </c>
    </row>
    <row r="462" spans="1:7" x14ac:dyDescent="0.2">
      <c r="A462" t="str">
        <f>_xlfn.CONCAT(Food_Original!A461," - ",Food_Original!B461)</f>
        <v xml:space="preserve"> - </v>
      </c>
      <c r="B462">
        <f>Food_Original!C461</f>
        <v>0</v>
      </c>
      <c r="C462">
        <f>Food_Original!D461</f>
        <v>0</v>
      </c>
      <c r="D462">
        <f>Food_Original!E461</f>
        <v>0</v>
      </c>
      <c r="E462">
        <f>Food_Original!F461</f>
        <v>0</v>
      </c>
      <c r="F462">
        <f>Food_Original!G461</f>
        <v>0</v>
      </c>
      <c r="G462">
        <f>Food_Original!H461</f>
        <v>0</v>
      </c>
    </row>
    <row r="463" spans="1:7" x14ac:dyDescent="0.2">
      <c r="A463" t="str">
        <f>_xlfn.CONCAT(Food_Original!A462," - ",Food_Original!B462)</f>
        <v xml:space="preserve"> - </v>
      </c>
      <c r="B463">
        <f>Food_Original!C462</f>
        <v>0</v>
      </c>
      <c r="C463">
        <f>Food_Original!D462</f>
        <v>0</v>
      </c>
      <c r="D463">
        <f>Food_Original!E462</f>
        <v>0</v>
      </c>
      <c r="E463">
        <f>Food_Original!F462</f>
        <v>0</v>
      </c>
      <c r="F463">
        <f>Food_Original!G462</f>
        <v>0</v>
      </c>
      <c r="G463">
        <f>Food_Original!H462</f>
        <v>0</v>
      </c>
    </row>
    <row r="464" spans="1:7" x14ac:dyDescent="0.2">
      <c r="A464" t="str">
        <f>_xlfn.CONCAT(Food_Original!A463," - ",Food_Original!B463)</f>
        <v xml:space="preserve"> - </v>
      </c>
      <c r="B464">
        <f>Food_Original!C463</f>
        <v>0</v>
      </c>
      <c r="C464">
        <f>Food_Original!D463</f>
        <v>0</v>
      </c>
      <c r="D464">
        <f>Food_Original!E463</f>
        <v>0</v>
      </c>
      <c r="E464">
        <f>Food_Original!F463</f>
        <v>0</v>
      </c>
      <c r="F464">
        <f>Food_Original!G463</f>
        <v>0</v>
      </c>
      <c r="G464">
        <f>Food_Original!H463</f>
        <v>0</v>
      </c>
    </row>
    <row r="465" spans="1:7" x14ac:dyDescent="0.2">
      <c r="A465" t="str">
        <f>_xlfn.CONCAT(Food_Original!A464," - ",Food_Original!B464)</f>
        <v xml:space="preserve"> - </v>
      </c>
      <c r="B465">
        <f>Food_Original!C464</f>
        <v>0</v>
      </c>
      <c r="C465">
        <f>Food_Original!D464</f>
        <v>0</v>
      </c>
      <c r="D465">
        <f>Food_Original!E464</f>
        <v>0</v>
      </c>
      <c r="E465">
        <f>Food_Original!F464</f>
        <v>0</v>
      </c>
      <c r="F465">
        <f>Food_Original!G464</f>
        <v>0</v>
      </c>
      <c r="G465">
        <f>Food_Original!H464</f>
        <v>0</v>
      </c>
    </row>
    <row r="466" spans="1:7" x14ac:dyDescent="0.2">
      <c r="A466" t="str">
        <f>_xlfn.CONCAT(Food_Original!A465," - ",Food_Original!B465)</f>
        <v xml:space="preserve"> - </v>
      </c>
      <c r="B466">
        <f>Food_Original!C465</f>
        <v>0</v>
      </c>
      <c r="C466">
        <f>Food_Original!D465</f>
        <v>0</v>
      </c>
      <c r="D466">
        <f>Food_Original!E465</f>
        <v>0</v>
      </c>
      <c r="E466">
        <f>Food_Original!F465</f>
        <v>0</v>
      </c>
      <c r="F466">
        <f>Food_Original!G465</f>
        <v>0</v>
      </c>
      <c r="G466">
        <f>Food_Original!H465</f>
        <v>0</v>
      </c>
    </row>
    <row r="467" spans="1:7" x14ac:dyDescent="0.2">
      <c r="A467" t="str">
        <f>_xlfn.CONCAT(Food_Original!A466," - ",Food_Original!B466)</f>
        <v xml:space="preserve"> - </v>
      </c>
      <c r="B467">
        <f>Food_Original!C466</f>
        <v>0</v>
      </c>
      <c r="C467">
        <f>Food_Original!D466</f>
        <v>0</v>
      </c>
      <c r="D467">
        <f>Food_Original!E466</f>
        <v>0</v>
      </c>
      <c r="E467">
        <f>Food_Original!F466</f>
        <v>0</v>
      </c>
      <c r="F467">
        <f>Food_Original!G466</f>
        <v>0</v>
      </c>
      <c r="G467">
        <f>Food_Original!H466</f>
        <v>0</v>
      </c>
    </row>
    <row r="468" spans="1:7" x14ac:dyDescent="0.2">
      <c r="A468" t="str">
        <f>_xlfn.CONCAT(Food_Original!A467," - ",Food_Original!B467)</f>
        <v xml:space="preserve"> - </v>
      </c>
      <c r="B468">
        <f>Food_Original!C467</f>
        <v>0</v>
      </c>
      <c r="C468">
        <f>Food_Original!D467</f>
        <v>0</v>
      </c>
      <c r="D468">
        <f>Food_Original!E467</f>
        <v>0</v>
      </c>
      <c r="E468">
        <f>Food_Original!F467</f>
        <v>0</v>
      </c>
      <c r="F468">
        <f>Food_Original!G467</f>
        <v>0</v>
      </c>
      <c r="G468">
        <f>Food_Original!H467</f>
        <v>0</v>
      </c>
    </row>
    <row r="469" spans="1:7" x14ac:dyDescent="0.2">
      <c r="A469" t="str">
        <f>_xlfn.CONCAT(Food_Original!A468," - ",Food_Original!B468)</f>
        <v xml:space="preserve"> - </v>
      </c>
      <c r="B469">
        <f>Food_Original!C468</f>
        <v>0</v>
      </c>
      <c r="C469">
        <f>Food_Original!D468</f>
        <v>0</v>
      </c>
      <c r="D469">
        <f>Food_Original!E468</f>
        <v>0</v>
      </c>
      <c r="E469">
        <f>Food_Original!F468</f>
        <v>0</v>
      </c>
      <c r="F469">
        <f>Food_Original!G468</f>
        <v>0</v>
      </c>
      <c r="G469">
        <f>Food_Original!H468</f>
        <v>0</v>
      </c>
    </row>
    <row r="470" spans="1:7" x14ac:dyDescent="0.2">
      <c r="A470" t="str">
        <f>_xlfn.CONCAT(Food_Original!A469," - ",Food_Original!B469)</f>
        <v xml:space="preserve"> - </v>
      </c>
      <c r="B470">
        <f>Food_Original!C469</f>
        <v>0</v>
      </c>
      <c r="C470">
        <f>Food_Original!D469</f>
        <v>0</v>
      </c>
      <c r="D470">
        <f>Food_Original!E469</f>
        <v>0</v>
      </c>
      <c r="E470">
        <f>Food_Original!F469</f>
        <v>0</v>
      </c>
      <c r="F470">
        <f>Food_Original!G469</f>
        <v>0</v>
      </c>
      <c r="G470">
        <f>Food_Original!H469</f>
        <v>0</v>
      </c>
    </row>
    <row r="471" spans="1:7" x14ac:dyDescent="0.2">
      <c r="A471" t="str">
        <f>_xlfn.CONCAT(Food_Original!A470," - ",Food_Original!B470)</f>
        <v xml:space="preserve"> - </v>
      </c>
      <c r="B471">
        <f>Food_Original!C470</f>
        <v>0</v>
      </c>
      <c r="C471">
        <f>Food_Original!D470</f>
        <v>0</v>
      </c>
      <c r="D471">
        <f>Food_Original!E470</f>
        <v>0</v>
      </c>
      <c r="E471">
        <f>Food_Original!F470</f>
        <v>0</v>
      </c>
      <c r="F471">
        <f>Food_Original!G470</f>
        <v>0</v>
      </c>
      <c r="G471">
        <f>Food_Original!H470</f>
        <v>0</v>
      </c>
    </row>
    <row r="472" spans="1:7" x14ac:dyDescent="0.2">
      <c r="A472" t="str">
        <f>_xlfn.CONCAT(Food_Original!A471," - ",Food_Original!B471)</f>
        <v xml:space="preserve"> - </v>
      </c>
      <c r="B472">
        <f>Food_Original!C471</f>
        <v>0</v>
      </c>
      <c r="C472">
        <f>Food_Original!D471</f>
        <v>0</v>
      </c>
      <c r="D472">
        <f>Food_Original!E471</f>
        <v>0</v>
      </c>
      <c r="E472">
        <f>Food_Original!F471</f>
        <v>0</v>
      </c>
      <c r="F472">
        <f>Food_Original!G471</f>
        <v>0</v>
      </c>
      <c r="G472">
        <f>Food_Original!H471</f>
        <v>0</v>
      </c>
    </row>
    <row r="473" spans="1:7" x14ac:dyDescent="0.2">
      <c r="A473" t="str">
        <f>_xlfn.CONCAT(Food_Original!A472," - ",Food_Original!B472)</f>
        <v xml:space="preserve"> - </v>
      </c>
      <c r="B473">
        <f>Food_Original!C472</f>
        <v>0</v>
      </c>
      <c r="C473">
        <f>Food_Original!D472</f>
        <v>0</v>
      </c>
      <c r="D473">
        <f>Food_Original!E472</f>
        <v>0</v>
      </c>
      <c r="E473">
        <f>Food_Original!F472</f>
        <v>0</v>
      </c>
      <c r="F473">
        <f>Food_Original!G472</f>
        <v>0</v>
      </c>
      <c r="G473">
        <f>Food_Original!H472</f>
        <v>0</v>
      </c>
    </row>
    <row r="474" spans="1:7" x14ac:dyDescent="0.2">
      <c r="A474" t="str">
        <f>_xlfn.CONCAT(Food_Original!A473," - ",Food_Original!B473)</f>
        <v xml:space="preserve"> - </v>
      </c>
      <c r="B474">
        <f>Food_Original!C473</f>
        <v>0</v>
      </c>
      <c r="C474">
        <f>Food_Original!D473</f>
        <v>0</v>
      </c>
      <c r="D474">
        <f>Food_Original!E473</f>
        <v>0</v>
      </c>
      <c r="E474">
        <f>Food_Original!F473</f>
        <v>0</v>
      </c>
      <c r="F474">
        <f>Food_Original!G473</f>
        <v>0</v>
      </c>
      <c r="G474">
        <f>Food_Original!H473</f>
        <v>0</v>
      </c>
    </row>
    <row r="475" spans="1:7" x14ac:dyDescent="0.2">
      <c r="A475" t="str">
        <f>_xlfn.CONCAT(Food_Original!A474," - ",Food_Original!B474)</f>
        <v xml:space="preserve"> - </v>
      </c>
      <c r="B475">
        <f>Food_Original!C474</f>
        <v>0</v>
      </c>
      <c r="C475">
        <f>Food_Original!D474</f>
        <v>0</v>
      </c>
      <c r="D475">
        <f>Food_Original!E474</f>
        <v>0</v>
      </c>
      <c r="E475">
        <f>Food_Original!F474</f>
        <v>0</v>
      </c>
      <c r="F475">
        <f>Food_Original!G474</f>
        <v>0</v>
      </c>
      <c r="G475">
        <f>Food_Original!H474</f>
        <v>0</v>
      </c>
    </row>
    <row r="476" spans="1:7" x14ac:dyDescent="0.2">
      <c r="A476" t="str">
        <f>_xlfn.CONCAT(Food_Original!A475," - ",Food_Original!B475)</f>
        <v xml:space="preserve"> - </v>
      </c>
      <c r="B476">
        <f>Food_Original!C475</f>
        <v>0</v>
      </c>
      <c r="C476">
        <f>Food_Original!D475</f>
        <v>0</v>
      </c>
      <c r="D476">
        <f>Food_Original!E475</f>
        <v>0</v>
      </c>
      <c r="E476">
        <f>Food_Original!F475</f>
        <v>0</v>
      </c>
      <c r="F476">
        <f>Food_Original!G475</f>
        <v>0</v>
      </c>
      <c r="G476">
        <f>Food_Original!H475</f>
        <v>0</v>
      </c>
    </row>
    <row r="477" spans="1:7" x14ac:dyDescent="0.2">
      <c r="A477" t="str">
        <f>_xlfn.CONCAT(Food_Original!A476," - ",Food_Original!B476)</f>
        <v xml:space="preserve"> - </v>
      </c>
      <c r="B477">
        <f>Food_Original!C476</f>
        <v>0</v>
      </c>
      <c r="C477">
        <f>Food_Original!D476</f>
        <v>0</v>
      </c>
      <c r="D477">
        <f>Food_Original!E476</f>
        <v>0</v>
      </c>
      <c r="E477">
        <f>Food_Original!F476</f>
        <v>0</v>
      </c>
      <c r="F477">
        <f>Food_Original!G476</f>
        <v>0</v>
      </c>
      <c r="G477">
        <f>Food_Original!H476</f>
        <v>0</v>
      </c>
    </row>
    <row r="478" spans="1:7" x14ac:dyDescent="0.2">
      <c r="A478" t="str">
        <f>_xlfn.CONCAT(Food_Original!A477," - ",Food_Original!B477)</f>
        <v xml:space="preserve"> - </v>
      </c>
      <c r="B478">
        <f>Food_Original!C477</f>
        <v>0</v>
      </c>
      <c r="C478">
        <f>Food_Original!D477</f>
        <v>0</v>
      </c>
      <c r="D478">
        <f>Food_Original!E477</f>
        <v>0</v>
      </c>
      <c r="E478">
        <f>Food_Original!F477</f>
        <v>0</v>
      </c>
      <c r="F478">
        <f>Food_Original!G477</f>
        <v>0</v>
      </c>
      <c r="G478">
        <f>Food_Original!H477</f>
        <v>0</v>
      </c>
    </row>
    <row r="479" spans="1:7" x14ac:dyDescent="0.2">
      <c r="A479" t="str">
        <f>_xlfn.CONCAT(Food_Original!A478," - ",Food_Original!B478)</f>
        <v xml:space="preserve"> - </v>
      </c>
      <c r="B479">
        <f>Food_Original!C478</f>
        <v>0</v>
      </c>
      <c r="C479">
        <f>Food_Original!D478</f>
        <v>0</v>
      </c>
      <c r="D479">
        <f>Food_Original!E478</f>
        <v>0</v>
      </c>
      <c r="E479">
        <f>Food_Original!F478</f>
        <v>0</v>
      </c>
      <c r="F479">
        <f>Food_Original!G478</f>
        <v>0</v>
      </c>
      <c r="G479">
        <f>Food_Original!H478</f>
        <v>0</v>
      </c>
    </row>
    <row r="480" spans="1:7" x14ac:dyDescent="0.2">
      <c r="A480" t="str">
        <f>_xlfn.CONCAT(Food_Original!A479," - ",Food_Original!B479)</f>
        <v xml:space="preserve"> - </v>
      </c>
      <c r="B480">
        <f>Food_Original!C479</f>
        <v>0</v>
      </c>
      <c r="C480">
        <f>Food_Original!D479</f>
        <v>0</v>
      </c>
      <c r="D480">
        <f>Food_Original!E479</f>
        <v>0</v>
      </c>
      <c r="E480">
        <f>Food_Original!F479</f>
        <v>0</v>
      </c>
      <c r="F480">
        <f>Food_Original!G479</f>
        <v>0</v>
      </c>
      <c r="G480">
        <f>Food_Original!H479</f>
        <v>0</v>
      </c>
    </row>
    <row r="481" spans="1:7" x14ac:dyDescent="0.2">
      <c r="A481" t="str">
        <f>_xlfn.CONCAT(Food_Original!A480," - ",Food_Original!B480)</f>
        <v xml:space="preserve"> - </v>
      </c>
      <c r="B481">
        <f>Food_Original!C480</f>
        <v>0</v>
      </c>
      <c r="C481">
        <f>Food_Original!D480</f>
        <v>0</v>
      </c>
      <c r="D481">
        <f>Food_Original!E480</f>
        <v>0</v>
      </c>
      <c r="E481">
        <f>Food_Original!F480</f>
        <v>0</v>
      </c>
      <c r="F481">
        <f>Food_Original!G480</f>
        <v>0</v>
      </c>
      <c r="G481">
        <f>Food_Original!H480</f>
        <v>0</v>
      </c>
    </row>
    <row r="482" spans="1:7" x14ac:dyDescent="0.2">
      <c r="A482" t="str">
        <f>_xlfn.CONCAT(Food_Original!A481," - ",Food_Original!B481)</f>
        <v xml:space="preserve"> - </v>
      </c>
      <c r="B482">
        <f>Food_Original!C481</f>
        <v>0</v>
      </c>
      <c r="C482">
        <f>Food_Original!D481</f>
        <v>0</v>
      </c>
      <c r="D482">
        <f>Food_Original!E481</f>
        <v>0</v>
      </c>
      <c r="E482">
        <f>Food_Original!F481</f>
        <v>0</v>
      </c>
      <c r="F482">
        <f>Food_Original!G481</f>
        <v>0</v>
      </c>
      <c r="G482">
        <f>Food_Original!H481</f>
        <v>0</v>
      </c>
    </row>
    <row r="483" spans="1:7" x14ac:dyDescent="0.2">
      <c r="A483" t="str">
        <f>_xlfn.CONCAT(Food_Original!A482," - ",Food_Original!B482)</f>
        <v xml:space="preserve"> - </v>
      </c>
      <c r="B483">
        <f>Food_Original!C482</f>
        <v>0</v>
      </c>
      <c r="C483">
        <f>Food_Original!D482</f>
        <v>0</v>
      </c>
      <c r="D483">
        <f>Food_Original!E482</f>
        <v>0</v>
      </c>
      <c r="E483">
        <f>Food_Original!F482</f>
        <v>0</v>
      </c>
      <c r="F483">
        <f>Food_Original!G482</f>
        <v>0</v>
      </c>
      <c r="G483">
        <f>Food_Original!H482</f>
        <v>0</v>
      </c>
    </row>
    <row r="484" spans="1:7" x14ac:dyDescent="0.2">
      <c r="A484" t="str">
        <f>_xlfn.CONCAT(Food_Original!A483," - ",Food_Original!B483)</f>
        <v xml:space="preserve"> - </v>
      </c>
      <c r="B484">
        <f>Food_Original!C483</f>
        <v>0</v>
      </c>
      <c r="C484">
        <f>Food_Original!D483</f>
        <v>0</v>
      </c>
      <c r="D484">
        <f>Food_Original!E483</f>
        <v>0</v>
      </c>
      <c r="E484">
        <f>Food_Original!F483</f>
        <v>0</v>
      </c>
      <c r="F484">
        <f>Food_Original!G483</f>
        <v>0</v>
      </c>
      <c r="G484">
        <f>Food_Original!H483</f>
        <v>0</v>
      </c>
    </row>
    <row r="485" spans="1:7" x14ac:dyDescent="0.2">
      <c r="A485" t="str">
        <f>_xlfn.CONCAT(Food_Original!A484," - ",Food_Original!B484)</f>
        <v xml:space="preserve"> - </v>
      </c>
      <c r="B485">
        <f>Food_Original!C484</f>
        <v>0</v>
      </c>
      <c r="C485">
        <f>Food_Original!D484</f>
        <v>0</v>
      </c>
      <c r="D485">
        <f>Food_Original!E484</f>
        <v>0</v>
      </c>
      <c r="E485">
        <f>Food_Original!F484</f>
        <v>0</v>
      </c>
      <c r="F485">
        <f>Food_Original!G484</f>
        <v>0</v>
      </c>
      <c r="G485">
        <f>Food_Original!H484</f>
        <v>0</v>
      </c>
    </row>
    <row r="486" spans="1:7" x14ac:dyDescent="0.2">
      <c r="A486" t="str">
        <f>_xlfn.CONCAT(Food_Original!A485," - ",Food_Original!B485)</f>
        <v xml:space="preserve"> - </v>
      </c>
      <c r="B486">
        <f>Food_Original!C485</f>
        <v>0</v>
      </c>
      <c r="C486">
        <f>Food_Original!D485</f>
        <v>0</v>
      </c>
      <c r="D486">
        <f>Food_Original!E485</f>
        <v>0</v>
      </c>
      <c r="E486">
        <f>Food_Original!F485</f>
        <v>0</v>
      </c>
      <c r="F486">
        <f>Food_Original!G485</f>
        <v>0</v>
      </c>
      <c r="G486">
        <f>Food_Original!H485</f>
        <v>0</v>
      </c>
    </row>
    <row r="487" spans="1:7" x14ac:dyDescent="0.2">
      <c r="A487" t="str">
        <f>_xlfn.CONCAT(Food_Original!A486," - ",Food_Original!B486)</f>
        <v xml:space="preserve"> - </v>
      </c>
      <c r="B487">
        <f>Food_Original!C486</f>
        <v>0</v>
      </c>
      <c r="C487">
        <f>Food_Original!D486</f>
        <v>0</v>
      </c>
      <c r="D487">
        <f>Food_Original!E486</f>
        <v>0</v>
      </c>
      <c r="E487">
        <f>Food_Original!F486</f>
        <v>0</v>
      </c>
      <c r="F487">
        <f>Food_Original!G486</f>
        <v>0</v>
      </c>
      <c r="G487">
        <f>Food_Original!H486</f>
        <v>0</v>
      </c>
    </row>
    <row r="488" spans="1:7" x14ac:dyDescent="0.2">
      <c r="A488" t="str">
        <f>_xlfn.CONCAT(Food_Original!A487," - ",Food_Original!B487)</f>
        <v xml:space="preserve"> - </v>
      </c>
      <c r="B488">
        <f>Food_Original!C487</f>
        <v>0</v>
      </c>
      <c r="C488">
        <f>Food_Original!D487</f>
        <v>0</v>
      </c>
      <c r="D488">
        <f>Food_Original!E487</f>
        <v>0</v>
      </c>
      <c r="E488">
        <f>Food_Original!F487</f>
        <v>0</v>
      </c>
      <c r="F488">
        <f>Food_Original!G487</f>
        <v>0</v>
      </c>
      <c r="G488">
        <f>Food_Original!H487</f>
        <v>0</v>
      </c>
    </row>
    <row r="489" spans="1:7" x14ac:dyDescent="0.2">
      <c r="A489" t="str">
        <f>_xlfn.CONCAT(Food_Original!A488," - ",Food_Original!B488)</f>
        <v xml:space="preserve"> - </v>
      </c>
      <c r="B489">
        <f>Food_Original!C488</f>
        <v>0</v>
      </c>
      <c r="C489">
        <f>Food_Original!D488</f>
        <v>0</v>
      </c>
      <c r="D489">
        <f>Food_Original!E488</f>
        <v>0</v>
      </c>
      <c r="E489">
        <f>Food_Original!F488</f>
        <v>0</v>
      </c>
      <c r="F489">
        <f>Food_Original!G488</f>
        <v>0</v>
      </c>
      <c r="G489">
        <f>Food_Original!H488</f>
        <v>0</v>
      </c>
    </row>
    <row r="490" spans="1:7" x14ac:dyDescent="0.2">
      <c r="A490" t="str">
        <f>_xlfn.CONCAT(Food_Original!A489," - ",Food_Original!B489)</f>
        <v xml:space="preserve"> - </v>
      </c>
      <c r="B490">
        <f>Food_Original!C489</f>
        <v>0</v>
      </c>
      <c r="C490">
        <f>Food_Original!D489</f>
        <v>0</v>
      </c>
      <c r="D490">
        <f>Food_Original!E489</f>
        <v>0</v>
      </c>
      <c r="E490">
        <f>Food_Original!F489</f>
        <v>0</v>
      </c>
      <c r="F490">
        <f>Food_Original!G489</f>
        <v>0</v>
      </c>
      <c r="G490">
        <f>Food_Original!H489</f>
        <v>0</v>
      </c>
    </row>
    <row r="491" spans="1:7" x14ac:dyDescent="0.2">
      <c r="A491" t="str">
        <f>_xlfn.CONCAT(Food_Original!A490," - ",Food_Original!B490)</f>
        <v xml:space="preserve"> - </v>
      </c>
      <c r="B491">
        <f>Food_Original!C490</f>
        <v>0</v>
      </c>
      <c r="C491">
        <f>Food_Original!D490</f>
        <v>0</v>
      </c>
      <c r="D491">
        <f>Food_Original!E490</f>
        <v>0</v>
      </c>
      <c r="E491">
        <f>Food_Original!F490</f>
        <v>0</v>
      </c>
      <c r="F491">
        <f>Food_Original!G490</f>
        <v>0</v>
      </c>
      <c r="G491">
        <f>Food_Original!H490</f>
        <v>0</v>
      </c>
    </row>
    <row r="492" spans="1:7" x14ac:dyDescent="0.2">
      <c r="A492" t="str">
        <f>_xlfn.CONCAT(Food_Original!A491," - ",Food_Original!B491)</f>
        <v xml:space="preserve"> - </v>
      </c>
      <c r="B492">
        <f>Food_Original!C491</f>
        <v>0</v>
      </c>
      <c r="C492">
        <f>Food_Original!D491</f>
        <v>0</v>
      </c>
      <c r="D492">
        <f>Food_Original!E491</f>
        <v>0</v>
      </c>
      <c r="E492">
        <f>Food_Original!F491</f>
        <v>0</v>
      </c>
      <c r="F492">
        <f>Food_Original!G491</f>
        <v>0</v>
      </c>
      <c r="G492">
        <f>Food_Original!H491</f>
        <v>0</v>
      </c>
    </row>
    <row r="493" spans="1:7" x14ac:dyDescent="0.2">
      <c r="A493" t="str">
        <f>_xlfn.CONCAT(Food_Original!A492," - ",Food_Original!B492)</f>
        <v xml:space="preserve"> - </v>
      </c>
      <c r="B493">
        <f>Food_Original!C492</f>
        <v>0</v>
      </c>
      <c r="C493">
        <f>Food_Original!D492</f>
        <v>0</v>
      </c>
      <c r="D493">
        <f>Food_Original!E492</f>
        <v>0</v>
      </c>
      <c r="E493">
        <f>Food_Original!F492</f>
        <v>0</v>
      </c>
      <c r="F493">
        <f>Food_Original!G492</f>
        <v>0</v>
      </c>
      <c r="G493">
        <f>Food_Original!H492</f>
        <v>0</v>
      </c>
    </row>
    <row r="494" spans="1:7" x14ac:dyDescent="0.2">
      <c r="A494" t="str">
        <f>_xlfn.CONCAT(Food_Original!A493," - ",Food_Original!B493)</f>
        <v xml:space="preserve"> - </v>
      </c>
      <c r="B494">
        <f>Food_Original!C493</f>
        <v>0</v>
      </c>
      <c r="C494">
        <f>Food_Original!D493</f>
        <v>0</v>
      </c>
      <c r="D494">
        <f>Food_Original!E493</f>
        <v>0</v>
      </c>
      <c r="E494">
        <f>Food_Original!F493</f>
        <v>0</v>
      </c>
      <c r="F494">
        <f>Food_Original!G493</f>
        <v>0</v>
      </c>
      <c r="G494">
        <f>Food_Original!H493</f>
        <v>0</v>
      </c>
    </row>
    <row r="495" spans="1:7" x14ac:dyDescent="0.2">
      <c r="A495" t="str">
        <f>_xlfn.CONCAT(Food_Original!A494," - ",Food_Original!B494)</f>
        <v xml:space="preserve"> - </v>
      </c>
      <c r="B495">
        <f>Food_Original!C494</f>
        <v>0</v>
      </c>
      <c r="C495">
        <f>Food_Original!D494</f>
        <v>0</v>
      </c>
      <c r="D495">
        <f>Food_Original!E494</f>
        <v>0</v>
      </c>
      <c r="E495">
        <f>Food_Original!F494</f>
        <v>0</v>
      </c>
      <c r="F495">
        <f>Food_Original!G494</f>
        <v>0</v>
      </c>
      <c r="G495">
        <f>Food_Original!H494</f>
        <v>0</v>
      </c>
    </row>
    <row r="496" spans="1:7" x14ac:dyDescent="0.2">
      <c r="A496" t="str">
        <f>_xlfn.CONCAT(Food_Original!A495," - ",Food_Original!B495)</f>
        <v xml:space="preserve"> - </v>
      </c>
      <c r="B496">
        <f>Food_Original!C495</f>
        <v>0</v>
      </c>
      <c r="C496">
        <f>Food_Original!D495</f>
        <v>0</v>
      </c>
      <c r="D496">
        <f>Food_Original!E495</f>
        <v>0</v>
      </c>
      <c r="E496">
        <f>Food_Original!F495</f>
        <v>0</v>
      </c>
      <c r="F496">
        <f>Food_Original!G495</f>
        <v>0</v>
      </c>
      <c r="G496">
        <f>Food_Original!H495</f>
        <v>0</v>
      </c>
    </row>
    <row r="497" spans="1:7" x14ac:dyDescent="0.2">
      <c r="A497" t="str">
        <f>_xlfn.CONCAT(Food_Original!A496," - ",Food_Original!B496)</f>
        <v xml:space="preserve"> - </v>
      </c>
      <c r="B497">
        <f>Food_Original!C496</f>
        <v>0</v>
      </c>
      <c r="C497">
        <f>Food_Original!D496</f>
        <v>0</v>
      </c>
      <c r="D497">
        <f>Food_Original!E496</f>
        <v>0</v>
      </c>
      <c r="E497">
        <f>Food_Original!F496</f>
        <v>0</v>
      </c>
      <c r="F497">
        <f>Food_Original!G496</f>
        <v>0</v>
      </c>
      <c r="G497">
        <f>Food_Original!H496</f>
        <v>0</v>
      </c>
    </row>
    <row r="498" spans="1:7" x14ac:dyDescent="0.2">
      <c r="A498" t="str">
        <f>_xlfn.CONCAT(Food_Original!A497," - ",Food_Original!B497)</f>
        <v xml:space="preserve"> - </v>
      </c>
      <c r="B498">
        <f>Food_Original!C497</f>
        <v>0</v>
      </c>
      <c r="C498">
        <f>Food_Original!D497</f>
        <v>0</v>
      </c>
      <c r="D498">
        <f>Food_Original!E497</f>
        <v>0</v>
      </c>
      <c r="E498">
        <f>Food_Original!F497</f>
        <v>0</v>
      </c>
      <c r="F498">
        <f>Food_Original!G497</f>
        <v>0</v>
      </c>
      <c r="G498">
        <f>Food_Original!H497</f>
        <v>0</v>
      </c>
    </row>
    <row r="499" spans="1:7" x14ac:dyDescent="0.2">
      <c r="A499" t="str">
        <f>_xlfn.CONCAT(Food_Original!A498," - ",Food_Original!B498)</f>
        <v xml:space="preserve"> - </v>
      </c>
      <c r="B499">
        <f>Food_Original!C498</f>
        <v>0</v>
      </c>
      <c r="C499">
        <f>Food_Original!D498</f>
        <v>0</v>
      </c>
      <c r="D499">
        <f>Food_Original!E498</f>
        <v>0</v>
      </c>
      <c r="E499">
        <f>Food_Original!F498</f>
        <v>0</v>
      </c>
      <c r="F499">
        <f>Food_Original!G498</f>
        <v>0</v>
      </c>
      <c r="G499">
        <f>Food_Original!H498</f>
        <v>0</v>
      </c>
    </row>
    <row r="500" spans="1:7" x14ac:dyDescent="0.2">
      <c r="A500" t="str">
        <f>_xlfn.CONCAT(Food_Original!A499," - ",Food_Original!B499)</f>
        <v xml:space="preserve"> - </v>
      </c>
      <c r="B500">
        <f>Food_Original!C499</f>
        <v>0</v>
      </c>
      <c r="C500">
        <f>Food_Original!D499</f>
        <v>0</v>
      </c>
      <c r="D500">
        <f>Food_Original!E499</f>
        <v>0</v>
      </c>
      <c r="E500">
        <f>Food_Original!F499</f>
        <v>0</v>
      </c>
      <c r="F500">
        <f>Food_Original!G499</f>
        <v>0</v>
      </c>
      <c r="G500">
        <f>Food_Original!H499</f>
        <v>0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2F741-B0EA-D04E-A8BC-FD1D40A034BD}">
  <sheetPr codeName="Planilha7"/>
  <dimension ref="A1:M1048508"/>
  <sheetViews>
    <sheetView zoomScale="79" workbookViewId="0">
      <selection activeCell="K3" sqref="K3"/>
    </sheetView>
  </sheetViews>
  <sheetFormatPr baseColWidth="10" defaultRowHeight="16" x14ac:dyDescent="0.2"/>
  <cols>
    <col min="1" max="1" width="36.6640625" customWidth="1"/>
    <col min="2" max="2" width="24.1640625" customWidth="1"/>
    <col min="3" max="3" width="20.1640625" customWidth="1"/>
    <col min="4" max="4" width="20" customWidth="1"/>
    <col min="5" max="5" width="21.6640625" customWidth="1"/>
    <col min="6" max="6" width="18.5" customWidth="1"/>
    <col min="7" max="7" width="23.1640625" customWidth="1"/>
    <col min="8" max="8" width="23.5" customWidth="1"/>
    <col min="9" max="9" width="15.33203125" customWidth="1"/>
    <col min="11" max="11" width="17.33203125" customWidth="1"/>
  </cols>
  <sheetData>
    <row r="1" spans="1:13" ht="17" thickBot="1" x14ac:dyDescent="0.25"/>
    <row r="2" spans="1:13" ht="48" thickBot="1" x14ac:dyDescent="0.25">
      <c r="A2" s="51" t="s">
        <v>46</v>
      </c>
      <c r="B2" s="52"/>
      <c r="C2" s="52"/>
      <c r="D2" s="53"/>
    </row>
    <row r="3" spans="1:13" x14ac:dyDescent="0.2">
      <c r="B3" s="46"/>
      <c r="C3" s="46"/>
      <c r="D3" s="46"/>
    </row>
    <row r="4" spans="1:13" ht="17" thickBot="1" x14ac:dyDescent="0.25">
      <c r="A4" s="46"/>
      <c r="B4" s="46"/>
      <c r="C4" s="46"/>
      <c r="D4" s="43"/>
    </row>
    <row r="5" spans="1:13" ht="22" thickBot="1" x14ac:dyDescent="0.3">
      <c r="B5" s="34" t="s">
        <v>7</v>
      </c>
      <c r="C5" s="35" t="s">
        <v>8</v>
      </c>
      <c r="D5" s="36" t="s">
        <v>9</v>
      </c>
      <c r="F5" s="40" t="s">
        <v>7</v>
      </c>
      <c r="G5" s="41" t="s">
        <v>10</v>
      </c>
      <c r="H5" s="42" t="s">
        <v>11</v>
      </c>
    </row>
    <row r="6" spans="1:13" ht="21" x14ac:dyDescent="0.2">
      <c r="B6" s="37" t="s">
        <v>2</v>
      </c>
      <c r="C6" s="87">
        <f>Home1!$B$9*Home1!$F$11</f>
        <v>164.08749999999998</v>
      </c>
      <c r="D6" s="86">
        <f>C6-E22-E36-E50-E64-E78</f>
        <v>164.08749999999998</v>
      </c>
      <c r="F6" s="38" t="s">
        <v>2</v>
      </c>
      <c r="G6" s="85">
        <f>C6*Picklists!M2</f>
        <v>656.34999999999991</v>
      </c>
      <c r="H6" s="86">
        <f>D6*Picklists!M2</f>
        <v>656.34999999999991</v>
      </c>
    </row>
    <row r="7" spans="1:13" ht="21" x14ac:dyDescent="0.2">
      <c r="B7" s="38" t="s">
        <v>3</v>
      </c>
      <c r="C7" s="85">
        <f>Home1!$F$9*Home1!$B$9</f>
        <v>180</v>
      </c>
      <c r="D7" s="86">
        <f>C7-F22-F36-F50-F64-F78</f>
        <v>180</v>
      </c>
      <c r="F7" s="38" t="s">
        <v>3</v>
      </c>
      <c r="G7" s="39">
        <f>C7*Picklists!M3</f>
        <v>720</v>
      </c>
      <c r="H7" s="86">
        <f>D7*Picklists!M3</f>
        <v>720</v>
      </c>
    </row>
    <row r="8" spans="1:13" ht="22" thickBot="1" x14ac:dyDescent="0.25">
      <c r="B8" s="44" t="s">
        <v>4</v>
      </c>
      <c r="C8" s="88">
        <f>Home1!$F$10*Home1!$B$9</f>
        <v>57.6</v>
      </c>
      <c r="D8" s="89">
        <f>C8-G22-G36-G50-G64-G78</f>
        <v>57.6</v>
      </c>
      <c r="F8" s="38" t="s">
        <v>4</v>
      </c>
      <c r="G8" s="39">
        <f>C8*Picklists!M4</f>
        <v>518.4</v>
      </c>
      <c r="H8" s="86">
        <f>D8*Picklists!M4</f>
        <v>518.4</v>
      </c>
    </row>
    <row r="9" spans="1:13" ht="22" thickBot="1" x14ac:dyDescent="0.25">
      <c r="B9" s="90" t="s">
        <v>12</v>
      </c>
      <c r="C9" s="91">
        <f>SUM(C6:C8)</f>
        <v>401.6875</v>
      </c>
      <c r="D9" s="92">
        <f>SUM(D6:D8)</f>
        <v>401.6875</v>
      </c>
      <c r="F9" s="93" t="s">
        <v>12</v>
      </c>
      <c r="G9" s="94">
        <f>SUM(G6:G8)</f>
        <v>1894.75</v>
      </c>
      <c r="H9" s="95">
        <f>SUM(H6:H8)</f>
        <v>1894.75</v>
      </c>
    </row>
    <row r="11" spans="1:13" ht="17" thickBot="1" x14ac:dyDescent="0.25"/>
    <row r="12" spans="1:13" s="15" customFormat="1" ht="26" customHeight="1" thickBot="1" x14ac:dyDescent="0.3">
      <c r="A12" s="21" t="s">
        <v>5</v>
      </c>
      <c r="B12" s="22"/>
      <c r="C12" s="22"/>
      <c r="D12" s="22"/>
      <c r="E12" s="22"/>
      <c r="F12" s="22"/>
      <c r="G12" s="22"/>
      <c r="H12" s="22"/>
      <c r="I12" s="23"/>
    </row>
    <row r="13" spans="1:13" s="16" customFormat="1" ht="21" x14ac:dyDescent="0.25">
      <c r="A13" s="20" t="s">
        <v>1</v>
      </c>
      <c r="B13" s="20" t="s">
        <v>39</v>
      </c>
      <c r="C13" s="20" t="s">
        <v>0</v>
      </c>
      <c r="D13" s="20" t="s">
        <v>47</v>
      </c>
      <c r="E13" s="20" t="s">
        <v>48</v>
      </c>
      <c r="F13" s="20" t="s">
        <v>49</v>
      </c>
      <c r="G13" s="20" t="s">
        <v>50</v>
      </c>
      <c r="H13" s="20" t="s">
        <v>51</v>
      </c>
      <c r="I13" s="20" t="s">
        <v>52</v>
      </c>
    </row>
    <row r="14" spans="1:13" ht="21" x14ac:dyDescent="0.2">
      <c r="A14" s="17"/>
      <c r="B14" s="17"/>
      <c r="C14" s="17"/>
      <c r="D14" s="17">
        <f>_xlfn.XLOOKUP(_xlfn.CONCAT($A14," - ",$B14),Food_Tratado!$A:$A,Food_Tratado!B:B,0,,)*$C14/$J14</f>
        <v>0</v>
      </c>
      <c r="E14" s="17">
        <f>_xlfn.XLOOKUP(_xlfn.CONCAT($A14," - ",$B14),Food_Tratado!$A:$A,Food_Tratado!C:C,0,,)*$C14/$J14</f>
        <v>0</v>
      </c>
      <c r="F14" s="17">
        <f>_xlfn.XLOOKUP(_xlfn.CONCAT($A14," - ",$B14),Food_Tratado!$A:$A,Food_Tratado!D:D,0,,)*$C14/$J14</f>
        <v>0</v>
      </c>
      <c r="G14" s="17">
        <f>_xlfn.XLOOKUP(_xlfn.CONCAT($A14," - ",$B14),Food_Tratado!$A:$A,Food_Tratado!E:E,0,,)*$C14/$J14</f>
        <v>0</v>
      </c>
      <c r="H14" s="17">
        <f>_xlfn.XLOOKUP(_xlfn.CONCAT($A14," - ",$B14),Food_Tratado!$A:$A,Food_Tratado!F:F,0,,)*$C14/$J14</f>
        <v>0</v>
      </c>
      <c r="I14" s="17">
        <f>_xlfn.XLOOKUP(_xlfn.CONCAT($A14," - ",$B14),Food_Tratado!$A:$A,Food_Tratado!G:G,0,,)*$C14/$J14</f>
        <v>0</v>
      </c>
      <c r="J14" s="18">
        <f>IF(B14="Gramas (100g)",100,1)</f>
        <v>1</v>
      </c>
    </row>
    <row r="15" spans="1:13" s="16" customFormat="1" ht="21" x14ac:dyDescent="0.25">
      <c r="A15" s="17"/>
      <c r="B15" s="17"/>
      <c r="C15" s="17"/>
      <c r="D15" s="17">
        <f>_xlfn.XLOOKUP(_xlfn.CONCAT($A15," - ",$B15),Food_Tratado!$A:$A,Food_Tratado!B:B,0,,)*$C15/$J15</f>
        <v>0</v>
      </c>
      <c r="E15" s="17">
        <f>_xlfn.XLOOKUP(_xlfn.CONCAT($A15," - ",$B15),Food_Tratado!$A:$A,Food_Tratado!C:C,0,,)*$C15/$J15</f>
        <v>0</v>
      </c>
      <c r="F15" s="17">
        <f>_xlfn.XLOOKUP(_xlfn.CONCAT($A15," - ",$B15),Food_Tratado!$A:$A,Food_Tratado!D:D,0,,)*$C15/$J15</f>
        <v>0</v>
      </c>
      <c r="G15" s="17">
        <f>_xlfn.XLOOKUP(_xlfn.CONCAT($A15," - ",$B15),Food_Tratado!$A:$A,Food_Tratado!E:E,0,,)*$C15/$J15</f>
        <v>0</v>
      </c>
      <c r="H15" s="17">
        <f>_xlfn.XLOOKUP(_xlfn.CONCAT($A15," - ",$B15),Food_Tratado!$A:$A,Food_Tratado!F:F,0,,)*$C15/$J15</f>
        <v>0</v>
      </c>
      <c r="I15" s="17">
        <f>_xlfn.XLOOKUP(_xlfn.CONCAT($A15," - ",$B15),Food_Tratado!$A:$A,Food_Tratado!G:G,0,,)*$C15/$J15</f>
        <v>0</v>
      </c>
      <c r="J15" s="18">
        <f>IF(B15="Gramas (100g)",100,1)</f>
        <v>1</v>
      </c>
    </row>
    <row r="16" spans="1:13" ht="21" x14ac:dyDescent="0.25">
      <c r="A16" s="17"/>
      <c r="B16" s="17"/>
      <c r="C16" s="17"/>
      <c r="D16" s="17">
        <f>_xlfn.XLOOKUP(_xlfn.CONCAT($A16," - ",$B16),Food_Tratado!$A:$A,Food_Tratado!B:B,0,,)*$C16/$J16</f>
        <v>0</v>
      </c>
      <c r="E16" s="17">
        <f>_xlfn.XLOOKUP(_xlfn.CONCAT($A16," - ",$B16),Food_Tratado!$A:$A,Food_Tratado!C:C,0,,)*$C16/$J16</f>
        <v>0</v>
      </c>
      <c r="F16" s="17">
        <f>_xlfn.XLOOKUP(_xlfn.CONCAT($A16," - ",$B16),Food_Tratado!$A:$A,Food_Tratado!D:D,0,,)*$C16/$J16</f>
        <v>0</v>
      </c>
      <c r="G16" s="17">
        <f>_xlfn.XLOOKUP(_xlfn.CONCAT($A16," - ",$B16),Food_Tratado!$A:$A,Food_Tratado!E:E,0,,)*$C16/$J16</f>
        <v>0</v>
      </c>
      <c r="H16" s="17">
        <f>_xlfn.XLOOKUP(_xlfn.CONCAT($A16," - ",$B16),Food_Tratado!$A:$A,Food_Tratado!F:F,0,,)*$C16/$J16</f>
        <v>0</v>
      </c>
      <c r="I16" s="17">
        <f>_xlfn.XLOOKUP(_xlfn.CONCAT($A16," - ",$B16),Food_Tratado!$A:$A,Food_Tratado!G:G,0,,)*$C16/$J16</f>
        <v>0</v>
      </c>
      <c r="J16" s="18">
        <f t="shared" ref="J16:J21" si="0">IF(B16="Gramas (100g)",100,1)</f>
        <v>1</v>
      </c>
      <c r="K16" s="16"/>
      <c r="L16" s="16"/>
      <c r="M16" s="16"/>
    </row>
    <row r="17" spans="1:10" ht="21" x14ac:dyDescent="0.2">
      <c r="A17" s="17"/>
      <c r="B17" s="17"/>
      <c r="C17" s="17"/>
      <c r="D17" s="17">
        <f>_xlfn.XLOOKUP(_xlfn.CONCAT($A17," - ",$B17),Food_Tratado!$A:$A,Food_Tratado!B:B,0,,)*$C17/$J17</f>
        <v>0</v>
      </c>
      <c r="E17" s="17">
        <f>_xlfn.XLOOKUP(_xlfn.CONCAT($A17," - ",$B17),Food_Tratado!$A:$A,Food_Tratado!C:C,0,,)*$C17/$J17</f>
        <v>0</v>
      </c>
      <c r="F17" s="17">
        <f>_xlfn.XLOOKUP(_xlfn.CONCAT($A17," - ",$B17),Food_Tratado!$A:$A,Food_Tratado!D:D,0,,)*$C17/$J17</f>
        <v>0</v>
      </c>
      <c r="G17" s="17">
        <f>_xlfn.XLOOKUP(_xlfn.CONCAT($A17," - ",$B17),Food_Tratado!$A:$A,Food_Tratado!E:E,0,,)*$C17/$J17</f>
        <v>0</v>
      </c>
      <c r="H17" s="17">
        <f>_xlfn.XLOOKUP(_xlfn.CONCAT($A17," - ",$B17),Food_Tratado!$A:$A,Food_Tratado!F:F,0,,)*$C17/$J17</f>
        <v>0</v>
      </c>
      <c r="I17" s="17">
        <f>_xlfn.XLOOKUP(_xlfn.CONCAT($A17," - ",$B17),Food_Tratado!$A:$A,Food_Tratado!G:G,0,,)*$C17/$J17</f>
        <v>0</v>
      </c>
      <c r="J17" s="18">
        <f t="shared" si="0"/>
        <v>1</v>
      </c>
    </row>
    <row r="18" spans="1:10" ht="21" x14ac:dyDescent="0.2">
      <c r="A18" s="17"/>
      <c r="B18" s="17"/>
      <c r="C18" s="17"/>
      <c r="D18" s="17">
        <f>_xlfn.XLOOKUP(_xlfn.CONCAT($A18," - ",$B18),Food_Tratado!$A:$A,Food_Tratado!B:B,0,,)*$C18/$J18</f>
        <v>0</v>
      </c>
      <c r="E18" s="17">
        <f>_xlfn.XLOOKUP(_xlfn.CONCAT($A18," - ",$B18),Food_Tratado!$A:$A,Food_Tratado!C:C,0,,)*$C18/$J18</f>
        <v>0</v>
      </c>
      <c r="F18" s="17">
        <f>_xlfn.XLOOKUP(_xlfn.CONCAT($A18," - ",$B18),Food_Tratado!$A:$A,Food_Tratado!D:D,0,,)*$C18/$J18</f>
        <v>0</v>
      </c>
      <c r="G18" s="17">
        <f>_xlfn.XLOOKUP(_xlfn.CONCAT($A18," - ",$B18),Food_Tratado!$A:$A,Food_Tratado!E:E,0,,)*$C18/$J18</f>
        <v>0</v>
      </c>
      <c r="H18" s="17">
        <f>_xlfn.XLOOKUP(_xlfn.CONCAT($A18," - ",$B18),Food_Tratado!$A:$A,Food_Tratado!F:F,0,,)*$C18/$J18</f>
        <v>0</v>
      </c>
      <c r="I18" s="17">
        <f>_xlfn.XLOOKUP(_xlfn.CONCAT($A18," - ",$B18),Food_Tratado!$A:$A,Food_Tratado!G:G,0,,)*$C18/$J18</f>
        <v>0</v>
      </c>
      <c r="J18" s="18">
        <f t="shared" si="0"/>
        <v>1</v>
      </c>
    </row>
    <row r="19" spans="1:10" ht="21" x14ac:dyDescent="0.2">
      <c r="A19" s="17"/>
      <c r="B19" s="17"/>
      <c r="C19" s="17"/>
      <c r="D19" s="17">
        <f>_xlfn.XLOOKUP(_xlfn.CONCAT($A19," - ",$B19),Food_Tratado!$A:$A,Food_Tratado!B:B,0,,)*$C19/$J19</f>
        <v>0</v>
      </c>
      <c r="E19" s="17">
        <f>_xlfn.XLOOKUP(_xlfn.CONCAT($A19," - ",$B19),Food_Tratado!$A:$A,Food_Tratado!C:C,0,,)*$C19/$J19</f>
        <v>0</v>
      </c>
      <c r="F19" s="17">
        <f>_xlfn.XLOOKUP(_xlfn.CONCAT($A19," - ",$B19),Food_Tratado!$A:$A,Food_Tratado!D:D,0,,)*$C19/$J19</f>
        <v>0</v>
      </c>
      <c r="G19" s="17">
        <f>_xlfn.XLOOKUP(_xlfn.CONCAT($A19," - ",$B19),Food_Tratado!$A:$A,Food_Tratado!E:E,0,,)*$C19/$J19</f>
        <v>0</v>
      </c>
      <c r="H19" s="17">
        <f>_xlfn.XLOOKUP(_xlfn.CONCAT($A19," - ",$B19),Food_Tratado!$A:$A,Food_Tratado!F:F,0,,)*$C19/$J19</f>
        <v>0</v>
      </c>
      <c r="I19" s="17">
        <f>_xlfn.XLOOKUP(_xlfn.CONCAT($A19," - ",$B19),Food_Tratado!$A:$A,Food_Tratado!G:G,0,,)*$C19/$J19</f>
        <v>0</v>
      </c>
      <c r="J19" s="18">
        <f t="shared" si="0"/>
        <v>1</v>
      </c>
    </row>
    <row r="20" spans="1:10" ht="21" x14ac:dyDescent="0.2">
      <c r="A20" s="17"/>
      <c r="B20" s="17"/>
      <c r="C20" s="17"/>
      <c r="D20" s="17">
        <f>_xlfn.XLOOKUP(_xlfn.CONCAT($A20," - ",$B20),Food_Tratado!$A:$A,Food_Tratado!B:B,0,,)*$C20/$J20</f>
        <v>0</v>
      </c>
      <c r="E20" s="17">
        <f>_xlfn.XLOOKUP(_xlfn.CONCAT($A20," - ",$B20),Food_Tratado!$A:$A,Food_Tratado!C:C,0,,)*$C20/$J20</f>
        <v>0</v>
      </c>
      <c r="F20" s="17">
        <f>_xlfn.XLOOKUP(_xlfn.CONCAT($A20," - ",$B20),Food_Tratado!$A:$A,Food_Tratado!D:D,0,,)*$C20/$J20</f>
        <v>0</v>
      </c>
      <c r="G20" s="17">
        <f>_xlfn.XLOOKUP(_xlfn.CONCAT($A20," - ",$B20),Food_Tratado!$A:$A,Food_Tratado!E:E,0,,)*$C20/$J20</f>
        <v>0</v>
      </c>
      <c r="H20" s="17">
        <f>_xlfn.XLOOKUP(_xlfn.CONCAT($A20," - ",$B20),Food_Tratado!$A:$A,Food_Tratado!F:F,0,,)*$C20/$J20</f>
        <v>0</v>
      </c>
      <c r="I20" s="17">
        <f>_xlfn.XLOOKUP(_xlfn.CONCAT($A20," - ",$B20),Food_Tratado!$A:$A,Food_Tratado!G:G,0,,)*$C20/$J20</f>
        <v>0</v>
      </c>
      <c r="J20" s="18">
        <f t="shared" si="0"/>
        <v>1</v>
      </c>
    </row>
    <row r="21" spans="1:10" ht="22" thickBot="1" x14ac:dyDescent="0.25">
      <c r="A21" s="17"/>
      <c r="B21" s="17"/>
      <c r="C21" s="17"/>
      <c r="D21" s="17">
        <f>_xlfn.XLOOKUP(_xlfn.CONCAT($A21," - ",$B21),Food_Tratado!$A:$A,Food_Tratado!B:B,0,,)*$C21/$J21</f>
        <v>0</v>
      </c>
      <c r="E21" s="17">
        <f>_xlfn.XLOOKUP(_xlfn.CONCAT($A21," - ",$B21),Food_Tratado!$A:$A,Food_Tratado!C:C,0,,)*$C21/$J21</f>
        <v>0</v>
      </c>
      <c r="F21" s="17">
        <f>_xlfn.XLOOKUP(_xlfn.CONCAT($A21," - ",$B21),Food_Tratado!$A:$A,Food_Tratado!D:D,0,,)*$C21/$J21</f>
        <v>0</v>
      </c>
      <c r="G21" s="17">
        <f>_xlfn.XLOOKUP(_xlfn.CONCAT($A21," - ",$B21),Food_Tratado!$A:$A,Food_Tratado!E:E,0,,)*$C21/$J21</f>
        <v>0</v>
      </c>
      <c r="H21" s="17">
        <f>_xlfn.XLOOKUP(_xlfn.CONCAT($A21," - ",$B21),Food_Tratado!$A:$A,Food_Tratado!F:F,0,,)*$C21/$J21</f>
        <v>0</v>
      </c>
      <c r="I21" s="17">
        <f>_xlfn.XLOOKUP(_xlfn.CONCAT($A21," - ",$B21),Food_Tratado!$A:$A,Food_Tratado!G:G,0,,)*$C21/$J21</f>
        <v>0</v>
      </c>
      <c r="J21" s="18">
        <f t="shared" si="0"/>
        <v>1</v>
      </c>
    </row>
    <row r="22" spans="1:10" ht="20" thickBot="1" x14ac:dyDescent="0.25">
      <c r="A22" s="24" t="s">
        <v>12</v>
      </c>
      <c r="B22" s="25"/>
      <c r="C22" s="26"/>
      <c r="D22" s="19">
        <f>SUM(D14:D21)</f>
        <v>0</v>
      </c>
      <c r="E22" s="19">
        <f t="shared" ref="E22:I22" si="1">SUM(E14:E21)</f>
        <v>0</v>
      </c>
      <c r="F22" s="19">
        <f t="shared" si="1"/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</row>
    <row r="25" spans="1:10" ht="17" thickBot="1" x14ac:dyDescent="0.25"/>
    <row r="26" spans="1:10" ht="25" thickBot="1" x14ac:dyDescent="0.3">
      <c r="A26" s="21" t="s">
        <v>6</v>
      </c>
      <c r="B26" s="22"/>
      <c r="C26" s="22"/>
      <c r="D26" s="22"/>
      <c r="E26" s="22"/>
      <c r="F26" s="22"/>
      <c r="G26" s="22"/>
      <c r="H26" s="22"/>
      <c r="I26" s="23"/>
      <c r="J26" s="15"/>
    </row>
    <row r="27" spans="1:10" ht="21" x14ac:dyDescent="0.25">
      <c r="A27" s="20" t="s">
        <v>1</v>
      </c>
      <c r="B27" s="20" t="s">
        <v>39</v>
      </c>
      <c r="C27" s="20" t="s">
        <v>0</v>
      </c>
      <c r="D27" s="20" t="s">
        <v>47</v>
      </c>
      <c r="E27" s="20" t="s">
        <v>48</v>
      </c>
      <c r="F27" s="20" t="s">
        <v>49</v>
      </c>
      <c r="G27" s="20" t="s">
        <v>50</v>
      </c>
      <c r="H27" s="20" t="s">
        <v>51</v>
      </c>
      <c r="I27" s="20" t="s">
        <v>52</v>
      </c>
      <c r="J27" s="16"/>
    </row>
    <row r="28" spans="1:10" ht="21" x14ac:dyDescent="0.2">
      <c r="A28" s="17"/>
      <c r="B28" s="17"/>
      <c r="C28" s="17"/>
      <c r="D28" s="17">
        <f>_xlfn.XLOOKUP(_xlfn.CONCAT($A28," - ",$B28),Food_Tratado!$A:$A,Food_Tratado!B:B,0,,)*$C28/$J28</f>
        <v>0</v>
      </c>
      <c r="E28" s="17">
        <f>_xlfn.XLOOKUP(_xlfn.CONCAT($A28," - ",$B28),Food_Tratado!$A:$A,Food_Tratado!C:C,0,,)*$C28/$J28</f>
        <v>0</v>
      </c>
      <c r="F28" s="17">
        <f>_xlfn.XLOOKUP(_xlfn.CONCAT($A28," - ",$B28),Food_Tratado!$A:$A,Food_Tratado!D:D,0,,)*$C28/$J28</f>
        <v>0</v>
      </c>
      <c r="G28" s="17">
        <f>_xlfn.XLOOKUP(_xlfn.CONCAT($A28," - ",$B28),Food_Tratado!$A:$A,Food_Tratado!E:E,0,,)*$C28/$J28</f>
        <v>0</v>
      </c>
      <c r="H28" s="17">
        <f>_xlfn.XLOOKUP(_xlfn.CONCAT($A28," - ",$B28),Food_Tratado!$A:$A,Food_Tratado!F:F,0,,)*$C28/$J28</f>
        <v>0</v>
      </c>
      <c r="I28" s="17">
        <f>_xlfn.XLOOKUP(_xlfn.CONCAT($A28," - ",$B28),Food_Tratado!$A:$A,Food_Tratado!G:G,0,,)*$C28/$J28</f>
        <v>0</v>
      </c>
      <c r="J28" s="18">
        <f>IF(B28="Gramas (100g)",100,1)</f>
        <v>1</v>
      </c>
    </row>
    <row r="29" spans="1:10" ht="21" x14ac:dyDescent="0.2">
      <c r="A29" s="17"/>
      <c r="B29" s="17"/>
      <c r="C29" s="17"/>
      <c r="D29" s="17">
        <f>_xlfn.XLOOKUP(_xlfn.CONCAT($A29," - ",$B29),Food_Tratado!$A:$A,Food_Tratado!B:B,0,,)*$C29/$J29</f>
        <v>0</v>
      </c>
      <c r="E29" s="17">
        <f>_xlfn.XLOOKUP(_xlfn.CONCAT($A29," - ",$B29),Food_Tratado!$A:$A,Food_Tratado!C:C,0,,)*$C29/$J29</f>
        <v>0</v>
      </c>
      <c r="F29" s="17">
        <f>_xlfn.XLOOKUP(_xlfn.CONCAT($A29," - ",$B29),Food_Tratado!$A:$A,Food_Tratado!D:D,0,,)*$C29/$J29</f>
        <v>0</v>
      </c>
      <c r="G29" s="17">
        <f>_xlfn.XLOOKUP(_xlfn.CONCAT($A29," - ",$B29),Food_Tratado!$A:$A,Food_Tratado!E:E,0,,)*$C29/$J29</f>
        <v>0</v>
      </c>
      <c r="H29" s="17">
        <f>_xlfn.XLOOKUP(_xlfn.CONCAT($A29," - ",$B29),Food_Tratado!$A:$A,Food_Tratado!F:F,0,,)*$C29/$J29</f>
        <v>0</v>
      </c>
      <c r="I29" s="17">
        <f>_xlfn.XLOOKUP(_xlfn.CONCAT($A29," - ",$B29),Food_Tratado!$A:$A,Food_Tratado!G:G,0,,)*$C29/$J29</f>
        <v>0</v>
      </c>
      <c r="J29" s="18">
        <f>IF(B29="Gramas (100g)",100,1)</f>
        <v>1</v>
      </c>
    </row>
    <row r="30" spans="1:10" ht="21" x14ac:dyDescent="0.2">
      <c r="A30" s="17"/>
      <c r="B30" s="17"/>
      <c r="C30" s="17"/>
      <c r="D30" s="17">
        <f>_xlfn.XLOOKUP(_xlfn.CONCAT($A30," - ",$B30),Food_Tratado!$A:$A,Food_Tratado!B:B,0,,)*$C30/$J30</f>
        <v>0</v>
      </c>
      <c r="E30" s="17">
        <f>_xlfn.XLOOKUP(_xlfn.CONCAT($A30," - ",$B30),Food_Tratado!$A:$A,Food_Tratado!C:C,0,,)*$C30/$J30</f>
        <v>0</v>
      </c>
      <c r="F30" s="17">
        <f>_xlfn.XLOOKUP(_xlfn.CONCAT($A30," - ",$B30),Food_Tratado!$A:$A,Food_Tratado!D:D,0,,)*$C30/$J30</f>
        <v>0</v>
      </c>
      <c r="G30" s="17">
        <f>_xlfn.XLOOKUP(_xlfn.CONCAT($A30," - ",$B30),Food_Tratado!$A:$A,Food_Tratado!E:E,0,,)*$C30/$J30</f>
        <v>0</v>
      </c>
      <c r="H30" s="17">
        <f>_xlfn.XLOOKUP(_xlfn.CONCAT($A30," - ",$B30),Food_Tratado!$A:$A,Food_Tratado!F:F,0,,)*$C30/$J30</f>
        <v>0</v>
      </c>
      <c r="I30" s="17">
        <f>_xlfn.XLOOKUP(_xlfn.CONCAT($A30," - ",$B30),Food_Tratado!$A:$A,Food_Tratado!G:G,0,,)*$C30/$J30</f>
        <v>0</v>
      </c>
      <c r="J30" s="18">
        <f t="shared" ref="J30:J35" si="2">IF(B30="Gramas (100g)",100,1)</f>
        <v>1</v>
      </c>
    </row>
    <row r="31" spans="1:10" ht="21" x14ac:dyDescent="0.2">
      <c r="A31" s="17"/>
      <c r="B31" s="17"/>
      <c r="C31" s="17"/>
      <c r="D31" s="17">
        <f>_xlfn.XLOOKUP(_xlfn.CONCAT($A31," - ",$B31),Food_Tratado!$A:$A,Food_Tratado!B:B,0,,)*$C31/$J31</f>
        <v>0</v>
      </c>
      <c r="E31" s="17">
        <f>_xlfn.XLOOKUP(_xlfn.CONCAT($A31," - ",$B31),Food_Tratado!$A:$A,Food_Tratado!C:C,0,,)*$C31/$J31</f>
        <v>0</v>
      </c>
      <c r="F31" s="17">
        <f>_xlfn.XLOOKUP(_xlfn.CONCAT($A31," - ",$B31),Food_Tratado!$A:$A,Food_Tratado!D:D,0,,)*$C31/$J31</f>
        <v>0</v>
      </c>
      <c r="G31" s="17">
        <f>_xlfn.XLOOKUP(_xlfn.CONCAT($A31," - ",$B31),Food_Tratado!$A:$A,Food_Tratado!E:E,0,,)*$C31/$J31</f>
        <v>0</v>
      </c>
      <c r="H31" s="17">
        <f>_xlfn.XLOOKUP(_xlfn.CONCAT($A31," - ",$B31),Food_Tratado!$A:$A,Food_Tratado!F:F,0,,)*$C31/$J31</f>
        <v>0</v>
      </c>
      <c r="I31" s="17">
        <f>_xlfn.XLOOKUP(_xlfn.CONCAT($A31," - ",$B31),Food_Tratado!$A:$A,Food_Tratado!G:G,0,,)*$C31/$J31</f>
        <v>0</v>
      </c>
      <c r="J31" s="18">
        <f t="shared" si="2"/>
        <v>1</v>
      </c>
    </row>
    <row r="32" spans="1:10" ht="21" x14ac:dyDescent="0.2">
      <c r="A32" s="17"/>
      <c r="B32" s="17"/>
      <c r="C32" s="17"/>
      <c r="D32" s="17">
        <f>_xlfn.XLOOKUP(_xlfn.CONCAT($A32," - ",$B32),Food_Tratado!$A:$A,Food_Tratado!B:B,0,,)*$C32/$J32</f>
        <v>0</v>
      </c>
      <c r="E32" s="17">
        <f>_xlfn.XLOOKUP(_xlfn.CONCAT($A32," - ",$B32),Food_Tratado!$A:$A,Food_Tratado!C:C,0,,)*$C32/$J32</f>
        <v>0</v>
      </c>
      <c r="F32" s="17">
        <f>_xlfn.XLOOKUP(_xlfn.CONCAT($A32," - ",$B32),Food_Tratado!$A:$A,Food_Tratado!D:D,0,,)*$C32/$J32</f>
        <v>0</v>
      </c>
      <c r="G32" s="17">
        <f>_xlfn.XLOOKUP(_xlfn.CONCAT($A32," - ",$B32),Food_Tratado!$A:$A,Food_Tratado!E:E,0,,)*$C32/$J32</f>
        <v>0</v>
      </c>
      <c r="H32" s="17">
        <f>_xlfn.XLOOKUP(_xlfn.CONCAT($A32," - ",$B32),Food_Tratado!$A:$A,Food_Tratado!F:F,0,,)*$C32/$J32</f>
        <v>0</v>
      </c>
      <c r="I32" s="17">
        <f>_xlfn.XLOOKUP(_xlfn.CONCAT($A32," - ",$B32),Food_Tratado!$A:$A,Food_Tratado!G:G,0,,)*$C32/$J32</f>
        <v>0</v>
      </c>
      <c r="J32" s="18">
        <f t="shared" si="2"/>
        <v>1</v>
      </c>
    </row>
    <row r="33" spans="1:10" ht="21" x14ac:dyDescent="0.2">
      <c r="A33" s="17"/>
      <c r="B33" s="17"/>
      <c r="C33" s="17"/>
      <c r="D33" s="17">
        <f>_xlfn.XLOOKUP(_xlfn.CONCAT($A33," - ",$B33),Food_Tratado!$A:$A,Food_Tratado!B:B,0,,)*$C33/$J33</f>
        <v>0</v>
      </c>
      <c r="E33" s="17">
        <f>_xlfn.XLOOKUP(_xlfn.CONCAT($A33," - ",$B33),Food_Tratado!$A:$A,Food_Tratado!C:C,0,,)*$C33/$J33</f>
        <v>0</v>
      </c>
      <c r="F33" s="17">
        <f>_xlfn.XLOOKUP(_xlfn.CONCAT($A33," - ",$B33),Food_Tratado!$A:$A,Food_Tratado!D:D,0,,)*$C33/$J33</f>
        <v>0</v>
      </c>
      <c r="G33" s="17">
        <f>_xlfn.XLOOKUP(_xlfn.CONCAT($A33," - ",$B33),Food_Tratado!$A:$A,Food_Tratado!E:E,0,,)*$C33/$J33</f>
        <v>0</v>
      </c>
      <c r="H33" s="17">
        <f>_xlfn.XLOOKUP(_xlfn.CONCAT($A33," - ",$B33),Food_Tratado!$A:$A,Food_Tratado!F:F,0,,)*$C33/$J33</f>
        <v>0</v>
      </c>
      <c r="I33" s="17">
        <f>_xlfn.XLOOKUP(_xlfn.CONCAT($A33," - ",$B33),Food_Tratado!$A:$A,Food_Tratado!G:G,0,,)*$C33/$J33</f>
        <v>0</v>
      </c>
      <c r="J33" s="18">
        <f t="shared" si="2"/>
        <v>1</v>
      </c>
    </row>
    <row r="34" spans="1:10" ht="21" x14ac:dyDescent="0.2">
      <c r="A34" s="17"/>
      <c r="B34" s="17"/>
      <c r="C34" s="17"/>
      <c r="D34" s="17">
        <f>_xlfn.XLOOKUP(_xlfn.CONCAT($A34," - ",$B34),Food_Tratado!$A:$A,Food_Tratado!B:B,0,,)*$C34/$J34</f>
        <v>0</v>
      </c>
      <c r="E34" s="17">
        <f>_xlfn.XLOOKUP(_xlfn.CONCAT($A34," - ",$B34),Food_Tratado!$A:$A,Food_Tratado!C:C,0,,)*$C34/$J34</f>
        <v>0</v>
      </c>
      <c r="F34" s="17">
        <f>_xlfn.XLOOKUP(_xlfn.CONCAT($A34," - ",$B34),Food_Tratado!$A:$A,Food_Tratado!D:D,0,,)*$C34/$J34</f>
        <v>0</v>
      </c>
      <c r="G34" s="17">
        <f>_xlfn.XLOOKUP(_xlfn.CONCAT($A34," - ",$B34),Food_Tratado!$A:$A,Food_Tratado!E:E,0,,)*$C34/$J34</f>
        <v>0</v>
      </c>
      <c r="H34" s="17">
        <f>_xlfn.XLOOKUP(_xlfn.CONCAT($A34," - ",$B34),Food_Tratado!$A:$A,Food_Tratado!F:F,0,,)*$C34/$J34</f>
        <v>0</v>
      </c>
      <c r="I34" s="17">
        <f>_xlfn.XLOOKUP(_xlfn.CONCAT($A34," - ",$B34),Food_Tratado!$A:$A,Food_Tratado!G:G,0,,)*$C34/$J34</f>
        <v>0</v>
      </c>
      <c r="J34" s="18">
        <f t="shared" si="2"/>
        <v>1</v>
      </c>
    </row>
    <row r="35" spans="1:10" ht="22" thickBot="1" x14ac:dyDescent="0.25">
      <c r="A35" s="17"/>
      <c r="B35" s="17"/>
      <c r="C35" s="17"/>
      <c r="D35" s="17">
        <f>_xlfn.XLOOKUP(_xlfn.CONCAT($A35," - ",$B35),Food_Tratado!$A:$A,Food_Tratado!B:B,0,,)*$C35/$J35</f>
        <v>0</v>
      </c>
      <c r="E35" s="17">
        <f>_xlfn.XLOOKUP(_xlfn.CONCAT($A35," - ",$B35),Food_Tratado!$A:$A,Food_Tratado!C:C,0,,)*$C35/$J35</f>
        <v>0</v>
      </c>
      <c r="F35" s="17">
        <f>_xlfn.XLOOKUP(_xlfn.CONCAT($A35," - ",$B35),Food_Tratado!$A:$A,Food_Tratado!D:D,0,,)*$C35/$J35</f>
        <v>0</v>
      </c>
      <c r="G35" s="17">
        <f>_xlfn.XLOOKUP(_xlfn.CONCAT($A35," - ",$B35),Food_Tratado!$A:$A,Food_Tratado!E:E,0,,)*$C35/$J35</f>
        <v>0</v>
      </c>
      <c r="H35" s="17">
        <f>_xlfn.XLOOKUP(_xlfn.CONCAT($A35," - ",$B35),Food_Tratado!$A:$A,Food_Tratado!F:F,0,,)*$C35/$J35</f>
        <v>0</v>
      </c>
      <c r="I35" s="17">
        <f>_xlfn.XLOOKUP(_xlfn.CONCAT($A35," - ",$B35),Food_Tratado!$A:$A,Food_Tratado!G:G,0,,)*$C35/$J35</f>
        <v>0</v>
      </c>
      <c r="J35" s="18">
        <f t="shared" si="2"/>
        <v>1</v>
      </c>
    </row>
    <row r="36" spans="1:10" ht="20" thickBot="1" x14ac:dyDescent="0.25">
      <c r="A36" s="24" t="s">
        <v>12</v>
      </c>
      <c r="B36" s="25"/>
      <c r="C36" s="26"/>
      <c r="D36" s="19">
        <f>SUM(D28:D35)</f>
        <v>0</v>
      </c>
      <c r="E36" s="19">
        <f t="shared" ref="E36:I36" si="3">SUM(E28:E35)</f>
        <v>0</v>
      </c>
      <c r="F36" s="19">
        <f t="shared" si="3"/>
        <v>0</v>
      </c>
      <c r="G36" s="19">
        <f t="shared" si="3"/>
        <v>0</v>
      </c>
      <c r="H36" s="19">
        <f t="shared" si="3"/>
        <v>0</v>
      </c>
      <c r="I36" s="19">
        <f t="shared" si="3"/>
        <v>0</v>
      </c>
    </row>
    <row r="39" spans="1:10" ht="17" thickBot="1" x14ac:dyDescent="0.25"/>
    <row r="40" spans="1:10" ht="25" thickBot="1" x14ac:dyDescent="0.3">
      <c r="A40" s="21" t="s">
        <v>55</v>
      </c>
      <c r="B40" s="22"/>
      <c r="C40" s="22"/>
      <c r="D40" s="22"/>
      <c r="E40" s="22"/>
      <c r="F40" s="22"/>
      <c r="G40" s="22"/>
      <c r="H40" s="22"/>
      <c r="I40" s="23"/>
      <c r="J40" s="15"/>
    </row>
    <row r="41" spans="1:10" ht="21" x14ac:dyDescent="0.25">
      <c r="A41" s="20" t="s">
        <v>1</v>
      </c>
      <c r="B41" s="20" t="s">
        <v>39</v>
      </c>
      <c r="C41" s="20" t="s">
        <v>0</v>
      </c>
      <c r="D41" s="20" t="s">
        <v>47</v>
      </c>
      <c r="E41" s="20" t="s">
        <v>48</v>
      </c>
      <c r="F41" s="20" t="s">
        <v>49</v>
      </c>
      <c r="G41" s="20" t="s">
        <v>50</v>
      </c>
      <c r="H41" s="20" t="s">
        <v>51</v>
      </c>
      <c r="I41" s="20" t="s">
        <v>52</v>
      </c>
      <c r="J41" s="16"/>
    </row>
    <row r="42" spans="1:10" ht="21" x14ac:dyDescent="0.2">
      <c r="A42" s="17"/>
      <c r="B42" s="17"/>
      <c r="C42" s="17"/>
      <c r="D42" s="17">
        <f>_xlfn.XLOOKUP(_xlfn.CONCAT($A42," - ",$B42),Food_Tratado!$A:$A,Food_Tratado!B:B,0,,)*$C42/$J42</f>
        <v>0</v>
      </c>
      <c r="E42" s="17">
        <f>_xlfn.XLOOKUP(_xlfn.CONCAT($A42," - ",$B42),Food_Tratado!$A:$A,Food_Tratado!C:C,0,,)*$C42/$J42</f>
        <v>0</v>
      </c>
      <c r="F42" s="17">
        <f>_xlfn.XLOOKUP(_xlfn.CONCAT($A42," - ",$B42),Food_Tratado!$A:$A,Food_Tratado!D:D,0,,)*$C42/$J42</f>
        <v>0</v>
      </c>
      <c r="G42" s="17">
        <f>_xlfn.XLOOKUP(_xlfn.CONCAT($A42," - ",$B42),Food_Tratado!$A:$A,Food_Tratado!E:E,0,,)*$C42/$J42</f>
        <v>0</v>
      </c>
      <c r="H42" s="17">
        <f>_xlfn.XLOOKUP(_xlfn.CONCAT($A42," - ",$B42),Food_Tratado!$A:$A,Food_Tratado!F:F,0,,)*$C42/$J42</f>
        <v>0</v>
      </c>
      <c r="I42" s="17">
        <f>_xlfn.XLOOKUP(_xlfn.CONCAT($A42," - ",$B42),Food_Tratado!$A:$A,Food_Tratado!G:G,0,,)*$C42/$J42</f>
        <v>0</v>
      </c>
      <c r="J42" s="18">
        <f>IF(B42="Gramas (100g)",100,1)</f>
        <v>1</v>
      </c>
    </row>
    <row r="43" spans="1:10" ht="21" x14ac:dyDescent="0.2">
      <c r="A43" s="17"/>
      <c r="B43" s="17"/>
      <c r="C43" s="17"/>
      <c r="D43" s="17">
        <f>_xlfn.XLOOKUP(_xlfn.CONCAT($A43," - ",$B43),Food_Tratado!$A:$A,Food_Tratado!B:B,0,,)*$C43/$J43</f>
        <v>0</v>
      </c>
      <c r="E43" s="17">
        <f>_xlfn.XLOOKUP(_xlfn.CONCAT($A43," - ",$B43),Food_Tratado!$A:$A,Food_Tratado!C:C,0,,)*$C43/$J43</f>
        <v>0</v>
      </c>
      <c r="F43" s="17">
        <f>_xlfn.XLOOKUP(_xlfn.CONCAT($A43," - ",$B43),Food_Tratado!$A:$A,Food_Tratado!D:D,0,,)*$C43/$J43</f>
        <v>0</v>
      </c>
      <c r="G43" s="17">
        <f>_xlfn.XLOOKUP(_xlfn.CONCAT($A43," - ",$B43),Food_Tratado!$A:$A,Food_Tratado!E:E,0,,)*$C43/$J43</f>
        <v>0</v>
      </c>
      <c r="H43" s="17">
        <f>_xlfn.XLOOKUP(_xlfn.CONCAT($A43," - ",$B43),Food_Tratado!$A:$A,Food_Tratado!F:F,0,,)*$C43/$J43</f>
        <v>0</v>
      </c>
      <c r="I43" s="17">
        <f>_xlfn.XLOOKUP(_xlfn.CONCAT($A43," - ",$B43),Food_Tratado!$A:$A,Food_Tratado!G:G,0,,)*$C43/$J43</f>
        <v>0</v>
      </c>
      <c r="J43" s="18">
        <f>IF(B43="Gramas (100g)",100,1)</f>
        <v>1</v>
      </c>
    </row>
    <row r="44" spans="1:10" ht="21" x14ac:dyDescent="0.2">
      <c r="A44" s="17"/>
      <c r="B44" s="17"/>
      <c r="C44" s="17"/>
      <c r="D44" s="17">
        <f>_xlfn.XLOOKUP(_xlfn.CONCAT($A44," - ",$B44),Food_Tratado!$A:$A,Food_Tratado!B:B,0,,)*$C44/$J44</f>
        <v>0</v>
      </c>
      <c r="E44" s="17">
        <f>_xlfn.XLOOKUP(_xlfn.CONCAT($A44," - ",$B44),Food_Tratado!$A:$A,Food_Tratado!C:C,0,,)*$C44/$J44</f>
        <v>0</v>
      </c>
      <c r="F44" s="17">
        <f>_xlfn.XLOOKUP(_xlfn.CONCAT($A44," - ",$B44),Food_Tratado!$A:$A,Food_Tratado!D:D,0,,)*$C44/$J44</f>
        <v>0</v>
      </c>
      <c r="G44" s="17">
        <f>_xlfn.XLOOKUP(_xlfn.CONCAT($A44," - ",$B44),Food_Tratado!$A:$A,Food_Tratado!E:E,0,,)*$C44/$J44</f>
        <v>0</v>
      </c>
      <c r="H44" s="17">
        <f>_xlfn.XLOOKUP(_xlfn.CONCAT($A44," - ",$B44),Food_Tratado!$A:$A,Food_Tratado!F:F,0,,)*$C44/$J44</f>
        <v>0</v>
      </c>
      <c r="I44" s="17">
        <f>_xlfn.XLOOKUP(_xlfn.CONCAT($A44," - ",$B44),Food_Tratado!$A:$A,Food_Tratado!G:G,0,,)*$C44/$J44</f>
        <v>0</v>
      </c>
      <c r="J44" s="18">
        <f t="shared" ref="J44:J49" si="4">IF(B44="Gramas (100g)",100,1)</f>
        <v>1</v>
      </c>
    </row>
    <row r="45" spans="1:10" ht="21" x14ac:dyDescent="0.2">
      <c r="A45" s="17"/>
      <c r="B45" s="17"/>
      <c r="C45" s="17"/>
      <c r="D45" s="17">
        <f>_xlfn.XLOOKUP(_xlfn.CONCAT($A45," - ",$B45),Food_Tratado!$A:$A,Food_Tratado!B:B,0,,)*$C45/$J45</f>
        <v>0</v>
      </c>
      <c r="E45" s="17">
        <f>_xlfn.XLOOKUP(_xlfn.CONCAT($A45," - ",$B45),Food_Tratado!$A:$A,Food_Tratado!C:C,0,,)*$C45/$J45</f>
        <v>0</v>
      </c>
      <c r="F45" s="17">
        <f>_xlfn.XLOOKUP(_xlfn.CONCAT($A45," - ",$B45),Food_Tratado!$A:$A,Food_Tratado!D:D,0,,)*$C45/$J45</f>
        <v>0</v>
      </c>
      <c r="G45" s="17">
        <f>_xlfn.XLOOKUP(_xlfn.CONCAT($A45," - ",$B45),Food_Tratado!$A:$A,Food_Tratado!E:E,0,,)*$C45/$J45</f>
        <v>0</v>
      </c>
      <c r="H45" s="17">
        <f>_xlfn.XLOOKUP(_xlfn.CONCAT($A45," - ",$B45),Food_Tratado!$A:$A,Food_Tratado!F:F,0,,)*$C45/$J45</f>
        <v>0</v>
      </c>
      <c r="I45" s="17">
        <f>_xlfn.XLOOKUP(_xlfn.CONCAT($A45," - ",$B45),Food_Tratado!$A:$A,Food_Tratado!G:G,0,,)*$C45/$J45</f>
        <v>0</v>
      </c>
      <c r="J45" s="18">
        <f t="shared" si="4"/>
        <v>1</v>
      </c>
    </row>
    <row r="46" spans="1:10" ht="21" x14ac:dyDescent="0.2">
      <c r="A46" s="17"/>
      <c r="B46" s="17"/>
      <c r="C46" s="17"/>
      <c r="D46" s="17">
        <f>_xlfn.XLOOKUP(_xlfn.CONCAT($A46," - ",$B46),Food_Tratado!$A:$A,Food_Tratado!B:B,0,,)*$C46/$J46</f>
        <v>0</v>
      </c>
      <c r="E46" s="17">
        <f>_xlfn.XLOOKUP(_xlfn.CONCAT($A46," - ",$B46),Food_Tratado!$A:$A,Food_Tratado!C:C,0,,)*$C46/$J46</f>
        <v>0</v>
      </c>
      <c r="F46" s="17">
        <f>_xlfn.XLOOKUP(_xlfn.CONCAT($A46," - ",$B46),Food_Tratado!$A:$A,Food_Tratado!D:D,0,,)*$C46/$J46</f>
        <v>0</v>
      </c>
      <c r="G46" s="17">
        <f>_xlfn.XLOOKUP(_xlfn.CONCAT($A46," - ",$B46),Food_Tratado!$A:$A,Food_Tratado!E:E,0,,)*$C46/$J46</f>
        <v>0</v>
      </c>
      <c r="H46" s="17">
        <f>_xlfn.XLOOKUP(_xlfn.CONCAT($A46," - ",$B46),Food_Tratado!$A:$A,Food_Tratado!F:F,0,,)*$C46/$J46</f>
        <v>0</v>
      </c>
      <c r="I46" s="17">
        <f>_xlfn.XLOOKUP(_xlfn.CONCAT($A46," - ",$B46),Food_Tratado!$A:$A,Food_Tratado!G:G,0,,)*$C46/$J46</f>
        <v>0</v>
      </c>
      <c r="J46" s="18">
        <f t="shared" si="4"/>
        <v>1</v>
      </c>
    </row>
    <row r="47" spans="1:10" ht="21" x14ac:dyDescent="0.2">
      <c r="A47" s="17"/>
      <c r="B47" s="17"/>
      <c r="C47" s="17"/>
      <c r="D47" s="17">
        <f>_xlfn.XLOOKUP(_xlfn.CONCAT($A47," - ",$B47),Food_Tratado!$A:$A,Food_Tratado!B:B,0,,)*$C47/$J47</f>
        <v>0</v>
      </c>
      <c r="E47" s="17">
        <f>_xlfn.XLOOKUP(_xlfn.CONCAT($A47," - ",$B47),Food_Tratado!$A:$A,Food_Tratado!C:C,0,,)*$C47/$J47</f>
        <v>0</v>
      </c>
      <c r="F47" s="17">
        <f>_xlfn.XLOOKUP(_xlfn.CONCAT($A47," - ",$B47),Food_Tratado!$A:$A,Food_Tratado!D:D,0,,)*$C47/$J47</f>
        <v>0</v>
      </c>
      <c r="G47" s="17">
        <f>_xlfn.XLOOKUP(_xlfn.CONCAT($A47," - ",$B47),Food_Tratado!$A:$A,Food_Tratado!E:E,0,,)*$C47/$J47</f>
        <v>0</v>
      </c>
      <c r="H47" s="17">
        <f>_xlfn.XLOOKUP(_xlfn.CONCAT($A47," - ",$B47),Food_Tratado!$A:$A,Food_Tratado!F:F,0,,)*$C47/$J47</f>
        <v>0</v>
      </c>
      <c r="I47" s="17">
        <f>_xlfn.XLOOKUP(_xlfn.CONCAT($A47," - ",$B47),Food_Tratado!$A:$A,Food_Tratado!G:G,0,,)*$C47/$J47</f>
        <v>0</v>
      </c>
      <c r="J47" s="18">
        <f t="shared" si="4"/>
        <v>1</v>
      </c>
    </row>
    <row r="48" spans="1:10" ht="21" x14ac:dyDescent="0.2">
      <c r="A48" s="17"/>
      <c r="B48" s="17"/>
      <c r="C48" s="17"/>
      <c r="D48" s="17">
        <f>_xlfn.XLOOKUP(_xlfn.CONCAT($A48," - ",$B48),Food_Tratado!$A:$A,Food_Tratado!B:B,0,,)*$C48/$J48</f>
        <v>0</v>
      </c>
      <c r="E48" s="17">
        <f>_xlfn.XLOOKUP(_xlfn.CONCAT($A48," - ",$B48),Food_Tratado!$A:$A,Food_Tratado!C:C,0,,)*$C48/$J48</f>
        <v>0</v>
      </c>
      <c r="F48" s="17">
        <f>_xlfn.XLOOKUP(_xlfn.CONCAT($A48," - ",$B48),Food_Tratado!$A:$A,Food_Tratado!D:D,0,,)*$C48/$J48</f>
        <v>0</v>
      </c>
      <c r="G48" s="17">
        <f>_xlfn.XLOOKUP(_xlfn.CONCAT($A48," - ",$B48),Food_Tratado!$A:$A,Food_Tratado!E:E,0,,)*$C48/$J48</f>
        <v>0</v>
      </c>
      <c r="H48" s="17">
        <f>_xlfn.XLOOKUP(_xlfn.CONCAT($A48," - ",$B48),Food_Tratado!$A:$A,Food_Tratado!F:F,0,,)*$C48/$J48</f>
        <v>0</v>
      </c>
      <c r="I48" s="17">
        <f>_xlfn.XLOOKUP(_xlfn.CONCAT($A48," - ",$B48),Food_Tratado!$A:$A,Food_Tratado!G:G,0,,)*$C48/$J48</f>
        <v>0</v>
      </c>
      <c r="J48" s="18">
        <f t="shared" si="4"/>
        <v>1</v>
      </c>
    </row>
    <row r="49" spans="1:10" ht="22" thickBot="1" x14ac:dyDescent="0.25">
      <c r="A49" s="17"/>
      <c r="B49" s="17"/>
      <c r="C49" s="17"/>
      <c r="D49" s="17">
        <f>_xlfn.XLOOKUP(_xlfn.CONCAT($A49," - ",$B49),Food_Tratado!$A:$A,Food_Tratado!B:B,0,,)*$C49/$J49</f>
        <v>0</v>
      </c>
      <c r="E49" s="17">
        <f>_xlfn.XLOOKUP(_xlfn.CONCAT($A49," - ",$B49),Food_Tratado!$A:$A,Food_Tratado!C:C,0,,)*$C49/$J49</f>
        <v>0</v>
      </c>
      <c r="F49" s="17">
        <f>_xlfn.XLOOKUP(_xlfn.CONCAT($A49," - ",$B49),Food_Tratado!$A:$A,Food_Tratado!D:D,0,,)*$C49/$J49</f>
        <v>0</v>
      </c>
      <c r="G49" s="17">
        <f>_xlfn.XLOOKUP(_xlfn.CONCAT($A49," - ",$B49),Food_Tratado!$A:$A,Food_Tratado!E:E,0,,)*$C49/$J49</f>
        <v>0</v>
      </c>
      <c r="H49" s="17">
        <f>_xlfn.XLOOKUP(_xlfn.CONCAT($A49," - ",$B49),Food_Tratado!$A:$A,Food_Tratado!F:F,0,,)*$C49/$J49</f>
        <v>0</v>
      </c>
      <c r="I49" s="17">
        <f>_xlfn.XLOOKUP(_xlfn.CONCAT($A49," - ",$B49),Food_Tratado!$A:$A,Food_Tratado!G:G,0,,)*$C49/$J49</f>
        <v>0</v>
      </c>
      <c r="J49" s="18">
        <f t="shared" si="4"/>
        <v>1</v>
      </c>
    </row>
    <row r="50" spans="1:10" ht="20" thickBot="1" x14ac:dyDescent="0.25">
      <c r="A50" s="24" t="s">
        <v>12</v>
      </c>
      <c r="B50" s="25"/>
      <c r="C50" s="26"/>
      <c r="D50" s="19">
        <f>SUM(D42:D49)</f>
        <v>0</v>
      </c>
      <c r="E50" s="19">
        <f t="shared" ref="E50:I50" si="5">SUM(E42:E49)</f>
        <v>0</v>
      </c>
      <c r="F50" s="19">
        <f t="shared" si="5"/>
        <v>0</v>
      </c>
      <c r="G50" s="19">
        <f t="shared" si="5"/>
        <v>0</v>
      </c>
      <c r="H50" s="19">
        <f t="shared" si="5"/>
        <v>0</v>
      </c>
      <c r="I50" s="19">
        <f t="shared" si="5"/>
        <v>0</v>
      </c>
    </row>
    <row r="53" spans="1:10" ht="17" thickBot="1" x14ac:dyDescent="0.25"/>
    <row r="54" spans="1:10" ht="25" thickBot="1" x14ac:dyDescent="0.3">
      <c r="A54" s="21" t="s">
        <v>67</v>
      </c>
      <c r="B54" s="22"/>
      <c r="C54" s="22"/>
      <c r="D54" s="22"/>
      <c r="E54" s="22"/>
      <c r="F54" s="22"/>
      <c r="G54" s="22"/>
      <c r="H54" s="22"/>
      <c r="I54" s="23"/>
      <c r="J54" s="15"/>
    </row>
    <row r="55" spans="1:10" ht="21" x14ac:dyDescent="0.25">
      <c r="A55" s="20" t="s">
        <v>1</v>
      </c>
      <c r="B55" s="20" t="s">
        <v>39</v>
      </c>
      <c r="C55" s="20" t="s">
        <v>0</v>
      </c>
      <c r="D55" s="20" t="s">
        <v>47</v>
      </c>
      <c r="E55" s="20" t="s">
        <v>48</v>
      </c>
      <c r="F55" s="20" t="s">
        <v>49</v>
      </c>
      <c r="G55" s="20" t="s">
        <v>50</v>
      </c>
      <c r="H55" s="20" t="s">
        <v>51</v>
      </c>
      <c r="I55" s="20" t="s">
        <v>52</v>
      </c>
      <c r="J55" s="16"/>
    </row>
    <row r="56" spans="1:10" ht="21" x14ac:dyDescent="0.2">
      <c r="A56" s="17"/>
      <c r="B56" s="17"/>
      <c r="C56" s="17"/>
      <c r="D56" s="17">
        <f>_xlfn.XLOOKUP(_xlfn.CONCAT($A56," - ",$B56),Food_Tratado!$A:$A,Food_Tratado!B:B,0,,)*$C56/$J56</f>
        <v>0</v>
      </c>
      <c r="E56" s="17">
        <f>_xlfn.XLOOKUP(_xlfn.CONCAT($A56," - ",$B56),Food_Tratado!$A:$A,Food_Tratado!C:C,0,,)*$C56/$J56</f>
        <v>0</v>
      </c>
      <c r="F56" s="17">
        <f>_xlfn.XLOOKUP(_xlfn.CONCAT($A56," - ",$B56),Food_Tratado!$A:$A,Food_Tratado!D:D,0,,)*$C56/$J56</f>
        <v>0</v>
      </c>
      <c r="G56" s="17">
        <f>_xlfn.XLOOKUP(_xlfn.CONCAT($A56," - ",$B56),Food_Tratado!$A:$A,Food_Tratado!E:E,0,,)*$C56/$J56</f>
        <v>0</v>
      </c>
      <c r="H56" s="17">
        <f>_xlfn.XLOOKUP(_xlfn.CONCAT($A56," - ",$B56),Food_Tratado!$A:$A,Food_Tratado!F:F,0,,)*$C56/$J56</f>
        <v>0</v>
      </c>
      <c r="I56" s="17">
        <f>_xlfn.XLOOKUP(_xlfn.CONCAT($A56," - ",$B56),Food_Tratado!$A:$A,Food_Tratado!G:G,0,,)*$C56/$J56</f>
        <v>0</v>
      </c>
      <c r="J56" s="18">
        <f t="shared" ref="J56" si="6">IF(B56="Gramas (100g)",100,1)</f>
        <v>1</v>
      </c>
    </row>
    <row r="57" spans="1:10" ht="21" x14ac:dyDescent="0.2">
      <c r="A57" s="17"/>
      <c r="B57" s="17"/>
      <c r="C57" s="17"/>
      <c r="D57" s="17">
        <f>_xlfn.XLOOKUP(_xlfn.CONCAT($A57," - ",$B57),Food_Tratado!$A:$A,Food_Tratado!B:B,0,,)*$C57/$J57</f>
        <v>0</v>
      </c>
      <c r="E57" s="17">
        <f>_xlfn.XLOOKUP(_xlfn.CONCAT($A57," - ",$B57),Food_Tratado!$A:$A,Food_Tratado!C:C,0,,)*$C57/$J57</f>
        <v>0</v>
      </c>
      <c r="F57" s="17">
        <f>_xlfn.XLOOKUP(_xlfn.CONCAT($A57," - ",$B57),Food_Tratado!$A:$A,Food_Tratado!D:D,0,,)*$C57/$J57</f>
        <v>0</v>
      </c>
      <c r="G57" s="17">
        <f>_xlfn.XLOOKUP(_xlfn.CONCAT($A57," - ",$B57),Food_Tratado!$A:$A,Food_Tratado!E:E,0,,)*$C57/$J57</f>
        <v>0</v>
      </c>
      <c r="H57" s="17">
        <f>_xlfn.XLOOKUP(_xlfn.CONCAT($A57," - ",$B57),Food_Tratado!$A:$A,Food_Tratado!F:F,0,,)*$C57/$J57</f>
        <v>0</v>
      </c>
      <c r="I57" s="17">
        <f>_xlfn.XLOOKUP(_xlfn.CONCAT($A57," - ",$B57),Food_Tratado!$A:$A,Food_Tratado!G:G,0,,)*$C57/$J57</f>
        <v>0</v>
      </c>
      <c r="J57" s="18">
        <f>IF(B57="Gramas (100g)",100,1)</f>
        <v>1</v>
      </c>
    </row>
    <row r="58" spans="1:10" ht="21" x14ac:dyDescent="0.2">
      <c r="A58" s="17"/>
      <c r="B58" s="17"/>
      <c r="C58" s="17"/>
      <c r="D58" s="17">
        <f>_xlfn.XLOOKUP(_xlfn.CONCAT($A58," - ",$B58),Food_Tratado!$A:$A,Food_Tratado!B:B,0,,)*$C58/$J58</f>
        <v>0</v>
      </c>
      <c r="E58" s="17">
        <f>_xlfn.XLOOKUP(_xlfn.CONCAT($A58," - ",$B58),Food_Tratado!$A:$A,Food_Tratado!C:C,0,,)*$C58/$J58</f>
        <v>0</v>
      </c>
      <c r="F58" s="17">
        <f>_xlfn.XLOOKUP(_xlfn.CONCAT($A58," - ",$B58),Food_Tratado!$A:$A,Food_Tratado!D:D,0,,)*$C58/$J58</f>
        <v>0</v>
      </c>
      <c r="G58" s="17">
        <f>_xlfn.XLOOKUP(_xlfn.CONCAT($A58," - ",$B58),Food_Tratado!$A:$A,Food_Tratado!E:E,0,,)*$C58/$J58</f>
        <v>0</v>
      </c>
      <c r="H58" s="17">
        <f>_xlfn.XLOOKUP(_xlfn.CONCAT($A58," - ",$B58),Food_Tratado!$A:$A,Food_Tratado!F:F,0,,)*$C58/$J58</f>
        <v>0</v>
      </c>
      <c r="I58" s="17">
        <f>_xlfn.XLOOKUP(_xlfn.CONCAT($A58," - ",$B58),Food_Tratado!$A:$A,Food_Tratado!G:G,0,,)*$C58/$J58</f>
        <v>0</v>
      </c>
      <c r="J58" s="18">
        <f t="shared" ref="J58:J63" si="7">IF(B58="Gramas (100g)",100,1)</f>
        <v>1</v>
      </c>
    </row>
    <row r="59" spans="1:10" ht="21" x14ac:dyDescent="0.2">
      <c r="A59" s="17"/>
      <c r="B59" s="17"/>
      <c r="C59" s="17"/>
      <c r="D59" s="17">
        <f>_xlfn.XLOOKUP(_xlfn.CONCAT($A59," - ",$B59),Food_Tratado!$A:$A,Food_Tratado!B:B,0,,)*$C59/$J59</f>
        <v>0</v>
      </c>
      <c r="E59" s="17">
        <f>_xlfn.XLOOKUP(_xlfn.CONCAT($A59," - ",$B59),Food_Tratado!$A:$A,Food_Tratado!C:C,0,,)*$C59/$J59</f>
        <v>0</v>
      </c>
      <c r="F59" s="17">
        <f>_xlfn.XLOOKUP(_xlfn.CONCAT($A59," - ",$B59),Food_Tratado!$A:$A,Food_Tratado!D:D,0,,)*$C59/$J59</f>
        <v>0</v>
      </c>
      <c r="G59" s="17">
        <f>_xlfn.XLOOKUP(_xlfn.CONCAT($A59," - ",$B59),Food_Tratado!$A:$A,Food_Tratado!E:E,0,,)*$C59/$J59</f>
        <v>0</v>
      </c>
      <c r="H59" s="17">
        <f>_xlfn.XLOOKUP(_xlfn.CONCAT($A59," - ",$B59),Food_Tratado!$A:$A,Food_Tratado!F:F,0,,)*$C59/$J59</f>
        <v>0</v>
      </c>
      <c r="I59" s="17">
        <f>_xlfn.XLOOKUP(_xlfn.CONCAT($A59," - ",$B59),Food_Tratado!$A:$A,Food_Tratado!G:G,0,,)*$C59/$J59</f>
        <v>0</v>
      </c>
      <c r="J59" s="18">
        <f t="shared" si="7"/>
        <v>1</v>
      </c>
    </row>
    <row r="60" spans="1:10" ht="21" x14ac:dyDescent="0.2">
      <c r="A60" s="17"/>
      <c r="B60" s="17"/>
      <c r="C60" s="17"/>
      <c r="D60" s="17">
        <f>_xlfn.XLOOKUP(_xlfn.CONCAT($A60," - ",$B60),Food_Tratado!$A:$A,Food_Tratado!B:B,0,,)*$C60/$J60</f>
        <v>0</v>
      </c>
      <c r="E60" s="17">
        <f>_xlfn.XLOOKUP(_xlfn.CONCAT($A60," - ",$B60),Food_Tratado!$A:$A,Food_Tratado!C:C,0,,)*$C60/$J60</f>
        <v>0</v>
      </c>
      <c r="F60" s="17">
        <f>_xlfn.XLOOKUP(_xlfn.CONCAT($A60," - ",$B60),Food_Tratado!$A:$A,Food_Tratado!D:D,0,,)*$C60/$J60</f>
        <v>0</v>
      </c>
      <c r="G60" s="17">
        <f>_xlfn.XLOOKUP(_xlfn.CONCAT($A60," - ",$B60),Food_Tratado!$A:$A,Food_Tratado!E:E,0,,)*$C60/$J60</f>
        <v>0</v>
      </c>
      <c r="H60" s="17">
        <f>_xlfn.XLOOKUP(_xlfn.CONCAT($A60," - ",$B60),Food_Tratado!$A:$A,Food_Tratado!F:F,0,,)*$C60/$J60</f>
        <v>0</v>
      </c>
      <c r="I60" s="17">
        <f>_xlfn.XLOOKUP(_xlfn.CONCAT($A60," - ",$B60),Food_Tratado!$A:$A,Food_Tratado!G:G,0,,)*$C60/$J60</f>
        <v>0</v>
      </c>
      <c r="J60" s="18">
        <f t="shared" si="7"/>
        <v>1</v>
      </c>
    </row>
    <row r="61" spans="1:10" ht="21" x14ac:dyDescent="0.2">
      <c r="A61" s="17"/>
      <c r="B61" s="17"/>
      <c r="C61" s="17"/>
      <c r="D61" s="17">
        <f>_xlfn.XLOOKUP(_xlfn.CONCAT($A61," - ",$B61),Food_Tratado!$A:$A,Food_Tratado!B:B,0,,)*$C61/$J61</f>
        <v>0</v>
      </c>
      <c r="E61" s="17">
        <f>_xlfn.XLOOKUP(_xlfn.CONCAT($A61," - ",$B61),Food_Tratado!$A:$A,Food_Tratado!C:C,0,,)*$C61/$J61</f>
        <v>0</v>
      </c>
      <c r="F61" s="17">
        <f>_xlfn.XLOOKUP(_xlfn.CONCAT($A61," - ",$B61),Food_Tratado!$A:$A,Food_Tratado!D:D,0,,)*$C61/$J61</f>
        <v>0</v>
      </c>
      <c r="G61" s="17">
        <f>_xlfn.XLOOKUP(_xlfn.CONCAT($A61," - ",$B61),Food_Tratado!$A:$A,Food_Tratado!E:E,0,,)*$C61/$J61</f>
        <v>0</v>
      </c>
      <c r="H61" s="17">
        <f>_xlfn.XLOOKUP(_xlfn.CONCAT($A61," - ",$B61),Food_Tratado!$A:$A,Food_Tratado!F:F,0,,)*$C61/$J61</f>
        <v>0</v>
      </c>
      <c r="I61" s="17">
        <f>_xlfn.XLOOKUP(_xlfn.CONCAT($A61," - ",$B61),Food_Tratado!$A:$A,Food_Tratado!G:G,0,,)*$C61/$J61</f>
        <v>0</v>
      </c>
      <c r="J61" s="18">
        <f t="shared" si="7"/>
        <v>1</v>
      </c>
    </row>
    <row r="62" spans="1:10" ht="21" x14ac:dyDescent="0.2">
      <c r="A62" s="17"/>
      <c r="B62" s="17"/>
      <c r="C62" s="17"/>
      <c r="D62" s="17">
        <f>_xlfn.XLOOKUP(_xlfn.CONCAT($A62," - ",$B62),Food_Tratado!$A:$A,Food_Tratado!B:B,0,,)*$C62/$J62</f>
        <v>0</v>
      </c>
      <c r="E62" s="17">
        <f>_xlfn.XLOOKUP(_xlfn.CONCAT($A62," - ",$B62),Food_Tratado!$A:$A,Food_Tratado!C:C,0,,)*$C62/$J62</f>
        <v>0</v>
      </c>
      <c r="F62" s="17">
        <f>_xlfn.XLOOKUP(_xlfn.CONCAT($A62," - ",$B62),Food_Tratado!$A:$A,Food_Tratado!D:D,0,,)*$C62/$J62</f>
        <v>0</v>
      </c>
      <c r="G62" s="17">
        <f>_xlfn.XLOOKUP(_xlfn.CONCAT($A62," - ",$B62),Food_Tratado!$A:$A,Food_Tratado!E:E,0,,)*$C62/$J62</f>
        <v>0</v>
      </c>
      <c r="H62" s="17">
        <f>_xlfn.XLOOKUP(_xlfn.CONCAT($A62," - ",$B62),Food_Tratado!$A:$A,Food_Tratado!F:F,0,,)*$C62/$J62</f>
        <v>0</v>
      </c>
      <c r="I62" s="17">
        <f>_xlfn.XLOOKUP(_xlfn.CONCAT($A62," - ",$B62),Food_Tratado!$A:$A,Food_Tratado!G:G,0,,)*$C62/$J62</f>
        <v>0</v>
      </c>
      <c r="J62" s="18">
        <f t="shared" si="7"/>
        <v>1</v>
      </c>
    </row>
    <row r="63" spans="1:10" ht="22" thickBot="1" x14ac:dyDescent="0.25">
      <c r="A63" s="17"/>
      <c r="B63" s="17"/>
      <c r="C63" s="17"/>
      <c r="D63" s="17">
        <f>_xlfn.XLOOKUP(_xlfn.CONCAT($A63," - ",$B63),Food_Tratado!$A:$A,Food_Tratado!B:B,0,,)*$C63/$J63</f>
        <v>0</v>
      </c>
      <c r="E63" s="17">
        <f>_xlfn.XLOOKUP(_xlfn.CONCAT($A63," - ",$B63),Food_Tratado!$A:$A,Food_Tratado!C:C,0,,)*$C63/$J63</f>
        <v>0</v>
      </c>
      <c r="F63" s="17">
        <f>_xlfn.XLOOKUP(_xlfn.CONCAT($A63," - ",$B63),Food_Tratado!$A:$A,Food_Tratado!D:D,0,,)*$C63/$J63</f>
        <v>0</v>
      </c>
      <c r="G63" s="17">
        <f>_xlfn.XLOOKUP(_xlfn.CONCAT($A63," - ",$B63),Food_Tratado!$A:$A,Food_Tratado!E:E,0,,)*$C63/$J63</f>
        <v>0</v>
      </c>
      <c r="H63" s="17">
        <f>_xlfn.XLOOKUP(_xlfn.CONCAT($A63," - ",$B63),Food_Tratado!$A:$A,Food_Tratado!F:F,0,,)*$C63/$J63</f>
        <v>0</v>
      </c>
      <c r="I63" s="17">
        <f>_xlfn.XLOOKUP(_xlfn.CONCAT($A63," - ",$B63),Food_Tratado!$A:$A,Food_Tratado!G:G,0,,)*$C63/$J63</f>
        <v>0</v>
      </c>
      <c r="J63" s="18">
        <f t="shared" si="7"/>
        <v>1</v>
      </c>
    </row>
    <row r="64" spans="1:10" ht="20" thickBot="1" x14ac:dyDescent="0.25">
      <c r="A64" s="24" t="s">
        <v>12</v>
      </c>
      <c r="B64" s="25"/>
      <c r="C64" s="26"/>
      <c r="D64" s="19">
        <f>SUM(D56:D63)</f>
        <v>0</v>
      </c>
      <c r="E64" s="19">
        <f t="shared" ref="E64:I64" si="8">SUM(E56:E63)</f>
        <v>0</v>
      </c>
      <c r="F64" s="19">
        <f t="shared" si="8"/>
        <v>0</v>
      </c>
      <c r="G64" s="19">
        <f t="shared" si="8"/>
        <v>0</v>
      </c>
      <c r="H64" s="19">
        <f t="shared" si="8"/>
        <v>0</v>
      </c>
      <c r="I64" s="19">
        <f t="shared" si="8"/>
        <v>0</v>
      </c>
    </row>
    <row r="67" spans="1:10" ht="17" thickBot="1" x14ac:dyDescent="0.25"/>
    <row r="68" spans="1:10" ht="25" thickBot="1" x14ac:dyDescent="0.3">
      <c r="A68" s="21" t="s">
        <v>56</v>
      </c>
      <c r="B68" s="22"/>
      <c r="C68" s="22"/>
      <c r="D68" s="22"/>
      <c r="E68" s="22"/>
      <c r="F68" s="22"/>
      <c r="G68" s="22"/>
      <c r="H68" s="22"/>
      <c r="I68" s="23"/>
      <c r="J68" s="15"/>
    </row>
    <row r="69" spans="1:10" ht="21" x14ac:dyDescent="0.25">
      <c r="A69" s="20" t="s">
        <v>1</v>
      </c>
      <c r="B69" s="20" t="s">
        <v>39</v>
      </c>
      <c r="C69" s="20" t="s">
        <v>0</v>
      </c>
      <c r="D69" s="20" t="s">
        <v>47</v>
      </c>
      <c r="E69" s="20" t="s">
        <v>48</v>
      </c>
      <c r="F69" s="20" t="s">
        <v>49</v>
      </c>
      <c r="G69" s="20" t="s">
        <v>50</v>
      </c>
      <c r="H69" s="20" t="s">
        <v>51</v>
      </c>
      <c r="I69" s="20" t="s">
        <v>52</v>
      </c>
      <c r="J69" s="16"/>
    </row>
    <row r="70" spans="1:10" ht="21" x14ac:dyDescent="0.2">
      <c r="A70" s="17"/>
      <c r="B70" s="17"/>
      <c r="C70" s="17"/>
      <c r="D70" s="17">
        <f>_xlfn.XLOOKUP(_xlfn.CONCAT($A70," - ",$B70),Food_Tratado!$A:$A,Food_Tratado!B:B,0,,)*$C70/$J70</f>
        <v>0</v>
      </c>
      <c r="E70" s="17">
        <f>_xlfn.XLOOKUP(_xlfn.CONCAT($A70," - ",$B70),Food_Tratado!$A:$A,Food_Tratado!C:C,0,,)*$C70/$J70</f>
        <v>0</v>
      </c>
      <c r="F70" s="17">
        <f>_xlfn.XLOOKUP(_xlfn.CONCAT($A70," - ",$B70),Food_Tratado!$A:$A,Food_Tratado!D:D,0,,)*$C70/$J70</f>
        <v>0</v>
      </c>
      <c r="G70" s="17">
        <f>_xlfn.XLOOKUP(_xlfn.CONCAT($A70," - ",$B70),Food_Tratado!$A:$A,Food_Tratado!E:E,0,,)*$C70/$J70</f>
        <v>0</v>
      </c>
      <c r="H70" s="17">
        <f>_xlfn.XLOOKUP(_xlfn.CONCAT($A70," - ",$B70),Food_Tratado!$A:$A,Food_Tratado!F:F,0,,)*$C70/$J70</f>
        <v>0</v>
      </c>
      <c r="I70" s="17">
        <f>_xlfn.XLOOKUP(_xlfn.CONCAT($A70," - ",$B70),Food_Tratado!$A:$A,Food_Tratado!G:G,0,,)*$C70/$J70</f>
        <v>0</v>
      </c>
      <c r="J70" s="18">
        <f t="shared" ref="J70" si="9">IF(B70="Gramas (100g)",100,1)</f>
        <v>1</v>
      </c>
    </row>
    <row r="71" spans="1:10" ht="21" x14ac:dyDescent="0.2">
      <c r="A71" s="17"/>
      <c r="B71" s="17"/>
      <c r="C71" s="17"/>
      <c r="D71" s="17">
        <f>_xlfn.XLOOKUP(_xlfn.CONCAT($A71," - ",$B71),Food_Tratado!$A:$A,Food_Tratado!B:B,0,,)*$C71/$J71</f>
        <v>0</v>
      </c>
      <c r="E71" s="17">
        <f>_xlfn.XLOOKUP(_xlfn.CONCAT($A71," - ",$B71),Food_Tratado!$A:$A,Food_Tratado!C:C,0,,)*$C71/$J71</f>
        <v>0</v>
      </c>
      <c r="F71" s="17">
        <f>_xlfn.XLOOKUP(_xlfn.CONCAT($A71," - ",$B71),Food_Tratado!$A:$A,Food_Tratado!D:D,0,,)*$C71/$J71</f>
        <v>0</v>
      </c>
      <c r="G71" s="17">
        <f>_xlfn.XLOOKUP(_xlfn.CONCAT($A71," - ",$B71),Food_Tratado!$A:$A,Food_Tratado!E:E,0,,)*$C71/$J71</f>
        <v>0</v>
      </c>
      <c r="H71" s="17">
        <f>_xlfn.XLOOKUP(_xlfn.CONCAT($A71," - ",$B71),Food_Tratado!$A:$A,Food_Tratado!F:F,0,,)*$C71/$J71</f>
        <v>0</v>
      </c>
      <c r="I71" s="17">
        <f>_xlfn.XLOOKUP(_xlfn.CONCAT($A71," - ",$B71),Food_Tratado!$A:$A,Food_Tratado!G:G,0,,)*$C71/$J71</f>
        <v>0</v>
      </c>
      <c r="J71" s="18">
        <f>IF(B71="Gramas (100g)",100,1)</f>
        <v>1</v>
      </c>
    </row>
    <row r="72" spans="1:10" ht="21" x14ac:dyDescent="0.2">
      <c r="A72" s="17"/>
      <c r="B72" s="17"/>
      <c r="C72" s="17"/>
      <c r="D72" s="17">
        <f>_xlfn.XLOOKUP(_xlfn.CONCAT($A72," - ",$B72),Food_Tratado!$A:$A,Food_Tratado!B:B,0,,)*$C72/$J72</f>
        <v>0</v>
      </c>
      <c r="E72" s="17">
        <f>_xlfn.XLOOKUP(_xlfn.CONCAT($A72," - ",$B72),Food_Tratado!$A:$A,Food_Tratado!C:C,0,,)*$C72/$J72</f>
        <v>0</v>
      </c>
      <c r="F72" s="17">
        <f>_xlfn.XLOOKUP(_xlfn.CONCAT($A72," - ",$B72),Food_Tratado!$A:$A,Food_Tratado!D:D,0,,)*$C72/$J72</f>
        <v>0</v>
      </c>
      <c r="G72" s="17">
        <f>_xlfn.XLOOKUP(_xlfn.CONCAT($A72," - ",$B72),Food_Tratado!$A:$A,Food_Tratado!E:E,0,,)*$C72/$J72</f>
        <v>0</v>
      </c>
      <c r="H72" s="17">
        <f>_xlfn.XLOOKUP(_xlfn.CONCAT($A72," - ",$B72),Food_Tratado!$A:$A,Food_Tratado!F:F,0,,)*$C72/$J72</f>
        <v>0</v>
      </c>
      <c r="I72" s="17">
        <f>_xlfn.XLOOKUP(_xlfn.CONCAT($A72," - ",$B72),Food_Tratado!$A:$A,Food_Tratado!G:G,0,,)*$C72/$J72</f>
        <v>0</v>
      </c>
      <c r="J72" s="18">
        <f t="shared" ref="J72:J77" si="10">IF(B72="Gramas (100g)",100,1)</f>
        <v>1</v>
      </c>
    </row>
    <row r="73" spans="1:10" ht="21" x14ac:dyDescent="0.2">
      <c r="A73" s="17"/>
      <c r="B73" s="17"/>
      <c r="C73" s="17"/>
      <c r="D73" s="17">
        <f>_xlfn.XLOOKUP(_xlfn.CONCAT($A73," - ",$B73),Food_Tratado!$A:$A,Food_Tratado!B:B,0,,)*$C73/$J73</f>
        <v>0</v>
      </c>
      <c r="E73" s="17">
        <f>_xlfn.XLOOKUP(_xlfn.CONCAT($A73," - ",$B73),Food_Tratado!$A:$A,Food_Tratado!C:C,0,,)*$C73/$J73</f>
        <v>0</v>
      </c>
      <c r="F73" s="17">
        <f>_xlfn.XLOOKUP(_xlfn.CONCAT($A73," - ",$B73),Food_Tratado!$A:$A,Food_Tratado!D:D,0,,)*$C73/$J73</f>
        <v>0</v>
      </c>
      <c r="G73" s="17">
        <f>_xlfn.XLOOKUP(_xlfn.CONCAT($A73," - ",$B73),Food_Tratado!$A:$A,Food_Tratado!E:E,0,,)*$C73/$J73</f>
        <v>0</v>
      </c>
      <c r="H73" s="17">
        <f>_xlfn.XLOOKUP(_xlfn.CONCAT($A73," - ",$B73),Food_Tratado!$A:$A,Food_Tratado!F:F,0,,)*$C73/$J73</f>
        <v>0</v>
      </c>
      <c r="I73" s="17">
        <f>_xlfn.XLOOKUP(_xlfn.CONCAT($A73," - ",$B73),Food_Tratado!$A:$A,Food_Tratado!G:G,0,,)*$C73/$J73</f>
        <v>0</v>
      </c>
      <c r="J73" s="18">
        <f t="shared" si="10"/>
        <v>1</v>
      </c>
    </row>
    <row r="74" spans="1:10" ht="21" x14ac:dyDescent="0.2">
      <c r="A74" s="17"/>
      <c r="B74" s="17"/>
      <c r="C74" s="17"/>
      <c r="D74" s="17">
        <f>_xlfn.XLOOKUP(_xlfn.CONCAT($A74," - ",$B74),Food_Tratado!$A:$A,Food_Tratado!B:B,0,,)*$C74/$J74</f>
        <v>0</v>
      </c>
      <c r="E74" s="17">
        <f>_xlfn.XLOOKUP(_xlfn.CONCAT($A74," - ",$B74),Food_Tratado!$A:$A,Food_Tratado!C:C,0,,)*$C74/$J74</f>
        <v>0</v>
      </c>
      <c r="F74" s="17">
        <f>_xlfn.XLOOKUP(_xlfn.CONCAT($A74," - ",$B74),Food_Tratado!$A:$A,Food_Tratado!D:D,0,,)*$C74/$J74</f>
        <v>0</v>
      </c>
      <c r="G74" s="17">
        <f>_xlfn.XLOOKUP(_xlfn.CONCAT($A74," - ",$B74),Food_Tratado!$A:$A,Food_Tratado!E:E,0,,)*$C74/$J74</f>
        <v>0</v>
      </c>
      <c r="H74" s="17">
        <f>_xlfn.XLOOKUP(_xlfn.CONCAT($A74," - ",$B74),Food_Tratado!$A:$A,Food_Tratado!F:F,0,,)*$C74/$J74</f>
        <v>0</v>
      </c>
      <c r="I74" s="17">
        <f>_xlfn.XLOOKUP(_xlfn.CONCAT($A74," - ",$B74),Food_Tratado!$A:$A,Food_Tratado!G:G,0,,)*$C74/$J74</f>
        <v>0</v>
      </c>
      <c r="J74" s="18">
        <f t="shared" si="10"/>
        <v>1</v>
      </c>
    </row>
    <row r="75" spans="1:10" ht="21" x14ac:dyDescent="0.2">
      <c r="A75" s="17"/>
      <c r="B75" s="17"/>
      <c r="C75" s="17"/>
      <c r="D75" s="17">
        <f>_xlfn.XLOOKUP(_xlfn.CONCAT($A75," - ",$B75),Food_Tratado!$A:$A,Food_Tratado!B:B,0,,)*$C75/$J75</f>
        <v>0</v>
      </c>
      <c r="E75" s="17">
        <f>_xlfn.XLOOKUP(_xlfn.CONCAT($A75," - ",$B75),Food_Tratado!$A:$A,Food_Tratado!C:C,0,,)*$C75/$J75</f>
        <v>0</v>
      </c>
      <c r="F75" s="17">
        <f>_xlfn.XLOOKUP(_xlfn.CONCAT($A75," - ",$B75),Food_Tratado!$A:$A,Food_Tratado!D:D,0,,)*$C75/$J75</f>
        <v>0</v>
      </c>
      <c r="G75" s="17">
        <f>_xlfn.XLOOKUP(_xlfn.CONCAT($A75," - ",$B75),Food_Tratado!$A:$A,Food_Tratado!E:E,0,,)*$C75/$J75</f>
        <v>0</v>
      </c>
      <c r="H75" s="17">
        <f>_xlfn.XLOOKUP(_xlfn.CONCAT($A75," - ",$B75),Food_Tratado!$A:$A,Food_Tratado!F:F,0,,)*$C75/$J75</f>
        <v>0</v>
      </c>
      <c r="I75" s="17">
        <f>_xlfn.XLOOKUP(_xlfn.CONCAT($A75," - ",$B75),Food_Tratado!$A:$A,Food_Tratado!G:G,0,,)*$C75/$J75</f>
        <v>0</v>
      </c>
      <c r="J75" s="18">
        <f t="shared" si="10"/>
        <v>1</v>
      </c>
    </row>
    <row r="76" spans="1:10" ht="21" x14ac:dyDescent="0.2">
      <c r="A76" s="17"/>
      <c r="B76" s="17"/>
      <c r="C76" s="17"/>
      <c r="D76" s="17">
        <f>_xlfn.XLOOKUP(_xlfn.CONCAT($A76," - ",$B76),Food_Tratado!$A:$A,Food_Tratado!B:B,0,,)*$C76/$J76</f>
        <v>0</v>
      </c>
      <c r="E76" s="17">
        <f>_xlfn.XLOOKUP(_xlfn.CONCAT($A76," - ",$B76),Food_Tratado!$A:$A,Food_Tratado!C:C,0,,)*$C76/$J76</f>
        <v>0</v>
      </c>
      <c r="F76" s="17">
        <f>_xlfn.XLOOKUP(_xlfn.CONCAT($A76," - ",$B76),Food_Tratado!$A:$A,Food_Tratado!D:D,0,,)*$C76/$J76</f>
        <v>0</v>
      </c>
      <c r="G76" s="17">
        <f>_xlfn.XLOOKUP(_xlfn.CONCAT($A76," - ",$B76),Food_Tratado!$A:$A,Food_Tratado!E:E,0,,)*$C76/$J76</f>
        <v>0</v>
      </c>
      <c r="H76" s="17">
        <f>_xlfn.XLOOKUP(_xlfn.CONCAT($A76," - ",$B76),Food_Tratado!$A:$A,Food_Tratado!F:F,0,,)*$C76/$J76</f>
        <v>0</v>
      </c>
      <c r="I76" s="17">
        <f>_xlfn.XLOOKUP(_xlfn.CONCAT($A76," - ",$B76),Food_Tratado!$A:$A,Food_Tratado!G:G,0,,)*$C76/$J76</f>
        <v>0</v>
      </c>
      <c r="J76" s="18">
        <f t="shared" si="10"/>
        <v>1</v>
      </c>
    </row>
    <row r="77" spans="1:10" ht="22" thickBot="1" x14ac:dyDescent="0.25">
      <c r="A77" s="17"/>
      <c r="B77" s="17"/>
      <c r="C77" s="17"/>
      <c r="D77" s="17">
        <f>_xlfn.XLOOKUP(_xlfn.CONCAT($A77," - ",$B77),Food_Tratado!$A:$A,Food_Tratado!B:B,0,,)*$C77/$J77</f>
        <v>0</v>
      </c>
      <c r="E77" s="17">
        <f>_xlfn.XLOOKUP(_xlfn.CONCAT($A77," - ",$B77),Food_Tratado!$A:$A,Food_Tratado!C:C,0,,)*$C77/$J77</f>
        <v>0</v>
      </c>
      <c r="F77" s="17">
        <f>_xlfn.XLOOKUP(_xlfn.CONCAT($A77," - ",$B77),Food_Tratado!$A:$A,Food_Tratado!D:D,0,,)*$C77/$J77</f>
        <v>0</v>
      </c>
      <c r="G77" s="17">
        <f>_xlfn.XLOOKUP(_xlfn.CONCAT($A77," - ",$B77),Food_Tratado!$A:$A,Food_Tratado!E:E,0,,)*$C77/$J77</f>
        <v>0</v>
      </c>
      <c r="H77" s="17">
        <f>_xlfn.XLOOKUP(_xlfn.CONCAT($A77," - ",$B77),Food_Tratado!$A:$A,Food_Tratado!F:F,0,,)*$C77/$J77</f>
        <v>0</v>
      </c>
      <c r="I77" s="17">
        <f>_xlfn.XLOOKUP(_xlfn.CONCAT($A77," - ",$B77),Food_Tratado!$A:$A,Food_Tratado!G:G,0,,)*$C77/$J77</f>
        <v>0</v>
      </c>
      <c r="J77" s="18">
        <f t="shared" si="10"/>
        <v>1</v>
      </c>
    </row>
    <row r="78" spans="1:10" ht="20" thickBot="1" x14ac:dyDescent="0.25">
      <c r="A78" s="24" t="s">
        <v>12</v>
      </c>
      <c r="B78" s="25"/>
      <c r="C78" s="26"/>
      <c r="D78" s="19">
        <f>SUM(D70:D77)</f>
        <v>0</v>
      </c>
      <c r="E78" s="19">
        <f t="shared" ref="E78:I78" si="11">SUM(E70:E77)</f>
        <v>0</v>
      </c>
      <c r="F78" s="19">
        <f t="shared" si="11"/>
        <v>0</v>
      </c>
      <c r="G78" s="19">
        <f t="shared" si="11"/>
        <v>0</v>
      </c>
      <c r="H78" s="19">
        <f t="shared" si="11"/>
        <v>0</v>
      </c>
      <c r="I78" s="19">
        <f t="shared" si="11"/>
        <v>0</v>
      </c>
    </row>
    <row r="1048508" spans="2:2" x14ac:dyDescent="0.2">
      <c r="B1048508" t="e" cm="1">
        <f t="array" ref="B1048508">A</f>
        <v>#NAME?</v>
      </c>
    </row>
  </sheetData>
  <sheetProtection sheet="1" objects="1" scenarios="1"/>
  <mergeCells count="11">
    <mergeCell ref="A50:C50"/>
    <mergeCell ref="A54:I54"/>
    <mergeCell ref="A64:C64"/>
    <mergeCell ref="A68:I68"/>
    <mergeCell ref="A78:C78"/>
    <mergeCell ref="A2:D2"/>
    <mergeCell ref="A12:I12"/>
    <mergeCell ref="A22:C22"/>
    <mergeCell ref="A26:I26"/>
    <mergeCell ref="A36:C36"/>
    <mergeCell ref="A40:I40"/>
  </mergeCells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icinarRefeicao">
                <anchor moveWithCells="1" sizeWithCells="1">
                  <from>
                    <xdr:col>4</xdr:col>
                    <xdr:colOff>381000</xdr:colOff>
                    <xdr:row>0</xdr:row>
                    <xdr:rowOff>203200</xdr:rowOff>
                  </from>
                  <to>
                    <xdr:col>6</xdr:col>
                    <xdr:colOff>63500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adastrarRefeicao">
                <anchor moveWithCells="1" sizeWithCells="1">
                  <from>
                    <xdr:col>6</xdr:col>
                    <xdr:colOff>139700</xdr:colOff>
                    <xdr:row>0</xdr:row>
                    <xdr:rowOff>203200</xdr:rowOff>
                  </from>
                  <to>
                    <xdr:col>7</xdr:col>
                    <xdr:colOff>850900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CD900F-1BA6-D643-8690-731159D1BB9D}">
          <x14:formula1>
            <xm:f>Picklists!$O$2:$O$4</xm:f>
          </x14:formula1>
          <xm:sqref>B14:B21 B28:B35 B42:B49 B56:B63 B70:B77</xm:sqref>
        </x14:dataValidation>
        <x14:dataValidation type="list" allowBlank="1" showInputMessage="1" showErrorMessage="1" xr:uid="{EB94720C-0288-9342-B77F-E021868D4FF8}">
          <x14:formula1>
            <xm:f>Picklists!$Q$2:$Q$500</xm:f>
          </x14:formula1>
          <xm:sqref>A14:A21 A28:A35 A42:A49 A56:A63 A70:A77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Home1</vt:lpstr>
      <vt:lpstr>Dieta_01</vt:lpstr>
      <vt:lpstr>Food_Original</vt:lpstr>
      <vt:lpstr>Picklists</vt:lpstr>
      <vt:lpstr>Food_Tratado</vt:lpstr>
      <vt:lpstr>Dieta_Modelo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Henriques Neto</dc:creator>
  <cp:lastModifiedBy>Fernando Henriques Neto</cp:lastModifiedBy>
  <dcterms:created xsi:type="dcterms:W3CDTF">2023-01-24T20:03:42Z</dcterms:created>
  <dcterms:modified xsi:type="dcterms:W3CDTF">2023-02-08T17:18:35Z</dcterms:modified>
</cp:coreProperties>
</file>