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erna\OneDrive\Área de Trabalho\"/>
    </mc:Choice>
  </mc:AlternateContent>
  <xr:revisionPtr revIDLastSave="0" documentId="13_ncr:1_{B2E91AF3-FF9E-4172-8620-9CF94655C1AF}" xr6:coauthVersionLast="47" xr6:coauthVersionMax="47" xr10:uidLastSave="{00000000-0000-0000-0000-000000000000}"/>
  <bookViews>
    <workbookView xWindow="-120" yWindow="-120" windowWidth="20730" windowHeight="11160" tabRatio="891" activeTab="6" xr2:uid="{B422D542-40B6-47FB-99B9-22CDD7E5AAE6}"/>
  </bookViews>
  <sheets>
    <sheet name="Inicio" sheetId="33" r:id="rId1"/>
    <sheet name="Acao" sheetId="5" r:id="rId2"/>
    <sheet name="Fundos" sheetId="35" r:id="rId3"/>
    <sheet name="Tesouro Direto" sheetId="30" r:id="rId4"/>
    <sheet name="Cryptomoedas" sheetId="36" r:id="rId5"/>
    <sheet name="Caixa" sheetId="29" r:id="rId6"/>
    <sheet name="Graficos" sheetId="28" r:id="rId7"/>
    <sheet name="BDD_Acoes_EUA" sheetId="34" r:id="rId8"/>
    <sheet name="BDD_Acoes" sheetId="16" r:id="rId9"/>
    <sheet name="BDD_Fundos" sheetId="17" r:id="rId10"/>
    <sheet name="BDD_Moedas" sheetId="18" r:id="rId11"/>
    <sheet name="BDD_Crypto" sheetId="21" r:id="rId12"/>
  </sheets>
  <functionGroups builtInGroupCount="19"/>
  <definedNames>
    <definedName name="DadosExternos_2" localSheetId="8" hidden="1">BDD_Acoes!$A$1:$B$443</definedName>
    <definedName name="DadosExternos_2" localSheetId="10" hidden="1">BDD_Moedas!$A$1:$C$82</definedName>
    <definedName name="DadosExternos_3" localSheetId="7" hidden="1">BDD_Acoes_EUA!$A$1:$B$3396</definedName>
    <definedName name="DadosExternos_3" localSheetId="9" hidden="1">BDD_Fundos!$A$1:$B$67</definedName>
    <definedName name="SegmentaçãodeDados_Bolsa">#N/A</definedName>
    <definedName name="SegmentaçãodeDados_Corretora">#N/A</definedName>
    <definedName name="SegmentaçãodeDados_Exchange">#N/A</definedName>
    <definedName name="SegmentaçãodeDados_Moeda">#N/A</definedName>
    <definedName name="SegmentaçãodeDados_Moeda1">#N/A</definedName>
  </definedNames>
  <calcPr calcId="191029"/>
  <pivotCaches>
    <pivotCache cacheId="0" r:id="rId13"/>
    <pivotCache cacheId="13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30" l="1"/>
  <c r="F12" i="36"/>
  <c r="H13" i="28"/>
  <c r="H14" i="28"/>
  <c r="H15" i="28"/>
  <c r="H11" i="28"/>
  <c r="H12" i="28" l="1"/>
  <c r="H16" i="28" l="1"/>
  <c r="I12" i="28" l="1"/>
  <c r="I15" i="28"/>
  <c r="I14" i="28"/>
  <c r="I11" i="28"/>
  <c r="I13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90F673-DA0D-477A-8887-922D5678D1E0}" keepAlive="1" name="Consulta - Banco_De_Dados_Moedas" description="Conexão com a consulta 'Banco_De_Dados_Moedas' na pasta de trabalho." type="5" refreshedVersion="6" background="1" saveData="1">
    <dbPr connection="Provider=Microsoft.Mashup.OleDb.1;Data Source=$Workbook$;Location=Banco_De_Dados_Moedas;Extended Properties=&quot;&quot;" command="SELECT * FROM [Banco_De_Dados_Moedas]"/>
  </connection>
  <connection id="2" xr16:uid="{59C70BCC-1469-4300-803C-8691D1172D41}" keepAlive="1" interval="20" name="Consulta - BDD_Acoes" description="Conexão com a consulta 'BDD_Acoes' na pasta de trabalho." type="5" refreshedVersion="7" background="1" saveData="1">
    <dbPr connection="Provider=Microsoft.Mashup.OleDb.1;Data Source=$Workbook$;Location=BDD_Acoes;Extended Properties=&quot;&quot;" command="SELECT * FROM [BDD_Acoes]"/>
  </connection>
  <connection id="3" xr16:uid="{2B83076C-244D-4A21-8389-A1CFC744E90C}" keepAlive="1" interval="20" name="Consulta - BDD_Acoes_EUA" description="Conexão com a consulta 'BDD_Acoes_EUA' na pasta de trabalho." type="5" refreshedVersion="7" background="1" saveData="1">
    <dbPr connection="Provider=Microsoft.Mashup.OleDb.1;Data Source=$Workbook$;Location=BDD_Acoes_EUA;Extended Properties=&quot;&quot;" command="SELECT * FROM [BDD_Acoes_EUA]"/>
  </connection>
  <connection id="4" xr16:uid="{6A9284B2-90AE-4342-9287-084D55442D17}" keepAlive="1" interval="20" name="Consulta - BDD_Fundos" description="Conexão com a consulta 'BDD_Fundos' na pasta de trabalho." type="5" refreshedVersion="7" background="1" saveData="1">
    <dbPr connection="Provider=Microsoft.Mashup.OleDb.1;Data Source=$Workbook$;Location=BDD_Fundos;Extended Properties=&quot;&quot;" command="SELECT * FROM [BDD_Fundos]"/>
  </connection>
  <connection id="5" xr16:uid="{BE9987CE-7056-4D25-9DF6-0B3EB8C994D0}" keepAlive="1" interval="20" name="Consulta - BDD_Moedas" description="Conexão com a consulta 'BDD_Moedas' na pasta de trabalho." type="5" refreshedVersion="7" background="1" saveData="1">
    <dbPr connection="Provider=Microsoft.Mashup.OleDb.1;Data Source=$Workbook$;Location=BDD_Moedas;Extended Properties=&quot;&quot;" command="SELECT * FROM [BDD_Moedas]"/>
  </connection>
</connections>
</file>

<file path=xl/sharedStrings.xml><?xml version="1.0" encoding="utf-8"?>
<sst xmlns="http://schemas.openxmlformats.org/spreadsheetml/2006/main" count="8464" uniqueCount="7251">
  <si>
    <t>AALR3</t>
  </si>
  <si>
    <t>ABCB4</t>
  </si>
  <si>
    <t>ABCP11</t>
  </si>
  <si>
    <t>ABEV3</t>
  </si>
  <si>
    <t>AGRO3</t>
  </si>
  <si>
    <t>ALPA3</t>
  </si>
  <si>
    <t>ALPA4</t>
  </si>
  <si>
    <t>AMAR3</t>
  </si>
  <si>
    <t>ANIM3</t>
  </si>
  <si>
    <t>ARZZ3</t>
  </si>
  <si>
    <t>ATOM3</t>
  </si>
  <si>
    <t>AZEV4</t>
  </si>
  <si>
    <t>AZUL4</t>
  </si>
  <si>
    <t>BAHI3</t>
  </si>
  <si>
    <t>BALM4</t>
  </si>
  <si>
    <t>BAUH4</t>
  </si>
  <si>
    <t>BBAS3</t>
  </si>
  <si>
    <t>BBDC3</t>
  </si>
  <si>
    <t>BBDC4</t>
  </si>
  <si>
    <t>BBPO11</t>
  </si>
  <si>
    <t>BBRC11</t>
  </si>
  <si>
    <t>BBRK3</t>
  </si>
  <si>
    <t>BBSE3</t>
  </si>
  <si>
    <t>BDLL4</t>
  </si>
  <si>
    <t>BEEF3</t>
  </si>
  <si>
    <t>BEES3</t>
  </si>
  <si>
    <t>BEES4</t>
  </si>
  <si>
    <t>BGIP4</t>
  </si>
  <si>
    <t>BIOM3</t>
  </si>
  <si>
    <t>BKBR3</t>
  </si>
  <si>
    <t>BMEB3</t>
  </si>
  <si>
    <t>BMEB4</t>
  </si>
  <si>
    <t>BMKS3</t>
  </si>
  <si>
    <t>BNFS11</t>
  </si>
  <si>
    <t>BOBR4</t>
  </si>
  <si>
    <t>BPAC5</t>
  </si>
  <si>
    <t>BPAN4</t>
  </si>
  <si>
    <t>BPFF11</t>
  </si>
  <si>
    <t>BRAP3</t>
  </si>
  <si>
    <t>BRAP4</t>
  </si>
  <si>
    <t>BRCR11</t>
  </si>
  <si>
    <t>BRDT3</t>
  </si>
  <si>
    <t>BRFS3</t>
  </si>
  <si>
    <t>BRIV3</t>
  </si>
  <si>
    <t>BRIV4</t>
  </si>
  <si>
    <t>BRKM3</t>
  </si>
  <si>
    <t>BRKM5</t>
  </si>
  <si>
    <t>BRML3</t>
  </si>
  <si>
    <t>BRPR3</t>
  </si>
  <si>
    <t>BRSR6</t>
  </si>
  <si>
    <t>BTOW3</t>
  </si>
  <si>
    <t>CAML3</t>
  </si>
  <si>
    <t>CARD3</t>
  </si>
  <si>
    <t>CBEE3</t>
  </si>
  <si>
    <t>CBOP11</t>
  </si>
  <si>
    <t>CCPR3</t>
  </si>
  <si>
    <t>CCRO3</t>
  </si>
  <si>
    <t>CEBR5</t>
  </si>
  <si>
    <t>CEED4</t>
  </si>
  <si>
    <t>CESP3</t>
  </si>
  <si>
    <t>CESP5</t>
  </si>
  <si>
    <t>CESP6</t>
  </si>
  <si>
    <t>CGAS3</t>
  </si>
  <si>
    <t>CGAS5</t>
  </si>
  <si>
    <t>CGRA3</t>
  </si>
  <si>
    <t>CGRA4</t>
  </si>
  <si>
    <t>CIEL3</t>
  </si>
  <si>
    <t>CLSC4</t>
  </si>
  <si>
    <t>CMIG3</t>
  </si>
  <si>
    <t>CMIG4</t>
  </si>
  <si>
    <t>COCE5</t>
  </si>
  <si>
    <t>CPFE3</t>
  </si>
  <si>
    <t>CPLE3</t>
  </si>
  <si>
    <t>CPLE6</t>
  </si>
  <si>
    <t>CRDE3</t>
  </si>
  <si>
    <t>CRFB3</t>
  </si>
  <si>
    <t>CSAN3</t>
  </si>
  <si>
    <t>CSMG3</t>
  </si>
  <si>
    <t>CSNA3</t>
  </si>
  <si>
    <t>CTKA4</t>
  </si>
  <si>
    <t>CTNM3</t>
  </si>
  <si>
    <t>CTNM4</t>
  </si>
  <si>
    <t>CTSA4</t>
  </si>
  <si>
    <t>CTXT11</t>
  </si>
  <si>
    <t>CVCB3</t>
  </si>
  <si>
    <t>CXRI11</t>
  </si>
  <si>
    <t>CXTL11</t>
  </si>
  <si>
    <t>CYRE3</t>
  </si>
  <si>
    <t>DASA3</t>
  </si>
  <si>
    <t>DIRR3</t>
  </si>
  <si>
    <t>DOHL4</t>
  </si>
  <si>
    <t>DTEX3</t>
  </si>
  <si>
    <t>EALT4</t>
  </si>
  <si>
    <t>ECOR3</t>
  </si>
  <si>
    <t>ECPR3</t>
  </si>
  <si>
    <t>EGIE3</t>
  </si>
  <si>
    <t>ELET3</t>
  </si>
  <si>
    <t>ELET6</t>
  </si>
  <si>
    <t>EMAE4</t>
  </si>
  <si>
    <t>EMBR3</t>
  </si>
  <si>
    <t>ENBR3</t>
  </si>
  <si>
    <t>ENEV3</t>
  </si>
  <si>
    <t>ENGI3</t>
  </si>
  <si>
    <t>ENGI4</t>
  </si>
  <si>
    <t>EQTL3</t>
  </si>
  <si>
    <t>ESTR4</t>
  </si>
  <si>
    <t>ETER3</t>
  </si>
  <si>
    <t>EUCA4</t>
  </si>
  <si>
    <t>EURO11</t>
  </si>
  <si>
    <t>EVEN3</t>
  </si>
  <si>
    <t>EZTC3</t>
  </si>
  <si>
    <t>FAMB11B</t>
  </si>
  <si>
    <t>FESA4</t>
  </si>
  <si>
    <t>FHER3</t>
  </si>
  <si>
    <t>FIGS11</t>
  </si>
  <si>
    <t>FIIB11</t>
  </si>
  <si>
    <t>FIIP11B</t>
  </si>
  <si>
    <t>FLMA11</t>
  </si>
  <si>
    <t>FLRY3</t>
  </si>
  <si>
    <t>FPAB11</t>
  </si>
  <si>
    <t>FRAS3</t>
  </si>
  <si>
    <t>FRIO3</t>
  </si>
  <si>
    <t>GEPA3</t>
  </si>
  <si>
    <t>GFSA3</t>
  </si>
  <si>
    <t>GGBR3</t>
  </si>
  <si>
    <t>GGBR4</t>
  </si>
  <si>
    <t>GOAU3</t>
  </si>
  <si>
    <t>GOAU4</t>
  </si>
  <si>
    <t>GOLL4</t>
  </si>
  <si>
    <t>GRND3</t>
  </si>
  <si>
    <t>GSHP3</t>
  </si>
  <si>
    <t>GUAR3</t>
  </si>
  <si>
    <t>HAGA4</t>
  </si>
  <si>
    <t>HBOR3</t>
  </si>
  <si>
    <t>HGBS11</t>
  </si>
  <si>
    <t>HGCR11</t>
  </si>
  <si>
    <t>HGLG11</t>
  </si>
  <si>
    <t>HGRE11</t>
  </si>
  <si>
    <t>HGTX3</t>
  </si>
  <si>
    <t>HOOT4</t>
  </si>
  <si>
    <t>HYPE3</t>
  </si>
  <si>
    <t>IGBR3</t>
  </si>
  <si>
    <t>IGTA3</t>
  </si>
  <si>
    <t>INEP3</t>
  </si>
  <si>
    <t>INEP4</t>
  </si>
  <si>
    <t>IRBR3</t>
  </si>
  <si>
    <t>ITSA3</t>
  </si>
  <si>
    <t>ITSA4</t>
  </si>
  <si>
    <t>ITUB3</t>
  </si>
  <si>
    <t>ITUB4</t>
  </si>
  <si>
    <t>JBDU3</t>
  </si>
  <si>
    <t>JBDU4</t>
  </si>
  <si>
    <t>JBSS3</t>
  </si>
  <si>
    <t>JFEN3</t>
  </si>
  <si>
    <t>JHSF3</t>
  </si>
  <si>
    <t>JSLG3</t>
  </si>
  <si>
    <t>JSRE11</t>
  </si>
  <si>
    <t>KEPL3</t>
  </si>
  <si>
    <t>KLBN3</t>
  </si>
  <si>
    <t>KLBN4</t>
  </si>
  <si>
    <t>KNCR11</t>
  </si>
  <si>
    <t>KNRE11</t>
  </si>
  <si>
    <t>KNRI11</t>
  </si>
  <si>
    <t>LAME3</t>
  </si>
  <si>
    <t>LAME4</t>
  </si>
  <si>
    <t>LCAM3</t>
  </si>
  <si>
    <t>LEVE3</t>
  </si>
  <si>
    <t>LIGT3</t>
  </si>
  <si>
    <t>LINX3</t>
  </si>
  <si>
    <t>LLIS3</t>
  </si>
  <si>
    <t>LOGN3</t>
  </si>
  <si>
    <t>LPSB3</t>
  </si>
  <si>
    <t>LREN3</t>
  </si>
  <si>
    <t>LUPA3</t>
  </si>
  <si>
    <t>MAPT4</t>
  </si>
  <si>
    <t>MBRF11</t>
  </si>
  <si>
    <t>MDIA3</t>
  </si>
  <si>
    <t>MEAL3</t>
  </si>
  <si>
    <t>MFII11</t>
  </si>
  <si>
    <t>MGEL4</t>
  </si>
  <si>
    <t>MGLU3</t>
  </si>
  <si>
    <t>MILS3</t>
  </si>
  <si>
    <t>MMXM11</t>
  </si>
  <si>
    <t>MMXM3</t>
  </si>
  <si>
    <t>MOVI3</t>
  </si>
  <si>
    <t>MRFG3</t>
  </si>
  <si>
    <t>MRVE3</t>
  </si>
  <si>
    <t>MTIG4</t>
  </si>
  <si>
    <t>MTSA4</t>
  </si>
  <si>
    <t>MULT3</t>
  </si>
  <si>
    <t>MWET4</t>
  </si>
  <si>
    <t>MXRF11</t>
  </si>
  <si>
    <t>MYPK3</t>
  </si>
  <si>
    <t>ODPV3</t>
  </si>
  <si>
    <t>OFSA3</t>
  </si>
  <si>
    <t>OIBR3</t>
  </si>
  <si>
    <t>OIBR4</t>
  </si>
  <si>
    <t>OMGE3</t>
  </si>
  <si>
    <t>ONEF11</t>
  </si>
  <si>
    <t>OSXB3</t>
  </si>
  <si>
    <t>PARD3</t>
  </si>
  <si>
    <t>PDGR3</t>
  </si>
  <si>
    <t>PETR3</t>
  </si>
  <si>
    <t>PETR4</t>
  </si>
  <si>
    <t>PFRM3</t>
  </si>
  <si>
    <t>PINE4</t>
  </si>
  <si>
    <t>PLRI11</t>
  </si>
  <si>
    <t>PMAM3</t>
  </si>
  <si>
    <t>PNVL4</t>
  </si>
  <si>
    <t>POMO3</t>
  </si>
  <si>
    <t>POMO4</t>
  </si>
  <si>
    <t>PORD11</t>
  </si>
  <si>
    <t>POSI3</t>
  </si>
  <si>
    <t>PQDP11</t>
  </si>
  <si>
    <t>PRIO3</t>
  </si>
  <si>
    <t>PRSV11</t>
  </si>
  <si>
    <t>PSSA3</t>
  </si>
  <si>
    <t>PTBL3</t>
  </si>
  <si>
    <t>PTNT4</t>
  </si>
  <si>
    <t>QUAL3</t>
  </si>
  <si>
    <t>RADL3</t>
  </si>
  <si>
    <t>RAIL3</t>
  </si>
  <si>
    <t>RANI3</t>
  </si>
  <si>
    <t>RAPT3</t>
  </si>
  <si>
    <t>RAPT4</t>
  </si>
  <si>
    <t>RBBV11</t>
  </si>
  <si>
    <t>RBGS11</t>
  </si>
  <si>
    <t>RBRD11</t>
  </si>
  <si>
    <t>RBVO11</t>
  </si>
  <si>
    <t>RCSL3</t>
  </si>
  <si>
    <t>RCSL4</t>
  </si>
  <si>
    <t>RDNI3</t>
  </si>
  <si>
    <t>REDE3</t>
  </si>
  <si>
    <t>RENT3</t>
  </si>
  <si>
    <t>RNDP11</t>
  </si>
  <si>
    <t>RNEW3</t>
  </si>
  <si>
    <t>RNEW4</t>
  </si>
  <si>
    <t>RNGO11</t>
  </si>
  <si>
    <t>ROMI3</t>
  </si>
  <si>
    <t>RPAD6</t>
  </si>
  <si>
    <t>RPMG3</t>
  </si>
  <si>
    <t>RSID3</t>
  </si>
  <si>
    <t>SANB3</t>
  </si>
  <si>
    <t>SANB4</t>
  </si>
  <si>
    <t>SAPR3</t>
  </si>
  <si>
    <t>SAPR4</t>
  </si>
  <si>
    <t>SBSP3</t>
  </si>
  <si>
    <t>SCAR3</t>
  </si>
  <si>
    <t>SCPF11</t>
  </si>
  <si>
    <t>SDIL11</t>
  </si>
  <si>
    <t>SEER3</t>
  </si>
  <si>
    <t>SGPS3</t>
  </si>
  <si>
    <t>SHOW3</t>
  </si>
  <si>
    <t>SHPH11</t>
  </si>
  <si>
    <t>SHUL4</t>
  </si>
  <si>
    <t>SLCE3</t>
  </si>
  <si>
    <t>SLED3</t>
  </si>
  <si>
    <t>SLED4</t>
  </si>
  <si>
    <t>SMLS3</t>
  </si>
  <si>
    <t>SMTO3</t>
  </si>
  <si>
    <t>SPTW11</t>
  </si>
  <si>
    <t>STBP3</t>
  </si>
  <si>
    <t>SUZB3</t>
  </si>
  <si>
    <t>TAEE4</t>
  </si>
  <si>
    <t>TCNO3</t>
  </si>
  <si>
    <t>TCNO4</t>
  </si>
  <si>
    <t>TCSA3</t>
  </si>
  <si>
    <t>TECN3</t>
  </si>
  <si>
    <t>TEKA4</t>
  </si>
  <si>
    <t>TELB3</t>
  </si>
  <si>
    <t>TELB4</t>
  </si>
  <si>
    <t>TEND3</t>
  </si>
  <si>
    <t>TGMA3</t>
  </si>
  <si>
    <t>TOTS3</t>
  </si>
  <si>
    <t>TPIS3</t>
  </si>
  <si>
    <t>TRIS3</t>
  </si>
  <si>
    <t>TRPL3</t>
  </si>
  <si>
    <t>TRPL4</t>
  </si>
  <si>
    <t>TUPY3</t>
  </si>
  <si>
    <t>UCAS3</t>
  </si>
  <si>
    <t>UGPA3</t>
  </si>
  <si>
    <t>UNIP3</t>
  </si>
  <si>
    <t>UNIP5</t>
  </si>
  <si>
    <t>UNIP6</t>
  </si>
  <si>
    <t>USIM3</t>
  </si>
  <si>
    <t>USIM5</t>
  </si>
  <si>
    <t>VALE3</t>
  </si>
  <si>
    <t>VIVR3</t>
  </si>
  <si>
    <t>VIVT3</t>
  </si>
  <si>
    <t>VLID3</t>
  </si>
  <si>
    <t>VLOL11</t>
  </si>
  <si>
    <t>VRTA11</t>
  </si>
  <si>
    <t>VULC3</t>
  </si>
  <si>
    <t>VVAR3</t>
  </si>
  <si>
    <t>WEGE3</t>
  </si>
  <si>
    <t>WHRL3</t>
  </si>
  <si>
    <t>WHRL4</t>
  </si>
  <si>
    <t>WIZS3</t>
  </si>
  <si>
    <t>WLMM4</t>
  </si>
  <si>
    <t>XPCM11</t>
  </si>
  <si>
    <t>XTED11</t>
  </si>
  <si>
    <t>Column6</t>
  </si>
  <si>
    <t>BBFI11B</t>
  </si>
  <si>
    <t>Ativo</t>
  </si>
  <si>
    <t>Quantidade</t>
  </si>
  <si>
    <t>Ações</t>
  </si>
  <si>
    <t>Data</t>
  </si>
  <si>
    <t>Rendimento</t>
  </si>
  <si>
    <t>VIVA3</t>
  </si>
  <si>
    <t>Distribuição da Carteira</t>
  </si>
  <si>
    <t>Segmento</t>
  </si>
  <si>
    <t>Montante</t>
  </si>
  <si>
    <t>Porcentagem</t>
  </si>
  <si>
    <t>Tesouro Direto</t>
  </si>
  <si>
    <t>Cryptomoedas</t>
  </si>
  <si>
    <t>Fundos Imobiliários</t>
  </si>
  <si>
    <t>Total</t>
  </si>
  <si>
    <t>AERI3</t>
  </si>
  <si>
    <t>AFLT3</t>
  </si>
  <si>
    <t>RPAD3</t>
  </si>
  <si>
    <t>RPAD5</t>
  </si>
  <si>
    <t>ALPK3</t>
  </si>
  <si>
    <t>APER3</t>
  </si>
  <si>
    <t>AVLL3</t>
  </si>
  <si>
    <t>ALUP4</t>
  </si>
  <si>
    <t>ALUP3</t>
  </si>
  <si>
    <t>AMBP3</t>
  </si>
  <si>
    <t>ATMP3</t>
  </si>
  <si>
    <t>AZEV3</t>
  </si>
  <si>
    <t>B3SA3</t>
  </si>
  <si>
    <t>BMGB4</t>
  </si>
  <si>
    <t>BPAC3</t>
  </si>
  <si>
    <t>BIDI4</t>
  </si>
  <si>
    <t>BIDI3</t>
  </si>
  <si>
    <t>BDLL3</t>
  </si>
  <si>
    <t>BALM3</t>
  </si>
  <si>
    <t>BAZA3</t>
  </si>
  <si>
    <t>BRSR3</t>
  </si>
  <si>
    <t>BRSR5</t>
  </si>
  <si>
    <t>BGIP3</t>
  </si>
  <si>
    <t>BMIN3</t>
  </si>
  <si>
    <t>BMIN4</t>
  </si>
  <si>
    <t>BNBR3</t>
  </si>
  <si>
    <t>BOAS3</t>
  </si>
  <si>
    <t>BRKM6</t>
  </si>
  <si>
    <t>BSLI3</t>
  </si>
  <si>
    <t>BSLI4</t>
  </si>
  <si>
    <t>CEAB3</t>
  </si>
  <si>
    <t>CAMB3</t>
  </si>
  <si>
    <t>EQMA3B</t>
  </si>
  <si>
    <t>MAPT3</t>
  </si>
  <si>
    <t>ELET5</t>
  </si>
  <si>
    <t>CLSC3</t>
  </si>
  <si>
    <t>PCAR3</t>
  </si>
  <si>
    <t>CASN3</t>
  </si>
  <si>
    <t>CEGR3</t>
  </si>
  <si>
    <t>CEEB5</t>
  </si>
  <si>
    <t>CEEB3</t>
  </si>
  <si>
    <t>CEBR3</t>
  </si>
  <si>
    <t>CEBR6</t>
  </si>
  <si>
    <t>COCE3</t>
  </si>
  <si>
    <t>CEPE3</t>
  </si>
  <si>
    <t>CEPE6</t>
  </si>
  <si>
    <t>CEPE5</t>
  </si>
  <si>
    <t>CSRN3</t>
  </si>
  <si>
    <t>CSRN5</t>
  </si>
  <si>
    <t>CSRN6</t>
  </si>
  <si>
    <t>CEED3</t>
  </si>
  <si>
    <t>FESA3</t>
  </si>
  <si>
    <t>CEDO3</t>
  </si>
  <si>
    <t>CEDO4</t>
  </si>
  <si>
    <t>HBTS5</t>
  </si>
  <si>
    <t>MSPA4</t>
  </si>
  <si>
    <t>MSPA3</t>
  </si>
  <si>
    <t>CPLE5</t>
  </si>
  <si>
    <t>PEAB4</t>
  </si>
  <si>
    <t>PEAB3</t>
  </si>
  <si>
    <t>CSAB3</t>
  </si>
  <si>
    <t>CSAB4</t>
  </si>
  <si>
    <t>CTSA3</t>
  </si>
  <si>
    <t>COGN3</t>
  </si>
  <si>
    <t>GPAR3</t>
  </si>
  <si>
    <t>EEEL4</t>
  </si>
  <si>
    <t>EEEL3</t>
  </si>
  <si>
    <t>ODER4</t>
  </si>
  <si>
    <t>BRGE12</t>
  </si>
  <si>
    <t>BRGE11</t>
  </si>
  <si>
    <t>BRGE3</t>
  </si>
  <si>
    <t>BRGE6</t>
  </si>
  <si>
    <t>BRGE8</t>
  </si>
  <si>
    <t>BRGE5</t>
  </si>
  <si>
    <t>CALI4</t>
  </si>
  <si>
    <t>CORR4</t>
  </si>
  <si>
    <t>CURY3</t>
  </si>
  <si>
    <t>DMVF3</t>
  </si>
  <si>
    <t>PNVL3</t>
  </si>
  <si>
    <t>DOHL3</t>
  </si>
  <si>
    <t>DTCY3</t>
  </si>
  <si>
    <t>EALT3</t>
  </si>
  <si>
    <t>EKTR4</t>
  </si>
  <si>
    <t>EKTR3</t>
  </si>
  <si>
    <t>LIPR3</t>
  </si>
  <si>
    <t>PGMN3</t>
  </si>
  <si>
    <t>ECPR4</t>
  </si>
  <si>
    <t>ENAT3</t>
  </si>
  <si>
    <t>ENMT3</t>
  </si>
  <si>
    <t>ENMT4</t>
  </si>
  <si>
    <t>ENJU3</t>
  </si>
  <si>
    <t>EQPA5</t>
  </si>
  <si>
    <t>EQPA7</t>
  </si>
  <si>
    <t>EQPA6</t>
  </si>
  <si>
    <t>EQPA3</t>
  </si>
  <si>
    <t>EUCA3</t>
  </si>
  <si>
    <t>CRIV3</t>
  </si>
  <si>
    <t>CRIV4</t>
  </si>
  <si>
    <t>SOMA3</t>
  </si>
  <si>
    <t>GMAT3</t>
  </si>
  <si>
    <t>HAGA3</t>
  </si>
  <si>
    <t>HAPV3</t>
  </si>
  <si>
    <t>HBRE3</t>
  </si>
  <si>
    <t>HETA4</t>
  </si>
  <si>
    <t>HBSA3</t>
  </si>
  <si>
    <t>IBOV11</t>
  </si>
  <si>
    <t>GNDI3</t>
  </si>
  <si>
    <t>JPSA3</t>
  </si>
  <si>
    <t>JOPA3</t>
  </si>
  <si>
    <t>JOPA4</t>
  </si>
  <si>
    <t>CTKA3</t>
  </si>
  <si>
    <t>LAVV3</t>
  </si>
  <si>
    <t>LWSA3</t>
  </si>
  <si>
    <t>LOGG3</t>
  </si>
  <si>
    <t>LJQQ3</t>
  </si>
  <si>
    <t>CASH3</t>
  </si>
  <si>
    <t>MELK3</t>
  </si>
  <si>
    <t>MERC4</t>
  </si>
  <si>
    <t>MERC3</t>
  </si>
  <si>
    <t>RSUL4</t>
  </si>
  <si>
    <t>MTSA3</t>
  </si>
  <si>
    <t>MTRE3</t>
  </si>
  <si>
    <t>MDNE3</t>
  </si>
  <si>
    <t>MRSA6B</t>
  </si>
  <si>
    <t>MRSA3B</t>
  </si>
  <si>
    <t>MRSA5B</t>
  </si>
  <si>
    <t>MNDL3</t>
  </si>
  <si>
    <t>NTCO3</t>
  </si>
  <si>
    <t>NEOE3</t>
  </si>
  <si>
    <t>NGRD3</t>
  </si>
  <si>
    <t>NORD3</t>
  </si>
  <si>
    <t>NUTR3</t>
  </si>
  <si>
    <t>DMMO3</t>
  </si>
  <si>
    <t>PDTC3</t>
  </si>
  <si>
    <t>PATI4</t>
  </si>
  <si>
    <t>PATI3</t>
  </si>
  <si>
    <t>PETZ3</t>
  </si>
  <si>
    <t>PTNT3</t>
  </si>
  <si>
    <t>PLPL3</t>
  </si>
  <si>
    <t>PLAS3</t>
  </si>
  <si>
    <t>FRTA3</t>
  </si>
  <si>
    <t>PSVM11</t>
  </si>
  <si>
    <t>PRNR3</t>
  </si>
  <si>
    <t>RDOR3</t>
  </si>
  <si>
    <t>GEPA4</t>
  </si>
  <si>
    <t>SNSY3</t>
  </si>
  <si>
    <t>SNSY6</t>
  </si>
  <si>
    <t>SNSY5</t>
  </si>
  <si>
    <t>AHEB5</t>
  </si>
  <si>
    <t>AHEB6</t>
  </si>
  <si>
    <t>AHEB3</t>
  </si>
  <si>
    <t>SEQL3</t>
  </si>
  <si>
    <t>SIMH3</t>
  </si>
  <si>
    <t>SQIA3</t>
  </si>
  <si>
    <t>ALSO3</t>
  </si>
  <si>
    <t>SOND6</t>
  </si>
  <si>
    <t>SOND5</t>
  </si>
  <si>
    <t>SULA3</t>
  </si>
  <si>
    <t>SULA4</t>
  </si>
  <si>
    <t>TASA4</t>
  </si>
  <si>
    <t>TASA3</t>
  </si>
  <si>
    <t>TEKA3</t>
  </si>
  <si>
    <t>TKNO4</t>
  </si>
  <si>
    <t>TESA3</t>
  </si>
  <si>
    <t>TXRX3</t>
  </si>
  <si>
    <t>TXRX4</t>
  </si>
  <si>
    <t>TIMS3</t>
  </si>
  <si>
    <t>TFCO4</t>
  </si>
  <si>
    <t>TAEE3</t>
  </si>
  <si>
    <t>LUXM4</t>
  </si>
  <si>
    <t>CRPG6</t>
  </si>
  <si>
    <t>CRPG5</t>
  </si>
  <si>
    <t>CRPG3</t>
  </si>
  <si>
    <t>USIM6</t>
  </si>
  <si>
    <t>MWET3</t>
  </si>
  <si>
    <t>WLMM3</t>
  </si>
  <si>
    <t>YDUQ3</t>
  </si>
  <si>
    <t>RRRP3</t>
  </si>
  <si>
    <t>Montante Atual</t>
  </si>
  <si>
    <t>Montante Investido</t>
  </si>
  <si>
    <t>Cotação Atual</t>
  </si>
  <si>
    <t>AQLL11</t>
  </si>
  <si>
    <t>DOVL11B</t>
  </si>
  <si>
    <t>ANCR11B</t>
  </si>
  <si>
    <t>NVHO11</t>
  </si>
  <si>
    <t>CXCE11B</t>
  </si>
  <si>
    <t>EDFO11B</t>
  </si>
  <si>
    <t>FMOF11</t>
  </si>
  <si>
    <t>PABY11</t>
  </si>
  <si>
    <t>FVPQ11</t>
  </si>
  <si>
    <t>FIVN11</t>
  </si>
  <si>
    <t>SAIC11B</t>
  </si>
  <si>
    <t>LATR11B</t>
  </si>
  <si>
    <t>DRIT11B</t>
  </si>
  <si>
    <t>FTCE11B</t>
  </si>
  <si>
    <t>PRSN11B</t>
  </si>
  <si>
    <t>RBDS11</t>
  </si>
  <si>
    <t>BCFF11</t>
  </si>
  <si>
    <t>Caixa</t>
  </si>
  <si>
    <t>CARE11</t>
  </si>
  <si>
    <t>Column7</t>
  </si>
  <si>
    <t>Nome</t>
  </si>
  <si>
    <t>DZD</t>
  </si>
  <si>
    <t>AOA</t>
  </si>
  <si>
    <t>ARS</t>
  </si>
  <si>
    <t>AUD</t>
  </si>
  <si>
    <t>EUR</t>
  </si>
  <si>
    <t>BHD</t>
  </si>
  <si>
    <t>BDT</t>
  </si>
  <si>
    <t>BYN</t>
  </si>
  <si>
    <t>KHR</t>
  </si>
  <si>
    <t>XAF</t>
  </si>
  <si>
    <t>CAD</t>
  </si>
  <si>
    <t>CLP</t>
  </si>
  <si>
    <t>COP</t>
  </si>
  <si>
    <t>CRC</t>
  </si>
  <si>
    <t>XOF</t>
  </si>
  <si>
    <t>CZK</t>
  </si>
  <si>
    <t>DKK</t>
  </si>
  <si>
    <t>DOP</t>
  </si>
  <si>
    <t>USD</t>
  </si>
  <si>
    <t>EGP</t>
  </si>
  <si>
    <t>ETB</t>
  </si>
  <si>
    <t>GEL</t>
  </si>
  <si>
    <t>GHS</t>
  </si>
  <si>
    <t>GTQ</t>
  </si>
  <si>
    <t>HKD</t>
  </si>
  <si>
    <t>HUF</t>
  </si>
  <si>
    <t>INR</t>
  </si>
  <si>
    <t>IDR</t>
  </si>
  <si>
    <t>ILS</t>
  </si>
  <si>
    <t>JPY</t>
  </si>
  <si>
    <t>JOD</t>
  </si>
  <si>
    <t>KZT</t>
  </si>
  <si>
    <t>KES</t>
  </si>
  <si>
    <t>KWD</t>
  </si>
  <si>
    <t>LBP</t>
  </si>
  <si>
    <t>MGA</t>
  </si>
  <si>
    <t>MYR</t>
  </si>
  <si>
    <t>MUR</t>
  </si>
  <si>
    <t>MXN</t>
  </si>
  <si>
    <t>MAD</t>
  </si>
  <si>
    <t>MZN</t>
  </si>
  <si>
    <t>MMK</t>
  </si>
  <si>
    <t>NPR</t>
  </si>
  <si>
    <t>NZD</t>
  </si>
  <si>
    <t>NIO</t>
  </si>
  <si>
    <t>NGN</t>
  </si>
  <si>
    <t>NOK</t>
  </si>
  <si>
    <t>OMR</t>
  </si>
  <si>
    <t>PKR</t>
  </si>
  <si>
    <t>PAB</t>
  </si>
  <si>
    <t>PYG</t>
  </si>
  <si>
    <t>PEN</t>
  </si>
  <si>
    <t>PHP</t>
  </si>
  <si>
    <t>PLN</t>
  </si>
  <si>
    <t>RON</t>
  </si>
  <si>
    <t>RUB</t>
  </si>
  <si>
    <t>SAR</t>
  </si>
  <si>
    <t>SGD</t>
  </si>
  <si>
    <t>ZAR</t>
  </si>
  <si>
    <t>KRW</t>
  </si>
  <si>
    <t>LKR</t>
  </si>
  <si>
    <t>SEK</t>
  </si>
  <si>
    <t>CHF</t>
  </si>
  <si>
    <t>TWD</t>
  </si>
  <si>
    <t>TZS</t>
  </si>
  <si>
    <t>THB</t>
  </si>
  <si>
    <t>TND</t>
  </si>
  <si>
    <t>TRY</t>
  </si>
  <si>
    <t>UGX</t>
  </si>
  <si>
    <t>UAH</t>
  </si>
  <si>
    <t>GBP</t>
  </si>
  <si>
    <t>UYU</t>
  </si>
  <si>
    <t>UZS</t>
  </si>
  <si>
    <t>VND</t>
  </si>
  <si>
    <t>ZMW</t>
  </si>
  <si>
    <t>Column9</t>
  </si>
  <si>
    <t>Column3</t>
  </si>
  <si>
    <t>Column4</t>
  </si>
  <si>
    <t>Column10</t>
  </si>
  <si>
    <t>Column11</t>
  </si>
  <si>
    <t>BRL</t>
  </si>
  <si>
    <t>BTC</t>
  </si>
  <si>
    <t>ETH</t>
  </si>
  <si>
    <t>LTC</t>
  </si>
  <si>
    <t>BCH</t>
  </si>
  <si>
    <t>USDT</t>
  </si>
  <si>
    <t>DOT</t>
  </si>
  <si>
    <t>ADA</t>
  </si>
  <si>
    <t>XRP</t>
  </si>
  <si>
    <t>BNB</t>
  </si>
  <si>
    <t>LINK</t>
  </si>
  <si>
    <t>ABCB10</t>
  </si>
  <si>
    <t>XLM</t>
  </si>
  <si>
    <t>USDC</t>
  </si>
  <si>
    <t>DOGE</t>
  </si>
  <si>
    <t>WBTC</t>
  </si>
  <si>
    <t>UNI</t>
  </si>
  <si>
    <t>ATOM</t>
  </si>
  <si>
    <t>AAVE</t>
  </si>
  <si>
    <t>EOS</t>
  </si>
  <si>
    <t>BSV</t>
  </si>
  <si>
    <t>XMR</t>
  </si>
  <si>
    <t>TRX</t>
  </si>
  <si>
    <t>MIOTA</t>
  </si>
  <si>
    <t>XTZ</t>
  </si>
  <si>
    <t>SNX</t>
  </si>
  <si>
    <t>XEM</t>
  </si>
  <si>
    <t>THETA</t>
  </si>
  <si>
    <t>VET</t>
  </si>
  <si>
    <t>NEO</t>
  </si>
  <si>
    <t>AVAX</t>
  </si>
  <si>
    <t>LUNA</t>
  </si>
  <si>
    <t>GRT</t>
  </si>
  <si>
    <t>DASH</t>
  </si>
  <si>
    <t>EGLD</t>
  </si>
  <si>
    <t>CETH</t>
  </si>
  <si>
    <t>FIL</t>
  </si>
  <si>
    <t>MKR</t>
  </si>
  <si>
    <t>SOL</t>
  </si>
  <si>
    <t>OKB</t>
  </si>
  <si>
    <t>HT</t>
  </si>
  <si>
    <t>DAI</t>
  </si>
  <si>
    <t>CDAI</t>
  </si>
  <si>
    <t>CEL</t>
  </si>
  <si>
    <t>SUSHI</t>
  </si>
  <si>
    <t>COMP</t>
  </si>
  <si>
    <t>CRO</t>
  </si>
  <si>
    <t>FTT</t>
  </si>
  <si>
    <t>KSM</t>
  </si>
  <si>
    <t>ZEC</t>
  </si>
  <si>
    <t>ETC</t>
  </si>
  <si>
    <t>BUSD</t>
  </si>
  <si>
    <t>CUSDC</t>
  </si>
  <si>
    <t>ZIL</t>
  </si>
  <si>
    <t>DCR</t>
  </si>
  <si>
    <t>UMA</t>
  </si>
  <si>
    <t>LEO</t>
  </si>
  <si>
    <t>YFI</t>
  </si>
  <si>
    <t>AMP</t>
  </si>
  <si>
    <t>NEAR</t>
  </si>
  <si>
    <t>ZRX</t>
  </si>
  <si>
    <t>ALGO</t>
  </si>
  <si>
    <t>WAVES</t>
  </si>
  <si>
    <t>HBTC</t>
  </si>
  <si>
    <t>DGB</t>
  </si>
  <si>
    <t>HBAR</t>
  </si>
  <si>
    <t>NEXO</t>
  </si>
  <si>
    <t>ICX</t>
  </si>
  <si>
    <t>ONT</t>
  </si>
  <si>
    <t>RUNE</t>
  </si>
  <si>
    <t>NANO</t>
  </si>
  <si>
    <t>LRC</t>
  </si>
  <si>
    <t>REN</t>
  </si>
  <si>
    <t>OMG</t>
  </si>
  <si>
    <t>RENBTC</t>
  </si>
  <si>
    <t>CHSB</t>
  </si>
  <si>
    <t>BAT</t>
  </si>
  <si>
    <t>CAKE</t>
  </si>
  <si>
    <t>BTT</t>
  </si>
  <si>
    <t>VGX</t>
  </si>
  <si>
    <t>PAX</t>
  </si>
  <si>
    <t>QTUM</t>
  </si>
  <si>
    <t>ZEN</t>
  </si>
  <si>
    <t>STX</t>
  </si>
  <si>
    <t>RVN</t>
  </si>
  <si>
    <t>CRV</t>
  </si>
  <si>
    <t>SC</t>
  </si>
  <si>
    <t>IOST</t>
  </si>
  <si>
    <t>RSR</t>
  </si>
  <si>
    <t>QNT</t>
  </si>
  <si>
    <t>MATIC</t>
  </si>
  <si>
    <t>ENJ</t>
  </si>
  <si>
    <t>HUSD</t>
  </si>
  <si>
    <t>BTG</t>
  </si>
  <si>
    <t>EWT</t>
  </si>
  <si>
    <t>AMPL</t>
  </si>
  <si>
    <t>BAL</t>
  </si>
  <si>
    <t>LSK</t>
  </si>
  <si>
    <t>1INCH</t>
  </si>
  <si>
    <t>NXM</t>
  </si>
  <si>
    <t>FTM</t>
  </si>
  <si>
    <t>UST</t>
  </si>
  <si>
    <t>OCEAN</t>
  </si>
  <si>
    <t>FLOW</t>
  </si>
  <si>
    <t>KNC</t>
  </si>
  <si>
    <t>CELO</t>
  </si>
  <si>
    <t>ALPHA</t>
  </si>
  <si>
    <t>BNT</t>
  </si>
  <si>
    <t>MANA</t>
  </si>
  <si>
    <t>XVS</t>
  </si>
  <si>
    <t>BAND</t>
  </si>
  <si>
    <t>SNT</t>
  </si>
  <si>
    <t>POLS</t>
  </si>
  <si>
    <t>BCHA</t>
  </si>
  <si>
    <t>XVG</t>
  </si>
  <si>
    <t>MDX</t>
  </si>
  <si>
    <t>XDC</t>
  </si>
  <si>
    <t>CUSDT</t>
  </si>
  <si>
    <t>AR</t>
  </si>
  <si>
    <t>TUSD</t>
  </si>
  <si>
    <t>SFP</t>
  </si>
  <si>
    <t>CVC</t>
  </si>
  <si>
    <t>HNT</t>
  </si>
  <si>
    <t>STETH</t>
  </si>
  <si>
    <t>ONE</t>
  </si>
  <si>
    <t>SUSD</t>
  </si>
  <si>
    <t>LEND</t>
  </si>
  <si>
    <t>KAVA</t>
  </si>
  <si>
    <t>CKB</t>
  </si>
  <si>
    <t>GLM</t>
  </si>
  <si>
    <t>BCD</t>
  </si>
  <si>
    <t>DNT</t>
  </si>
  <si>
    <t>LIT</t>
  </si>
  <si>
    <t>DDX</t>
  </si>
  <si>
    <t>NU</t>
  </si>
  <si>
    <t>HOT</t>
  </si>
  <si>
    <t>MFT</t>
  </si>
  <si>
    <t>ROOK</t>
  </si>
  <si>
    <t>NMR</t>
  </si>
  <si>
    <t>NPXS</t>
  </si>
  <si>
    <t>GNO</t>
  </si>
  <si>
    <t>FUN</t>
  </si>
  <si>
    <t>VTHO</t>
  </si>
  <si>
    <t>ANT</t>
  </si>
  <si>
    <t>AETH</t>
  </si>
  <si>
    <t>TWT</t>
  </si>
  <si>
    <t>RIF</t>
  </si>
  <si>
    <t>AGI</t>
  </si>
  <si>
    <t>BTMX</t>
  </si>
  <si>
    <t>ZKS</t>
  </si>
  <si>
    <t>SETH</t>
  </si>
  <si>
    <t>UTK</t>
  </si>
  <si>
    <t>EDG</t>
  </si>
  <si>
    <t>SXP</t>
  </si>
  <si>
    <t>REP</t>
  </si>
  <si>
    <t>CUNI</t>
  </si>
  <si>
    <t>SRM</t>
  </si>
  <si>
    <t>CHZ</t>
  </si>
  <si>
    <t>NFTX</t>
  </si>
  <si>
    <t>BTM</t>
  </si>
  <si>
    <t>CZRX</t>
  </si>
  <si>
    <t>SFI</t>
  </si>
  <si>
    <t>INJ</t>
  </si>
  <si>
    <t>KCS</t>
  </si>
  <si>
    <t>MONA</t>
  </si>
  <si>
    <t>SBTC</t>
  </si>
  <si>
    <t>STRAX</t>
  </si>
  <si>
    <t>ARDR</t>
  </si>
  <si>
    <t>TEL</t>
  </si>
  <si>
    <t>STEEM</t>
  </si>
  <si>
    <t>VAI</t>
  </si>
  <si>
    <t>RDD</t>
  </si>
  <si>
    <t>WIN</t>
  </si>
  <si>
    <t>ANKR</t>
  </si>
  <si>
    <t>MAID</t>
  </si>
  <si>
    <t>HEGIC</t>
  </si>
  <si>
    <t>SKL</t>
  </si>
  <si>
    <t>SCRT</t>
  </si>
  <si>
    <t>MIR</t>
  </si>
  <si>
    <t>GT</t>
  </si>
  <si>
    <t>KMD</t>
  </si>
  <si>
    <t>BTCST</t>
  </si>
  <si>
    <t>BTS</t>
  </si>
  <si>
    <t>FET</t>
  </si>
  <si>
    <t>NOIA</t>
  </si>
  <si>
    <t>BADGER</t>
  </si>
  <si>
    <t>TOMO</t>
  </si>
  <si>
    <t>ROSE</t>
  </si>
  <si>
    <t>SAND</t>
  </si>
  <si>
    <t>IRIS</t>
  </si>
  <si>
    <t>POLY</t>
  </si>
  <si>
    <t>AUSDC</t>
  </si>
  <si>
    <t>PERP</t>
  </si>
  <si>
    <t>USDN</t>
  </si>
  <si>
    <t>RLC</t>
  </si>
  <si>
    <t>KEEP</t>
  </si>
  <si>
    <t>IOTX</t>
  </si>
  <si>
    <t>PROM</t>
  </si>
  <si>
    <t>FARM</t>
  </si>
  <si>
    <t>HTR</t>
  </si>
  <si>
    <t>TRAC</t>
  </si>
  <si>
    <t>RPL</t>
  </si>
  <si>
    <t>ETN</t>
  </si>
  <si>
    <t>WAN</t>
  </si>
  <si>
    <t>LON</t>
  </si>
  <si>
    <t>PRQ</t>
  </si>
  <si>
    <t>API3</t>
  </si>
  <si>
    <t>UOS</t>
  </si>
  <si>
    <t>BCN</t>
  </si>
  <si>
    <t>DPI</t>
  </si>
  <si>
    <t>YFII</t>
  </si>
  <si>
    <t>PAXG</t>
  </si>
  <si>
    <t>XHV</t>
  </si>
  <si>
    <t>AKT</t>
  </si>
  <si>
    <t>DENT</t>
  </si>
  <si>
    <t>HIVE</t>
  </si>
  <si>
    <t>TITAN</t>
  </si>
  <si>
    <t>ARK</t>
  </si>
  <si>
    <t>DODO</t>
  </si>
  <si>
    <t>AXS</t>
  </si>
  <si>
    <t>CREAM</t>
  </si>
  <si>
    <t>AKRO</t>
  </si>
  <si>
    <t>UBT</t>
  </si>
  <si>
    <t>MATH</t>
  </si>
  <si>
    <t>STORJ</t>
  </si>
  <si>
    <t>ELF</t>
  </si>
  <si>
    <t>NEST</t>
  </si>
  <si>
    <t>XAUT</t>
  </si>
  <si>
    <t>WAXP</t>
  </si>
  <si>
    <t>GALA</t>
  </si>
  <si>
    <t>ORN</t>
  </si>
  <si>
    <t>ROOT</t>
  </si>
  <si>
    <t>GUSD</t>
  </si>
  <si>
    <t>EXRD</t>
  </si>
  <si>
    <t>NRG</t>
  </si>
  <si>
    <t>ID</t>
  </si>
  <si>
    <t>TORN</t>
  </si>
  <si>
    <t>YLD</t>
  </si>
  <si>
    <t>LTO</t>
  </si>
  <si>
    <t>RFOX</t>
  </si>
  <si>
    <t>LPT</t>
  </si>
  <si>
    <t>WNXM</t>
  </si>
  <si>
    <t>SYS</t>
  </si>
  <si>
    <t>BIFI</t>
  </si>
  <si>
    <t>PCX</t>
  </si>
  <si>
    <t>LINA</t>
  </si>
  <si>
    <t>AUTO</t>
  </si>
  <si>
    <t>XOR</t>
  </si>
  <si>
    <t>ALBT</t>
  </si>
  <si>
    <t>VITAE</t>
  </si>
  <si>
    <t>MRPH</t>
  </si>
  <si>
    <t>TBTC</t>
  </si>
  <si>
    <t>POWR</t>
  </si>
  <si>
    <t>LOOM</t>
  </si>
  <si>
    <t>AVA</t>
  </si>
  <si>
    <t>STAKE</t>
  </si>
  <si>
    <t>BOND</t>
  </si>
  <si>
    <t>DIGG</t>
  </si>
  <si>
    <t>RGT</t>
  </si>
  <si>
    <t>SWINGBY</t>
  </si>
  <si>
    <t>COTI</t>
  </si>
  <si>
    <t>ESD</t>
  </si>
  <si>
    <t>DDIM</t>
  </si>
  <si>
    <t>BZRX</t>
  </si>
  <si>
    <t>C20</t>
  </si>
  <si>
    <t>STMX</t>
  </si>
  <si>
    <t>QKC</t>
  </si>
  <si>
    <t>OGN</t>
  </si>
  <si>
    <t>SWAP</t>
  </si>
  <si>
    <t>COVER</t>
  </si>
  <si>
    <t>KP3R</t>
  </si>
  <si>
    <t>AE</t>
  </si>
  <si>
    <t>APY</t>
  </si>
  <si>
    <t>XCM</t>
  </si>
  <si>
    <t>ELA</t>
  </si>
  <si>
    <t>YCC</t>
  </si>
  <si>
    <t>FRAX</t>
  </si>
  <si>
    <t>DIA</t>
  </si>
  <si>
    <t>TRB</t>
  </si>
  <si>
    <t>PAID</t>
  </si>
  <si>
    <t>CELR</t>
  </si>
  <si>
    <t>DIVI</t>
  </si>
  <si>
    <t>HARD</t>
  </si>
  <si>
    <t>LBC</t>
  </si>
  <si>
    <t>BOT</t>
  </si>
  <si>
    <t>WHALE</t>
  </si>
  <si>
    <t>BONDLY</t>
  </si>
  <si>
    <t>NULS</t>
  </si>
  <si>
    <t>FRM</t>
  </si>
  <si>
    <t>ZAI</t>
  </si>
  <si>
    <t>RARI</t>
  </si>
  <si>
    <t>DATA</t>
  </si>
  <si>
    <t>OPIUM</t>
  </si>
  <si>
    <t>DAO</t>
  </si>
  <si>
    <t>TRU</t>
  </si>
  <si>
    <t>SPARTA</t>
  </si>
  <si>
    <t>CAS</t>
  </si>
  <si>
    <t>PPT</t>
  </si>
  <si>
    <t>ZNN</t>
  </si>
  <si>
    <t>WICC</t>
  </si>
  <si>
    <t>ADX</t>
  </si>
  <si>
    <t>Coluna1</t>
  </si>
  <si>
    <t>Corretora</t>
  </si>
  <si>
    <t>Investido</t>
  </si>
  <si>
    <t>Carteira de Ações</t>
  </si>
  <si>
    <t>Dinheiro em Caixa</t>
  </si>
  <si>
    <t>Instituição</t>
  </si>
  <si>
    <t xml:space="preserve"> Investido</t>
  </si>
  <si>
    <t xml:space="preserve"> Atual</t>
  </si>
  <si>
    <t>Exchange</t>
  </si>
  <si>
    <t>Clear</t>
  </si>
  <si>
    <t>Column13</t>
  </si>
  <si>
    <t>Column14</t>
  </si>
  <si>
    <t>AACG</t>
  </si>
  <si>
    <t>AACQ</t>
  </si>
  <si>
    <t>AACQU</t>
  </si>
  <si>
    <t>AAL</t>
  </si>
  <si>
    <t>AAME</t>
  </si>
  <si>
    <t>AAOI</t>
  </si>
  <si>
    <t>AAON</t>
  </si>
  <si>
    <t>AAPL</t>
  </si>
  <si>
    <t>AAWW</t>
  </si>
  <si>
    <t>ABCB</t>
  </si>
  <si>
    <t>ABCL</t>
  </si>
  <si>
    <t>ABCM</t>
  </si>
  <si>
    <t>ABEO</t>
  </si>
  <si>
    <t>ABGI</t>
  </si>
  <si>
    <t>ABIO</t>
  </si>
  <si>
    <t>ABMD</t>
  </si>
  <si>
    <t>ABNB</t>
  </si>
  <si>
    <t>ABST</t>
  </si>
  <si>
    <t>ABTX</t>
  </si>
  <si>
    <t>ABUS</t>
  </si>
  <si>
    <t>ACAC</t>
  </si>
  <si>
    <t>ACACU</t>
  </si>
  <si>
    <t>ACAD</t>
  </si>
  <si>
    <t>ACBI</t>
  </si>
  <si>
    <t>ACCD</t>
  </si>
  <si>
    <t>ACER</t>
  </si>
  <si>
    <t>ACET</t>
  </si>
  <si>
    <t>ACEV</t>
  </si>
  <si>
    <t>ACEVU</t>
  </si>
  <si>
    <t>ACGL</t>
  </si>
  <si>
    <t>ACGLO</t>
  </si>
  <si>
    <t>ACGLP</t>
  </si>
  <si>
    <t>ACHC</t>
  </si>
  <si>
    <t>ACHV</t>
  </si>
  <si>
    <t>ACIU</t>
  </si>
  <si>
    <t>ACIW</t>
  </si>
  <si>
    <t>ACKIT</t>
  </si>
  <si>
    <t>ACKIU</t>
  </si>
  <si>
    <t>ACLS</t>
  </si>
  <si>
    <t>ACMR</t>
  </si>
  <si>
    <t>ACNB</t>
  </si>
  <si>
    <t>ACOR</t>
  </si>
  <si>
    <t>ACRS</t>
  </si>
  <si>
    <t>ACRX</t>
  </si>
  <si>
    <t>ACST</t>
  </si>
  <si>
    <t>ACTC</t>
  </si>
  <si>
    <t>ACTCU</t>
  </si>
  <si>
    <t>ACTG</t>
  </si>
  <si>
    <t>ADAG</t>
  </si>
  <si>
    <t>ADAP</t>
  </si>
  <si>
    <t>ADBE</t>
  </si>
  <si>
    <t>ADERU</t>
  </si>
  <si>
    <t>ADES</t>
  </si>
  <si>
    <t>ADI</t>
  </si>
  <si>
    <t>ADIL</t>
  </si>
  <si>
    <t>ADMA</t>
  </si>
  <si>
    <t>ADMP</t>
  </si>
  <si>
    <t>ADMS</t>
  </si>
  <si>
    <t>ADN</t>
  </si>
  <si>
    <t>ADOC</t>
  </si>
  <si>
    <t>ADP</t>
  </si>
  <si>
    <t>ADPT</t>
  </si>
  <si>
    <t>ADSK</t>
  </si>
  <si>
    <t>ADTN</t>
  </si>
  <si>
    <t>ADTX</t>
  </si>
  <si>
    <t>ADUS</t>
  </si>
  <si>
    <t>ADV</t>
  </si>
  <si>
    <t>ADVM</t>
  </si>
  <si>
    <t>ADXN</t>
  </si>
  <si>
    <t>ADXS</t>
  </si>
  <si>
    <t>AEACU</t>
  </si>
  <si>
    <t>AEHL</t>
  </si>
  <si>
    <t>AEHR</t>
  </si>
  <si>
    <t>AEI</t>
  </si>
  <si>
    <t>AEIS</t>
  </si>
  <si>
    <t>AEMD</t>
  </si>
  <si>
    <t>AEP</t>
  </si>
  <si>
    <t>AEPPL</t>
  </si>
  <si>
    <t>AEPPZ</t>
  </si>
  <si>
    <t>AERI</t>
  </si>
  <si>
    <t>AESE</t>
  </si>
  <si>
    <t>AEY</t>
  </si>
  <si>
    <t>AEYE</t>
  </si>
  <si>
    <t>AEZS</t>
  </si>
  <si>
    <t>AFBI</t>
  </si>
  <si>
    <t>AFIB</t>
  </si>
  <si>
    <t>AFIN</t>
  </si>
  <si>
    <t>AFINO</t>
  </si>
  <si>
    <t>AFINP</t>
  </si>
  <si>
    <t>AFMD</t>
  </si>
  <si>
    <t>AFRM</t>
  </si>
  <si>
    <t>AFYA</t>
  </si>
  <si>
    <t>AGBA</t>
  </si>
  <si>
    <t>AGC</t>
  </si>
  <si>
    <t>AGCUU</t>
  </si>
  <si>
    <t>AGEN</t>
  </si>
  <si>
    <t>AGFS</t>
  </si>
  <si>
    <t>AGFY</t>
  </si>
  <si>
    <t>AGIO</t>
  </si>
  <si>
    <t>AGLE</t>
  </si>
  <si>
    <t>AGMH</t>
  </si>
  <si>
    <t>AGNC</t>
  </si>
  <si>
    <t>AGNCM</t>
  </si>
  <si>
    <t>AGNCN</t>
  </si>
  <si>
    <t>AGNCO</t>
  </si>
  <si>
    <t>AGNCP</t>
  </si>
  <si>
    <t>AGRX</t>
  </si>
  <si>
    <t>AGTC</t>
  </si>
  <si>
    <t>AGYS</t>
  </si>
  <si>
    <t>AHAC</t>
  </si>
  <si>
    <t>AHACU</t>
  </si>
  <si>
    <t>AHCO</t>
  </si>
  <si>
    <t>AHPI</t>
  </si>
  <si>
    <t>AIH</t>
  </si>
  <si>
    <t>AIHS</t>
  </si>
  <si>
    <t>AIKI</t>
  </si>
  <si>
    <t>AIMC</t>
  </si>
  <si>
    <t>AINV</t>
  </si>
  <si>
    <t>AIRG</t>
  </si>
  <si>
    <t>AIRT</t>
  </si>
  <si>
    <t>AIRTP</t>
  </si>
  <si>
    <t>AKAM</t>
  </si>
  <si>
    <t>AKBA</t>
  </si>
  <si>
    <t>AKIC</t>
  </si>
  <si>
    <t>AKTS</t>
  </si>
  <si>
    <t>AKTX</t>
  </si>
  <si>
    <t>AKU</t>
  </si>
  <si>
    <t>AKUS</t>
  </si>
  <si>
    <t>ALAC</t>
  </si>
  <si>
    <t>ALACU</t>
  </si>
  <si>
    <t>ALBO</t>
  </si>
  <si>
    <t>ALCO</t>
  </si>
  <si>
    <t>ALDX</t>
  </si>
  <si>
    <t>ALEC</t>
  </si>
  <si>
    <t>ALGM</t>
  </si>
  <si>
    <t>ALGN</t>
  </si>
  <si>
    <t>ALGS</t>
  </si>
  <si>
    <t>ALGT</t>
  </si>
  <si>
    <t>ALIM</t>
  </si>
  <si>
    <t>ALJJ</t>
  </si>
  <si>
    <t>ALKS</t>
  </si>
  <si>
    <t>ALLK</t>
  </si>
  <si>
    <t>ALLO</t>
  </si>
  <si>
    <t>ALLT</t>
  </si>
  <si>
    <t>ALNA</t>
  </si>
  <si>
    <t>ALNY</t>
  </si>
  <si>
    <t>ALOT</t>
  </si>
  <si>
    <t>ALPN</t>
  </si>
  <si>
    <t>ALRM</t>
  </si>
  <si>
    <t>ALRN</t>
  </si>
  <si>
    <t>ALSK</t>
  </si>
  <si>
    <t>ALT</t>
  </si>
  <si>
    <t>ALTA</t>
  </si>
  <si>
    <t>ALTM</t>
  </si>
  <si>
    <t>ALTO</t>
  </si>
  <si>
    <t>ALTR</t>
  </si>
  <si>
    <t>ALTU</t>
  </si>
  <si>
    <t>ALTUU</t>
  </si>
  <si>
    <t>ALVR</t>
  </si>
  <si>
    <t>ALXN</t>
  </si>
  <si>
    <t>ALXO</t>
  </si>
  <si>
    <t>ALYA</t>
  </si>
  <si>
    <t>AMAL</t>
  </si>
  <si>
    <t>AMAT</t>
  </si>
  <si>
    <t>AMBA</t>
  </si>
  <si>
    <t>AMCX</t>
  </si>
  <si>
    <t>AMD</t>
  </si>
  <si>
    <t>AMED</t>
  </si>
  <si>
    <t>AMEH</t>
  </si>
  <si>
    <t>AMGN</t>
  </si>
  <si>
    <t>AMHC</t>
  </si>
  <si>
    <t>AMKR</t>
  </si>
  <si>
    <t>AMNB</t>
  </si>
  <si>
    <t>AMOT</t>
  </si>
  <si>
    <t>AMPG</t>
  </si>
  <si>
    <t>AMPH</t>
  </si>
  <si>
    <t>AMRB</t>
  </si>
  <si>
    <t>AMRK</t>
  </si>
  <si>
    <t>AMRN</t>
  </si>
  <si>
    <t>AMRS</t>
  </si>
  <si>
    <t>AMSC</t>
  </si>
  <si>
    <t>AMSF</t>
  </si>
  <si>
    <t>AMST</t>
  </si>
  <si>
    <t>AMSWA</t>
  </si>
  <si>
    <t>AMTB</t>
  </si>
  <si>
    <t>AMTBB</t>
  </si>
  <si>
    <t>AMTI</t>
  </si>
  <si>
    <t>AMTX</t>
  </si>
  <si>
    <t>AMWD</t>
  </si>
  <si>
    <t>AMYT</t>
  </si>
  <si>
    <t>AMZN</t>
  </si>
  <si>
    <t>ANAB</t>
  </si>
  <si>
    <t>ANAT</t>
  </si>
  <si>
    <t>ANDA</t>
  </si>
  <si>
    <t>ANDAU</t>
  </si>
  <si>
    <t>ANDE</t>
  </si>
  <si>
    <t>ANGI</t>
  </si>
  <si>
    <t>ANGN</t>
  </si>
  <si>
    <t>ANGO</t>
  </si>
  <si>
    <t>ANIK</t>
  </si>
  <si>
    <t>ANIP</t>
  </si>
  <si>
    <t>ANIX</t>
  </si>
  <si>
    <t>ANNX</t>
  </si>
  <si>
    <t>ANPC</t>
  </si>
  <si>
    <t>ANSS</t>
  </si>
  <si>
    <t>ANTE</t>
  </si>
  <si>
    <t>ANY</t>
  </si>
  <si>
    <t>AOSL</t>
  </si>
  <si>
    <t>AOUT</t>
  </si>
  <si>
    <t>APA</t>
  </si>
  <si>
    <t>APDN</t>
  </si>
  <si>
    <t>APEI</t>
  </si>
  <si>
    <t>APEN</t>
  </si>
  <si>
    <t>API</t>
  </si>
  <si>
    <t>APLT</t>
  </si>
  <si>
    <t>APM</t>
  </si>
  <si>
    <t>APOG</t>
  </si>
  <si>
    <t>APOP</t>
  </si>
  <si>
    <t>APPF</t>
  </si>
  <si>
    <t>APPH</t>
  </si>
  <si>
    <t>APPN</t>
  </si>
  <si>
    <t>APPS</t>
  </si>
  <si>
    <t>APR</t>
  </si>
  <si>
    <t>APRE</t>
  </si>
  <si>
    <t>APTO</t>
  </si>
  <si>
    <t>APTX</t>
  </si>
  <si>
    <t>APVO</t>
  </si>
  <si>
    <t>APWC</t>
  </si>
  <si>
    <t>APXT</t>
  </si>
  <si>
    <t>APXTU</t>
  </si>
  <si>
    <t>APYX</t>
  </si>
  <si>
    <t>AQB</t>
  </si>
  <si>
    <t>AQMS</t>
  </si>
  <si>
    <t>AQST</t>
  </si>
  <si>
    <t>ARAV</t>
  </si>
  <si>
    <t>ARAY</t>
  </si>
  <si>
    <t>ARBG</t>
  </si>
  <si>
    <t>ARBGU</t>
  </si>
  <si>
    <t>ARCB</t>
  </si>
  <si>
    <t>ARCC</t>
  </si>
  <si>
    <t>ARCE</t>
  </si>
  <si>
    <t>ARCT</t>
  </si>
  <si>
    <t>ARDS</t>
  </si>
  <si>
    <t>ARDX</t>
  </si>
  <si>
    <t>AREC</t>
  </si>
  <si>
    <t>ARGX</t>
  </si>
  <si>
    <t>ARKO</t>
  </si>
  <si>
    <t>ARKR</t>
  </si>
  <si>
    <t>ARLP</t>
  </si>
  <si>
    <t>ARNA</t>
  </si>
  <si>
    <t>AROW</t>
  </si>
  <si>
    <t>ARPO</t>
  </si>
  <si>
    <t>ARQT</t>
  </si>
  <si>
    <t>ARRY</t>
  </si>
  <si>
    <t>ARTL</t>
  </si>
  <si>
    <t>ARTNA</t>
  </si>
  <si>
    <t>ARTW</t>
  </si>
  <si>
    <t>ARVN</t>
  </si>
  <si>
    <t>ARWR</t>
  </si>
  <si>
    <t>ARYD</t>
  </si>
  <si>
    <t>ASAXU</t>
  </si>
  <si>
    <t>ASLE</t>
  </si>
  <si>
    <t>ASLN</t>
  </si>
  <si>
    <t>ASMB</t>
  </si>
  <si>
    <t>ASML</t>
  </si>
  <si>
    <t>ASND</t>
  </si>
  <si>
    <t>ASO</t>
  </si>
  <si>
    <t>ASPCU</t>
  </si>
  <si>
    <t>ASPS</t>
  </si>
  <si>
    <t>ASPU</t>
  </si>
  <si>
    <t>ASRV</t>
  </si>
  <si>
    <t>ASRVP</t>
  </si>
  <si>
    <t>ASTC</t>
  </si>
  <si>
    <t>ASTE</t>
  </si>
  <si>
    <t>ASUR</t>
  </si>
  <si>
    <t>ASYS</t>
  </si>
  <si>
    <t>ATAX</t>
  </si>
  <si>
    <t>ATCX</t>
  </si>
  <si>
    <t>ATEC</t>
  </si>
  <si>
    <t>ATEX</t>
  </si>
  <si>
    <t>ATHA</t>
  </si>
  <si>
    <t>ATHE</t>
  </si>
  <si>
    <t>ATHX</t>
  </si>
  <si>
    <t>ATIF</t>
  </si>
  <si>
    <t>ATLC</t>
  </si>
  <si>
    <t>ATLO</t>
  </si>
  <si>
    <t>ATNF</t>
  </si>
  <si>
    <t>ATNI</t>
  </si>
  <si>
    <t>ATNX</t>
  </si>
  <si>
    <t>ATOS</t>
  </si>
  <si>
    <t>ATRA</t>
  </si>
  <si>
    <t>ATRC</t>
  </si>
  <si>
    <t>ATRI</t>
  </si>
  <si>
    <t>ATRO</t>
  </si>
  <si>
    <t>ATRS</t>
  </si>
  <si>
    <t>ATSG</t>
  </si>
  <si>
    <t>ATVI</t>
  </si>
  <si>
    <t>ATXI</t>
  </si>
  <si>
    <t>AUB</t>
  </si>
  <si>
    <t>AUBAP</t>
  </si>
  <si>
    <t>AUBN</t>
  </si>
  <si>
    <t>AUDC</t>
  </si>
  <si>
    <t>AUPH</t>
  </si>
  <si>
    <t>AUTL</t>
  </si>
  <si>
    <t>AUUD</t>
  </si>
  <si>
    <t>AUVI</t>
  </si>
  <si>
    <t>AVAV</t>
  </si>
  <si>
    <t>AVCO</t>
  </si>
  <si>
    <t>AVCT</t>
  </si>
  <si>
    <t>AVDL</t>
  </si>
  <si>
    <t>AVEO</t>
  </si>
  <si>
    <t>AVGO</t>
  </si>
  <si>
    <t>AVGOP</t>
  </si>
  <si>
    <t>AVGR</t>
  </si>
  <si>
    <t>AVID</t>
  </si>
  <si>
    <t>AVIR</t>
  </si>
  <si>
    <t>AVNW</t>
  </si>
  <si>
    <t>AVO</t>
  </si>
  <si>
    <t>AVRO</t>
  </si>
  <si>
    <t>AVT</t>
  </si>
  <si>
    <t>AVXL</t>
  </si>
  <si>
    <t>AWH</t>
  </si>
  <si>
    <t>AWRE</t>
  </si>
  <si>
    <t>AXAS</t>
  </si>
  <si>
    <t>AXDX</t>
  </si>
  <si>
    <t>AXGN</t>
  </si>
  <si>
    <t>AXLA</t>
  </si>
  <si>
    <t>AXNX</t>
  </si>
  <si>
    <t>AXON</t>
  </si>
  <si>
    <t>AXSM</t>
  </si>
  <si>
    <t>AXTI</t>
  </si>
  <si>
    <t>AY</t>
  </si>
  <si>
    <t>AYLA</t>
  </si>
  <si>
    <t>AYRO</t>
  </si>
  <si>
    <t>AYTU</t>
  </si>
  <si>
    <t>AZN</t>
  </si>
  <si>
    <t>AZPN</t>
  </si>
  <si>
    <t>AZRX</t>
  </si>
  <si>
    <t>AZYO</t>
  </si>
  <si>
    <t>BANF</t>
  </si>
  <si>
    <t>BANFP</t>
  </si>
  <si>
    <t>BANR</t>
  </si>
  <si>
    <t>BANX</t>
  </si>
  <si>
    <t>BAOS</t>
  </si>
  <si>
    <t>BATRA</t>
  </si>
  <si>
    <t>BATRK</t>
  </si>
  <si>
    <t>BBBY</t>
  </si>
  <si>
    <t>BBCP</t>
  </si>
  <si>
    <t>BBGI</t>
  </si>
  <si>
    <t>BBI</t>
  </si>
  <si>
    <t>BBIG</t>
  </si>
  <si>
    <t>BBIO</t>
  </si>
  <si>
    <t>BBQ</t>
  </si>
  <si>
    <t>BBSI</t>
  </si>
  <si>
    <t>BCAB</t>
  </si>
  <si>
    <t>BCAC</t>
  </si>
  <si>
    <t>BCBP</t>
  </si>
  <si>
    <t>BCDA</t>
  </si>
  <si>
    <t>BCEL</t>
  </si>
  <si>
    <t>BCLI</t>
  </si>
  <si>
    <t>BCOR</t>
  </si>
  <si>
    <t>BCOV</t>
  </si>
  <si>
    <t>BCOW</t>
  </si>
  <si>
    <t>BCPC</t>
  </si>
  <si>
    <t>BCRX</t>
  </si>
  <si>
    <t>BCTG</t>
  </si>
  <si>
    <t>BCTX</t>
  </si>
  <si>
    <t>BCYC</t>
  </si>
  <si>
    <t>BCYP</t>
  </si>
  <si>
    <t>BCYPU</t>
  </si>
  <si>
    <t>BDSI</t>
  </si>
  <si>
    <t>BDSX</t>
  </si>
  <si>
    <t>BDTX</t>
  </si>
  <si>
    <t>BEAM</t>
  </si>
  <si>
    <t>BECN</t>
  </si>
  <si>
    <t>BEEM</t>
  </si>
  <si>
    <t>BELFA</t>
  </si>
  <si>
    <t>BELFB</t>
  </si>
  <si>
    <t>BENE</t>
  </si>
  <si>
    <t>BENEU</t>
  </si>
  <si>
    <t>BFC</t>
  </si>
  <si>
    <t>BFI</t>
  </si>
  <si>
    <t>BFIN</t>
  </si>
  <si>
    <t>BFRA</t>
  </si>
  <si>
    <t>BFST</t>
  </si>
  <si>
    <t>BGCP</t>
  </si>
  <si>
    <t>BGFV</t>
  </si>
  <si>
    <t>BGNE</t>
  </si>
  <si>
    <t>BHAT</t>
  </si>
  <si>
    <t>BHF</t>
  </si>
  <si>
    <t>BHFAL</t>
  </si>
  <si>
    <t>BHFAN</t>
  </si>
  <si>
    <t>BHFAO</t>
  </si>
  <si>
    <t>BHFAP</t>
  </si>
  <si>
    <t>BHSE</t>
  </si>
  <si>
    <t>BHSEU</t>
  </si>
  <si>
    <t>BHTG</t>
  </si>
  <si>
    <t>BIDU</t>
  </si>
  <si>
    <t>BIGC</t>
  </si>
  <si>
    <t>BIIB</t>
  </si>
  <si>
    <t>BILI</t>
  </si>
  <si>
    <t>BIMI</t>
  </si>
  <si>
    <t>BIOC</t>
  </si>
  <si>
    <t>BIOL</t>
  </si>
  <si>
    <t>BIOTU</t>
  </si>
  <si>
    <t>BIVI</t>
  </si>
  <si>
    <t>BJRI</t>
  </si>
  <si>
    <t>BKCC</t>
  </si>
  <si>
    <t>BKEP</t>
  </si>
  <si>
    <t>BKEPP</t>
  </si>
  <si>
    <t>BKNG</t>
  </si>
  <si>
    <t>BKSC</t>
  </si>
  <si>
    <t>BKYI</t>
  </si>
  <si>
    <t>BL</t>
  </si>
  <si>
    <t>BLBD</t>
  </si>
  <si>
    <t>BLCM</t>
  </si>
  <si>
    <t>BLCT</t>
  </si>
  <si>
    <t>BLDP</t>
  </si>
  <si>
    <t>BLDR</t>
  </si>
  <si>
    <t>BLFS</t>
  </si>
  <si>
    <t>BLI</t>
  </si>
  <si>
    <t>BLIN</t>
  </si>
  <si>
    <t>BLKB</t>
  </si>
  <si>
    <t>BLMN</t>
  </si>
  <si>
    <t>BLNK</t>
  </si>
  <si>
    <t>BLPH</t>
  </si>
  <si>
    <t>BLRX</t>
  </si>
  <si>
    <t>BLSA</t>
  </si>
  <si>
    <t>BLTSU</t>
  </si>
  <si>
    <t>BLU</t>
  </si>
  <si>
    <t>BLUE</t>
  </si>
  <si>
    <t>BLUW</t>
  </si>
  <si>
    <t>BLUWU</t>
  </si>
  <si>
    <t>BMBL</t>
  </si>
  <si>
    <t>BMRA</t>
  </si>
  <si>
    <t>BMRC</t>
  </si>
  <si>
    <t>BMRN</t>
  </si>
  <si>
    <t>BMTC</t>
  </si>
  <si>
    <t>BNFT</t>
  </si>
  <si>
    <t>BNGO</t>
  </si>
  <si>
    <t>BNR</t>
  </si>
  <si>
    <t>BNSO</t>
  </si>
  <si>
    <t>BNTC</t>
  </si>
  <si>
    <t>BNTX</t>
  </si>
  <si>
    <t>BOCH</t>
  </si>
  <si>
    <t>BOKF</t>
  </si>
  <si>
    <t>BOKFL</t>
  </si>
  <si>
    <t>BOLT</t>
  </si>
  <si>
    <t>BOMN</t>
  </si>
  <si>
    <t>BOOM</t>
  </si>
  <si>
    <t>BOSC</t>
  </si>
  <si>
    <t>BOTJ</t>
  </si>
  <si>
    <t>BOWX</t>
  </si>
  <si>
    <t>BOWXU</t>
  </si>
  <si>
    <t>BOXL</t>
  </si>
  <si>
    <t>BPFH</t>
  </si>
  <si>
    <t>BPMC</t>
  </si>
  <si>
    <t>BPOP</t>
  </si>
  <si>
    <t>BPOPM</t>
  </si>
  <si>
    <t>BPOPN</t>
  </si>
  <si>
    <t>BPRN</t>
  </si>
  <si>
    <t>BPTH</t>
  </si>
  <si>
    <t>BPTS</t>
  </si>
  <si>
    <t>BPY</t>
  </si>
  <si>
    <t>BPYPN</t>
  </si>
  <si>
    <t>BPYPO</t>
  </si>
  <si>
    <t>BPYPP</t>
  </si>
  <si>
    <t>BPYU</t>
  </si>
  <si>
    <t>BPYUP</t>
  </si>
  <si>
    <t>BREZ</t>
  </si>
  <si>
    <t>BRID</t>
  </si>
  <si>
    <t>BRKL</t>
  </si>
  <si>
    <t>BRKR</t>
  </si>
  <si>
    <t>BRKS</t>
  </si>
  <si>
    <t>BRLI</t>
  </si>
  <si>
    <t>BRLIU</t>
  </si>
  <si>
    <t>BROG</t>
  </si>
  <si>
    <t>BRP</t>
  </si>
  <si>
    <t>BRPMU</t>
  </si>
  <si>
    <t>BRQS</t>
  </si>
  <si>
    <t>BRY</t>
  </si>
  <si>
    <t>BSBK</t>
  </si>
  <si>
    <t>BSET</t>
  </si>
  <si>
    <t>BSGM</t>
  </si>
  <si>
    <t>BSQR</t>
  </si>
  <si>
    <t>BSRR</t>
  </si>
  <si>
    <t>BSVN</t>
  </si>
  <si>
    <t>BSY</t>
  </si>
  <si>
    <t>BTAI</t>
  </si>
  <si>
    <t>BTAQ</t>
  </si>
  <si>
    <t>BTAQU</t>
  </si>
  <si>
    <t>BTBT</t>
  </si>
  <si>
    <t>BTNB</t>
  </si>
  <si>
    <t>BTRS</t>
  </si>
  <si>
    <t>BTWN</t>
  </si>
  <si>
    <t>BTWNU</t>
  </si>
  <si>
    <t>BUSE</t>
  </si>
  <si>
    <t>BVS</t>
  </si>
  <si>
    <t>BVXV</t>
  </si>
  <si>
    <t>BWAC</t>
  </si>
  <si>
    <t>BWACU</t>
  </si>
  <si>
    <t>BWAY</t>
  </si>
  <si>
    <t>BWB</t>
  </si>
  <si>
    <t>BWEN</t>
  </si>
  <si>
    <t>BWFG</t>
  </si>
  <si>
    <t>BWMX</t>
  </si>
  <si>
    <t>BXRX</t>
  </si>
  <si>
    <t>BYFC</t>
  </si>
  <si>
    <t>BYND</t>
  </si>
  <si>
    <t>BYSI</t>
  </si>
  <si>
    <t>BZUN</t>
  </si>
  <si>
    <t>CAAS</t>
  </si>
  <si>
    <t>CABA</t>
  </si>
  <si>
    <t>CAC</t>
  </si>
  <si>
    <t>CACC</t>
  </si>
  <si>
    <t>CAHCU</t>
  </si>
  <si>
    <t>CALA</t>
  </si>
  <si>
    <t>CALB</t>
  </si>
  <si>
    <t>CALM</t>
  </si>
  <si>
    <t>CALT</t>
  </si>
  <si>
    <t>CAMP</t>
  </si>
  <si>
    <t>CAMT</t>
  </si>
  <si>
    <t>CAN</t>
  </si>
  <si>
    <t>CAPA</t>
  </si>
  <si>
    <t>CAPR</t>
  </si>
  <si>
    <t>CAR</t>
  </si>
  <si>
    <t>CARA</t>
  </si>
  <si>
    <t>CARE</t>
  </si>
  <si>
    <t>CARG</t>
  </si>
  <si>
    <t>CARV</t>
  </si>
  <si>
    <t>CASA</t>
  </si>
  <si>
    <t>CASH</t>
  </si>
  <si>
    <t>CASI</t>
  </si>
  <si>
    <t>CASS</t>
  </si>
  <si>
    <t>CASY</t>
  </si>
  <si>
    <t>CATB</t>
  </si>
  <si>
    <t>CATC</t>
  </si>
  <si>
    <t>CATM</t>
  </si>
  <si>
    <t>CATY</t>
  </si>
  <si>
    <t>CBAN</t>
  </si>
  <si>
    <t>CBAT</t>
  </si>
  <si>
    <t>CBAY</t>
  </si>
  <si>
    <t>CBFV</t>
  </si>
  <si>
    <t>CBIO</t>
  </si>
  <si>
    <t>CBLI</t>
  </si>
  <si>
    <t>CBMB</t>
  </si>
  <si>
    <t>CBNK</t>
  </si>
  <si>
    <t>CBRL</t>
  </si>
  <si>
    <t>CBSH</t>
  </si>
  <si>
    <t>CBTX</t>
  </si>
  <si>
    <t>CCAP</t>
  </si>
  <si>
    <t>CCB</t>
  </si>
  <si>
    <t>CCBG</t>
  </si>
  <si>
    <t>CCCC</t>
  </si>
  <si>
    <t>CCD</t>
  </si>
  <si>
    <t>CCLP</t>
  </si>
  <si>
    <t>CCMP</t>
  </si>
  <si>
    <t>CCNC</t>
  </si>
  <si>
    <t>CCNE</t>
  </si>
  <si>
    <t>CCNEP</t>
  </si>
  <si>
    <t>CCOI</t>
  </si>
  <si>
    <t>CCRC</t>
  </si>
  <si>
    <t>CCRN</t>
  </si>
  <si>
    <t>CCXI</t>
  </si>
  <si>
    <t>CD</t>
  </si>
  <si>
    <t>CDAK</t>
  </si>
  <si>
    <t>CDEV</t>
  </si>
  <si>
    <t>CDK</t>
  </si>
  <si>
    <t>CDLX</t>
  </si>
  <si>
    <t>CDMO</t>
  </si>
  <si>
    <t>CDNA</t>
  </si>
  <si>
    <t>CDNS</t>
  </si>
  <si>
    <t>CDTX</t>
  </si>
  <si>
    <t>CDW</t>
  </si>
  <si>
    <t>CDXC</t>
  </si>
  <si>
    <t>CDXS</t>
  </si>
  <si>
    <t>CDZI</t>
  </si>
  <si>
    <t>CECE</t>
  </si>
  <si>
    <t>CELC</t>
  </si>
  <si>
    <t>CELH</t>
  </si>
  <si>
    <t>CEMI</t>
  </si>
  <si>
    <t>CENHU</t>
  </si>
  <si>
    <t>CENT</t>
  </si>
  <si>
    <t>CENTA</t>
  </si>
  <si>
    <t>CENX</t>
  </si>
  <si>
    <t>CERC</t>
  </si>
  <si>
    <t>CERE</t>
  </si>
  <si>
    <t>CERN</t>
  </si>
  <si>
    <t>CERS</t>
  </si>
  <si>
    <t>CERT</t>
  </si>
  <si>
    <t>CETX</t>
  </si>
  <si>
    <t>CETXP</t>
  </si>
  <si>
    <t>CEVA</t>
  </si>
  <si>
    <t>CFAC</t>
  </si>
  <si>
    <t>CFACU</t>
  </si>
  <si>
    <t>CFB</t>
  </si>
  <si>
    <t>CFBK</t>
  </si>
  <si>
    <t>CFFI</t>
  </si>
  <si>
    <t>CFFN</t>
  </si>
  <si>
    <t>CFIV</t>
  </si>
  <si>
    <t>CFMS</t>
  </si>
  <si>
    <t>CFRX</t>
  </si>
  <si>
    <t>CFVIU</t>
  </si>
  <si>
    <t>CG</t>
  </si>
  <si>
    <t>CGBD</t>
  </si>
  <si>
    <t>CGC</t>
  </si>
  <si>
    <t>CGEM</t>
  </si>
  <si>
    <t>CGEN</t>
  </si>
  <si>
    <t>CGNT</t>
  </si>
  <si>
    <t>CGNX</t>
  </si>
  <si>
    <t>CGO</t>
  </si>
  <si>
    <t>CHCI</t>
  </si>
  <si>
    <t>CHCO</t>
  </si>
  <si>
    <t>CHDN</t>
  </si>
  <si>
    <t>CHEF</t>
  </si>
  <si>
    <t>CHEK</t>
  </si>
  <si>
    <t>CHI</t>
  </si>
  <si>
    <t>CHK</t>
  </si>
  <si>
    <t>CHKP</t>
  </si>
  <si>
    <t>CHMA</t>
  </si>
  <si>
    <t>CHMG</t>
  </si>
  <si>
    <t>CHNG</t>
  </si>
  <si>
    <t>CHNGU</t>
  </si>
  <si>
    <t>CHNR</t>
  </si>
  <si>
    <t>CHPM</t>
  </si>
  <si>
    <t>CHPMU</t>
  </si>
  <si>
    <t>CHRS</t>
  </si>
  <si>
    <t>CHRW</t>
  </si>
  <si>
    <t>CHSCL</t>
  </si>
  <si>
    <t>CHSCM</t>
  </si>
  <si>
    <t>CHSCN</t>
  </si>
  <si>
    <t>CHSCO</t>
  </si>
  <si>
    <t>CHSCP</t>
  </si>
  <si>
    <t>CHTR</t>
  </si>
  <si>
    <t>CHUY</t>
  </si>
  <si>
    <t>CHW</t>
  </si>
  <si>
    <t>CHX</t>
  </si>
  <si>
    <t>CHY</t>
  </si>
  <si>
    <t>CIDM</t>
  </si>
  <si>
    <t>CIGI</t>
  </si>
  <si>
    <t>CINF</t>
  </si>
  <si>
    <t>CIVB</t>
  </si>
  <si>
    <t>CIZN</t>
  </si>
  <si>
    <t>CJJD</t>
  </si>
  <si>
    <t>CKPT</t>
  </si>
  <si>
    <t>CLAR</t>
  </si>
  <si>
    <t>CLBK</t>
  </si>
  <si>
    <t>CLBS</t>
  </si>
  <si>
    <t>CLDB</t>
  </si>
  <si>
    <t>CLDX</t>
  </si>
  <si>
    <t>CLEU</t>
  </si>
  <si>
    <t>CLFD</t>
  </si>
  <si>
    <t>CLGN</t>
  </si>
  <si>
    <t>CLIR</t>
  </si>
  <si>
    <t>CLLS</t>
  </si>
  <si>
    <t>CLMT</t>
  </si>
  <si>
    <t>CLNE</t>
  </si>
  <si>
    <t>CLNN</t>
  </si>
  <si>
    <t>CLOV</t>
  </si>
  <si>
    <t>CLPS</t>
  </si>
  <si>
    <t>CLPT</t>
  </si>
  <si>
    <t>CLRB</t>
  </si>
  <si>
    <t>CLRMU</t>
  </si>
  <si>
    <t>CLRO</t>
  </si>
  <si>
    <t>CLSD</t>
  </si>
  <si>
    <t>CLSK</t>
  </si>
  <si>
    <t>CLSN</t>
  </si>
  <si>
    <t>CLVR</t>
  </si>
  <si>
    <t>CLVS</t>
  </si>
  <si>
    <t>CLWT</t>
  </si>
  <si>
    <t>CLXT</t>
  </si>
  <si>
    <t>CMBM</t>
  </si>
  <si>
    <t>CMCO</t>
  </si>
  <si>
    <t>CMCSA</t>
  </si>
  <si>
    <t>CMCT</t>
  </si>
  <si>
    <t>CMCTP</t>
  </si>
  <si>
    <t>CME</t>
  </si>
  <si>
    <t>CMIIU</t>
  </si>
  <si>
    <t>CMLF</t>
  </si>
  <si>
    <t>CMLFU</t>
  </si>
  <si>
    <t>CMLS</t>
  </si>
  <si>
    <t>CMPI</t>
  </si>
  <si>
    <t>CMPR</t>
  </si>
  <si>
    <t>CMPS</t>
  </si>
  <si>
    <t>CMRX</t>
  </si>
  <si>
    <t>CMTL</t>
  </si>
  <si>
    <t>CNBKA</t>
  </si>
  <si>
    <t>CNCE</t>
  </si>
  <si>
    <t>CNDT</t>
  </si>
  <si>
    <t>CNET</t>
  </si>
  <si>
    <t>CNEY</t>
  </si>
  <si>
    <t>CNFR</t>
  </si>
  <si>
    <t>CNFRL</t>
  </si>
  <si>
    <t>CNNB</t>
  </si>
  <si>
    <t>CNOB</t>
  </si>
  <si>
    <t>CNSL</t>
  </si>
  <si>
    <t>CNSP</t>
  </si>
  <si>
    <t>CNST</t>
  </si>
  <si>
    <t>CNTG</t>
  </si>
  <si>
    <t>CNTY</t>
  </si>
  <si>
    <t>CNXC</t>
  </si>
  <si>
    <t>CNXN</t>
  </si>
  <si>
    <t>COCP</t>
  </si>
  <si>
    <t>CODA</t>
  </si>
  <si>
    <t>CODX</t>
  </si>
  <si>
    <t>COFS</t>
  </si>
  <si>
    <t>COGT</t>
  </si>
  <si>
    <t>COHR</t>
  </si>
  <si>
    <t>COHU</t>
  </si>
  <si>
    <t>COKE</t>
  </si>
  <si>
    <t>COLB</t>
  </si>
  <si>
    <t>COLIU</t>
  </si>
  <si>
    <t>COLL</t>
  </si>
  <si>
    <t>COLM</t>
  </si>
  <si>
    <t>COMM</t>
  </si>
  <si>
    <t>COMS</t>
  </si>
  <si>
    <t>CONE</t>
  </si>
  <si>
    <t>CONN</t>
  </si>
  <si>
    <t>CONX</t>
  </si>
  <si>
    <t>CONXU</t>
  </si>
  <si>
    <t>COOL</t>
  </si>
  <si>
    <t>COOP</t>
  </si>
  <si>
    <t>CORE</t>
  </si>
  <si>
    <t>CORT</t>
  </si>
  <si>
    <t>COST</t>
  </si>
  <si>
    <t>COUP</t>
  </si>
  <si>
    <t>COVAU</t>
  </si>
  <si>
    <t>COWN</t>
  </si>
  <si>
    <t>CPHC</t>
  </si>
  <si>
    <t>CPIX</t>
  </si>
  <si>
    <t>CPLP</t>
  </si>
  <si>
    <t>CPRT</t>
  </si>
  <si>
    <t>CPRX</t>
  </si>
  <si>
    <t>CPSH</t>
  </si>
  <si>
    <t>CPSI</t>
  </si>
  <si>
    <t>CPSS</t>
  </si>
  <si>
    <t>CPTA</t>
  </si>
  <si>
    <t>CPZ</t>
  </si>
  <si>
    <t>CRAI</t>
  </si>
  <si>
    <t>CRBP</t>
  </si>
  <si>
    <t>CRDF</t>
  </si>
  <si>
    <t>CREE</t>
  </si>
  <si>
    <t>CREG</t>
  </si>
  <si>
    <t>CRESY</t>
  </si>
  <si>
    <t>CREX</t>
  </si>
  <si>
    <t>CRIS</t>
  </si>
  <si>
    <t>CRKN</t>
  </si>
  <si>
    <t>CRMD</t>
  </si>
  <si>
    <t>CRMT</t>
  </si>
  <si>
    <t>CRNC</t>
  </si>
  <si>
    <t>CRNT</t>
  </si>
  <si>
    <t>CRNX</t>
  </si>
  <si>
    <t>CRON</t>
  </si>
  <si>
    <t>CROX</t>
  </si>
  <si>
    <t>CRSA</t>
  </si>
  <si>
    <t>CRSAU</t>
  </si>
  <si>
    <t>CRSP</t>
  </si>
  <si>
    <t>CRSR</t>
  </si>
  <si>
    <t>CRTD</t>
  </si>
  <si>
    <t>CRTO</t>
  </si>
  <si>
    <t>CRTX</t>
  </si>
  <si>
    <t>CRUS</t>
  </si>
  <si>
    <t>CRVL</t>
  </si>
  <si>
    <t>CRVS</t>
  </si>
  <si>
    <t>CRWD</t>
  </si>
  <si>
    <t>CRWS</t>
  </si>
  <si>
    <t>CSBR</t>
  </si>
  <si>
    <t>CSCO</t>
  </si>
  <si>
    <t>CSCW</t>
  </si>
  <si>
    <t>CSGP</t>
  </si>
  <si>
    <t>CSGS</t>
  </si>
  <si>
    <t>CSII</t>
  </si>
  <si>
    <t>CSIQ</t>
  </si>
  <si>
    <t>CSOD</t>
  </si>
  <si>
    <t>CSPI</t>
  </si>
  <si>
    <t>CSQ</t>
  </si>
  <si>
    <t>CSSE</t>
  </si>
  <si>
    <t>CSSEN</t>
  </si>
  <si>
    <t>CSSEP</t>
  </si>
  <si>
    <t>CSTE</t>
  </si>
  <si>
    <t>CSTL</t>
  </si>
  <si>
    <t>CSTR</t>
  </si>
  <si>
    <t>CSWC</t>
  </si>
  <si>
    <t>CSWI</t>
  </si>
  <si>
    <t>CSX</t>
  </si>
  <si>
    <t>CTAQ</t>
  </si>
  <si>
    <t>CTAQU</t>
  </si>
  <si>
    <t>CTAS</t>
  </si>
  <si>
    <t>CTBI</t>
  </si>
  <si>
    <t>CTG</t>
  </si>
  <si>
    <t>CTHR</t>
  </si>
  <si>
    <t>CTIB</t>
  </si>
  <si>
    <t>CTIC</t>
  </si>
  <si>
    <t>CTMX</t>
  </si>
  <si>
    <t>CTRE</t>
  </si>
  <si>
    <t>CTRM</t>
  </si>
  <si>
    <t>CTRN</t>
  </si>
  <si>
    <t>CTSH</t>
  </si>
  <si>
    <t>CTSO</t>
  </si>
  <si>
    <t>CTXR</t>
  </si>
  <si>
    <t>CTXS</t>
  </si>
  <si>
    <t>CUBA</t>
  </si>
  <si>
    <t>CUE</t>
  </si>
  <si>
    <t>CUEN</t>
  </si>
  <si>
    <t>CURI</t>
  </si>
  <si>
    <t>CUTR</t>
  </si>
  <si>
    <t>CVAC</t>
  </si>
  <si>
    <t>CVBF</t>
  </si>
  <si>
    <t>CVCO</t>
  </si>
  <si>
    <t>CVCY</t>
  </si>
  <si>
    <t>CVET</t>
  </si>
  <si>
    <t>CVGI</t>
  </si>
  <si>
    <t>CVGW</t>
  </si>
  <si>
    <t>CVLG</t>
  </si>
  <si>
    <t>CVLT</t>
  </si>
  <si>
    <t>CVLY</t>
  </si>
  <si>
    <t>CVV</t>
  </si>
  <si>
    <t>CWBC</t>
  </si>
  <si>
    <t>CWBR</t>
  </si>
  <si>
    <t>CWCO</t>
  </si>
  <si>
    <t>CWST</t>
  </si>
  <si>
    <t>CXDC</t>
  </si>
  <si>
    <t>CXDO</t>
  </si>
  <si>
    <t>CYAD</t>
  </si>
  <si>
    <t>CYAN</t>
  </si>
  <si>
    <t>CYBE</t>
  </si>
  <si>
    <t>CYBR</t>
  </si>
  <si>
    <t>CYCC</t>
  </si>
  <si>
    <t>CYCCP</t>
  </si>
  <si>
    <t>CYCN</t>
  </si>
  <si>
    <t>CYRN</t>
  </si>
  <si>
    <t>CYRX</t>
  </si>
  <si>
    <t>CYTH</t>
  </si>
  <si>
    <t>CYTK</t>
  </si>
  <si>
    <t>CZNC</t>
  </si>
  <si>
    <t>CZR</t>
  </si>
  <si>
    <t>CZWI</t>
  </si>
  <si>
    <t>DADA</t>
  </si>
  <si>
    <t>DAIO</t>
  </si>
  <si>
    <t>DAKT</t>
  </si>
  <si>
    <t>DARE</t>
  </si>
  <si>
    <t>DBDR</t>
  </si>
  <si>
    <t>DBDRU</t>
  </si>
  <si>
    <t>DBTX</t>
  </si>
  <si>
    <t>DBVT</t>
  </si>
  <si>
    <t>DBX</t>
  </si>
  <si>
    <t>DCBO</t>
  </si>
  <si>
    <t>DCOM</t>
  </si>
  <si>
    <t>DCOMP</t>
  </si>
  <si>
    <t>DCPH</t>
  </si>
  <si>
    <t>DCRB</t>
  </si>
  <si>
    <t>DCRBU</t>
  </si>
  <si>
    <t>DCRNU</t>
  </si>
  <si>
    <t>DCT</t>
  </si>
  <si>
    <t>DCTH</t>
  </si>
  <si>
    <t>DDMX</t>
  </si>
  <si>
    <t>DDMXU</t>
  </si>
  <si>
    <t>DDOG</t>
  </si>
  <si>
    <t>DENN</t>
  </si>
  <si>
    <t>DFFN</t>
  </si>
  <si>
    <t>DFH</t>
  </si>
  <si>
    <t>DFPH</t>
  </si>
  <si>
    <t>DFPHU</t>
  </si>
  <si>
    <t>DGICA</t>
  </si>
  <si>
    <t>DGICB</t>
  </si>
  <si>
    <t>DGII</t>
  </si>
  <si>
    <t>DGLY</t>
  </si>
  <si>
    <t>DGNS</t>
  </si>
  <si>
    <t>DHC</t>
  </si>
  <si>
    <t>DHCNI</t>
  </si>
  <si>
    <t>DHCNL</t>
  </si>
  <si>
    <t>DHHCU</t>
  </si>
  <si>
    <t>DHIL</t>
  </si>
  <si>
    <t>DIOD</t>
  </si>
  <si>
    <t>DISCA</t>
  </si>
  <si>
    <t>DISCB</t>
  </si>
  <si>
    <t>DISCK</t>
  </si>
  <si>
    <t>DISH</t>
  </si>
  <si>
    <t>DJCO</t>
  </si>
  <si>
    <t>DKNG</t>
  </si>
  <si>
    <t>DLCAU</t>
  </si>
  <si>
    <t>DLHC</t>
  </si>
  <si>
    <t>DLPN</t>
  </si>
  <si>
    <t>DLTH</t>
  </si>
  <si>
    <t>DLTR</t>
  </si>
  <si>
    <t>DMAC</t>
  </si>
  <si>
    <t>DMLP</t>
  </si>
  <si>
    <t>DMRC</t>
  </si>
  <si>
    <t>DMTK</t>
  </si>
  <si>
    <t>DNLI</t>
  </si>
  <si>
    <t>DOCU</t>
  </si>
  <si>
    <t>DOGZ</t>
  </si>
  <si>
    <t>DOMO</t>
  </si>
  <si>
    <t>DOOO</t>
  </si>
  <si>
    <t>DORM</t>
  </si>
  <si>
    <t>DOX</t>
  </si>
  <si>
    <t>DOYU</t>
  </si>
  <si>
    <t>DRIO</t>
  </si>
  <si>
    <t>DRNA</t>
  </si>
  <si>
    <t>DRRX</t>
  </si>
  <si>
    <t>DRTT</t>
  </si>
  <si>
    <t>DRVN</t>
  </si>
  <si>
    <t>DSAC</t>
  </si>
  <si>
    <t>DSACU</t>
  </si>
  <si>
    <t>DSGX</t>
  </si>
  <si>
    <t>DSKE</t>
  </si>
  <si>
    <t>DSP</t>
  </si>
  <si>
    <t>DSPG</t>
  </si>
  <si>
    <t>DSWL</t>
  </si>
  <si>
    <t>DTEA</t>
  </si>
  <si>
    <t>DTIL</t>
  </si>
  <si>
    <t>DTSS</t>
  </si>
  <si>
    <t>DUNE</t>
  </si>
  <si>
    <t>DUO</t>
  </si>
  <si>
    <t>DUOT</t>
  </si>
  <si>
    <t>DVAX</t>
  </si>
  <si>
    <t>DWSN</t>
  </si>
  <si>
    <t>DXCM</t>
  </si>
  <si>
    <t>DXPE</t>
  </si>
  <si>
    <t>DXYN</t>
  </si>
  <si>
    <t>DYAI</t>
  </si>
  <si>
    <t>DYN</t>
  </si>
  <si>
    <t>DYNT</t>
  </si>
  <si>
    <t>DZSI</t>
  </si>
  <si>
    <t>EA</t>
  </si>
  <si>
    <t>EACPU</t>
  </si>
  <si>
    <t>EAR</t>
  </si>
  <si>
    <t>EARS</t>
  </si>
  <si>
    <t>EAST</t>
  </si>
  <si>
    <t>EBAY</t>
  </si>
  <si>
    <t>EBC</t>
  </si>
  <si>
    <t>EBIX</t>
  </si>
  <si>
    <t>EBMT</t>
  </si>
  <si>
    <t>EBON</t>
  </si>
  <si>
    <t>EBSB</t>
  </si>
  <si>
    <t>EBTC</t>
  </si>
  <si>
    <t>ECHO</t>
  </si>
  <si>
    <t>ECOL</t>
  </si>
  <si>
    <t>ECOR</t>
  </si>
  <si>
    <t>ECPG</t>
  </si>
  <si>
    <t>EDAP</t>
  </si>
  <si>
    <t>EDIT</t>
  </si>
  <si>
    <t>EDRY</t>
  </si>
  <si>
    <t>EDSA</t>
  </si>
  <si>
    <t>EDTK</t>
  </si>
  <si>
    <t>EDTX</t>
  </si>
  <si>
    <t>EDTXU</t>
  </si>
  <si>
    <t>EDUC</t>
  </si>
  <si>
    <t>EEFT</t>
  </si>
  <si>
    <t>EFOI</t>
  </si>
  <si>
    <t>EFSC</t>
  </si>
  <si>
    <t>EGAN</t>
  </si>
  <si>
    <t>EGBN</t>
  </si>
  <si>
    <t>EGLE</t>
  </si>
  <si>
    <t>EGRX</t>
  </si>
  <si>
    <t>EH</t>
  </si>
  <si>
    <t>EHTH</t>
  </si>
  <si>
    <t>EIGR</t>
  </si>
  <si>
    <t>EJFAU</t>
  </si>
  <si>
    <t>EKSO</t>
  </si>
  <si>
    <t>ELDN</t>
  </si>
  <si>
    <t>ELOX</t>
  </si>
  <si>
    <t>ELSE</t>
  </si>
  <si>
    <t>ELTK</t>
  </si>
  <si>
    <t>ELYS</t>
  </si>
  <si>
    <t>EMCF</t>
  </si>
  <si>
    <t>EMKR</t>
  </si>
  <si>
    <t>EML</t>
  </si>
  <si>
    <t>ENDP</t>
  </si>
  <si>
    <t>ENFAU</t>
  </si>
  <si>
    <t>ENG</t>
  </si>
  <si>
    <t>ENLV</t>
  </si>
  <si>
    <t>ENNVU</t>
  </si>
  <si>
    <t>ENOB</t>
  </si>
  <si>
    <t>ENPH</t>
  </si>
  <si>
    <t>ENSG</t>
  </si>
  <si>
    <t>ENTA</t>
  </si>
  <si>
    <t>ENTG</t>
  </si>
  <si>
    <t>ENTX</t>
  </si>
  <si>
    <t>ENVB</t>
  </si>
  <si>
    <t>ENVIU</t>
  </si>
  <si>
    <t>EOLS</t>
  </si>
  <si>
    <t>EOSE</t>
  </si>
  <si>
    <t>EPAY</t>
  </si>
  <si>
    <t>EPHYU</t>
  </si>
  <si>
    <t>EPIX</t>
  </si>
  <si>
    <t>EPSN</t>
  </si>
  <si>
    <t>EPZM</t>
  </si>
  <si>
    <t>EQ</t>
  </si>
  <si>
    <t>EQBK</t>
  </si>
  <si>
    <t>EQIX</t>
  </si>
  <si>
    <t>EQOS</t>
  </si>
  <si>
    <t>ERES</t>
  </si>
  <si>
    <t>ERESU</t>
  </si>
  <si>
    <t>ERIC</t>
  </si>
  <si>
    <t>ERIE</t>
  </si>
  <si>
    <t>ERII</t>
  </si>
  <si>
    <t>ESBK</t>
  </si>
  <si>
    <t>ESCA</t>
  </si>
  <si>
    <t>ESEA</t>
  </si>
  <si>
    <t>ESGR</t>
  </si>
  <si>
    <t>ESGRO</t>
  </si>
  <si>
    <t>ESGRP</t>
  </si>
  <si>
    <t>ESLT</t>
  </si>
  <si>
    <t>ESPR</t>
  </si>
  <si>
    <t>ESQ</t>
  </si>
  <si>
    <t>ESSA</t>
  </si>
  <si>
    <t>ESSC</t>
  </si>
  <si>
    <t>ESSCU</t>
  </si>
  <si>
    <t>ESTA</t>
  </si>
  <si>
    <t>ESXB</t>
  </si>
  <si>
    <t>ETAC</t>
  </si>
  <si>
    <t>ETACU</t>
  </si>
  <si>
    <t>ETNB</t>
  </si>
  <si>
    <t>ETON</t>
  </si>
  <si>
    <t>ETSY</t>
  </si>
  <si>
    <t>ETTX</t>
  </si>
  <si>
    <t>EUCR</t>
  </si>
  <si>
    <t>EUCRU</t>
  </si>
  <si>
    <t>EVAX</t>
  </si>
  <si>
    <t>EVBG</t>
  </si>
  <si>
    <t>EVER</t>
  </si>
  <si>
    <t>EVFM</t>
  </si>
  <si>
    <t>EVGN</t>
  </si>
  <si>
    <t>EVK</t>
  </si>
  <si>
    <t>EVLO</t>
  </si>
  <si>
    <t>EVOJU</t>
  </si>
  <si>
    <t>EVOK</t>
  </si>
  <si>
    <t>EVOL</t>
  </si>
  <si>
    <t>EVOP</t>
  </si>
  <si>
    <t>EWBC</t>
  </si>
  <si>
    <t>EXAS</t>
  </si>
  <si>
    <t>EXC</t>
  </si>
  <si>
    <t>EXEL</t>
  </si>
  <si>
    <t>EXFO</t>
  </si>
  <si>
    <t>EXLS</t>
  </si>
  <si>
    <t>EXPD</t>
  </si>
  <si>
    <t>EXPE</t>
  </si>
  <si>
    <t>EXPI</t>
  </si>
  <si>
    <t>EXPO</t>
  </si>
  <si>
    <t>EXTR</t>
  </si>
  <si>
    <t>EYE</t>
  </si>
  <si>
    <t>EYEG</t>
  </si>
  <si>
    <t>EYEN</t>
  </si>
  <si>
    <t>EYES</t>
  </si>
  <si>
    <t>EYPT</t>
  </si>
  <si>
    <t>EZGO</t>
  </si>
  <si>
    <t>EZPW</t>
  </si>
  <si>
    <t>FAMI</t>
  </si>
  <si>
    <t>FANG</t>
  </si>
  <si>
    <t>FANH</t>
  </si>
  <si>
    <t>FARO</t>
  </si>
  <si>
    <t>FAST</t>
  </si>
  <si>
    <t>FAT</t>
  </si>
  <si>
    <t>FATBP</t>
  </si>
  <si>
    <t>FATE</t>
  </si>
  <si>
    <t>FB</t>
  </si>
  <si>
    <t>FBIO</t>
  </si>
  <si>
    <t>FBIOP</t>
  </si>
  <si>
    <t>FBIZ</t>
  </si>
  <si>
    <t>FBMS</t>
  </si>
  <si>
    <t>FBNC</t>
  </si>
  <si>
    <t>FBRX</t>
  </si>
  <si>
    <t>FCAC</t>
  </si>
  <si>
    <t>FCACU</t>
  </si>
  <si>
    <t>FCAP</t>
  </si>
  <si>
    <t>FCBC</t>
  </si>
  <si>
    <t>FCBP</t>
  </si>
  <si>
    <t>FCCO</t>
  </si>
  <si>
    <t>FCCY</t>
  </si>
  <si>
    <t>FCEL</t>
  </si>
  <si>
    <t>FCFS</t>
  </si>
  <si>
    <t>FCNCA</t>
  </si>
  <si>
    <t>FCNCP</t>
  </si>
  <si>
    <t>FCRD</t>
  </si>
  <si>
    <t>FDBC</t>
  </si>
  <si>
    <t>FDMT</t>
  </si>
  <si>
    <t>FDUS</t>
  </si>
  <si>
    <t>FDUSZ</t>
  </si>
  <si>
    <t>FEIM</t>
  </si>
  <si>
    <t>FELE</t>
  </si>
  <si>
    <t>FENC</t>
  </si>
  <si>
    <t>FEYE</t>
  </si>
  <si>
    <t>FFBC</t>
  </si>
  <si>
    <t>FFBW</t>
  </si>
  <si>
    <t>FFHL</t>
  </si>
  <si>
    <t>FFIC</t>
  </si>
  <si>
    <t>FFIN</t>
  </si>
  <si>
    <t>FFIV</t>
  </si>
  <si>
    <t>FFNW</t>
  </si>
  <si>
    <t>FFWM</t>
  </si>
  <si>
    <t>FGBI</t>
  </si>
  <si>
    <t>FGEN</t>
  </si>
  <si>
    <t>FGF</t>
  </si>
  <si>
    <t>FGFPP</t>
  </si>
  <si>
    <t>FHB</t>
  </si>
  <si>
    <t>FHTX</t>
  </si>
  <si>
    <t>FIBK</t>
  </si>
  <si>
    <t>FIII</t>
  </si>
  <si>
    <t>FIIIU</t>
  </si>
  <si>
    <t>FINMU</t>
  </si>
  <si>
    <t>FISI</t>
  </si>
  <si>
    <t>FISV</t>
  </si>
  <si>
    <t>FITB</t>
  </si>
  <si>
    <t>FITBI</t>
  </si>
  <si>
    <t>FITBO</t>
  </si>
  <si>
    <t>FITBP</t>
  </si>
  <si>
    <t>FIVE</t>
  </si>
  <si>
    <t>FIVN</t>
  </si>
  <si>
    <t>FIXX</t>
  </si>
  <si>
    <t>FIZZ</t>
  </si>
  <si>
    <t>FLAC</t>
  </si>
  <si>
    <t>FLACU</t>
  </si>
  <si>
    <t>FLDM</t>
  </si>
  <si>
    <t>FLEX</t>
  </si>
  <si>
    <t>FLGT</t>
  </si>
  <si>
    <t>FLIC</t>
  </si>
  <si>
    <t>FLL</t>
  </si>
  <si>
    <t>FLMN</t>
  </si>
  <si>
    <t>FLNT</t>
  </si>
  <si>
    <t>FLUX</t>
  </si>
  <si>
    <t>FLWS</t>
  </si>
  <si>
    <t>FLXN</t>
  </si>
  <si>
    <t>FLXS</t>
  </si>
  <si>
    <t>FMAO</t>
  </si>
  <si>
    <t>FMBH</t>
  </si>
  <si>
    <t>FMBI</t>
  </si>
  <si>
    <t>FMBIO</t>
  </si>
  <si>
    <t>FMBIP</t>
  </si>
  <si>
    <t>FMNB</t>
  </si>
  <si>
    <t>FMTX</t>
  </si>
  <si>
    <t>FNCB</t>
  </si>
  <si>
    <t>FNHC</t>
  </si>
  <si>
    <t>FNKO</t>
  </si>
  <si>
    <t>FNLC</t>
  </si>
  <si>
    <t>FNWB</t>
  </si>
  <si>
    <t>FOCS</t>
  </si>
  <si>
    <t>FOLD</t>
  </si>
  <si>
    <t>FONR</t>
  </si>
  <si>
    <t>FORD</t>
  </si>
  <si>
    <t>FOREU</t>
  </si>
  <si>
    <t>FORM</t>
  </si>
  <si>
    <t>FORR</t>
  </si>
  <si>
    <t>FORTY</t>
  </si>
  <si>
    <t>FOSL</t>
  </si>
  <si>
    <t>FOX</t>
  </si>
  <si>
    <t>FOXA</t>
  </si>
  <si>
    <t>FOXF</t>
  </si>
  <si>
    <t>FOXW</t>
  </si>
  <si>
    <t>FOXWU</t>
  </si>
  <si>
    <t>FPAY</t>
  </si>
  <si>
    <t>FRAF</t>
  </si>
  <si>
    <t>FRBA</t>
  </si>
  <si>
    <t>FRBK</t>
  </si>
  <si>
    <t>FREE</t>
  </si>
  <si>
    <t>FREQ</t>
  </si>
  <si>
    <t>FRG</t>
  </si>
  <si>
    <t>FRGAP</t>
  </si>
  <si>
    <t>FRGI</t>
  </si>
  <si>
    <t>FRHC</t>
  </si>
  <si>
    <t>FRLN</t>
  </si>
  <si>
    <t>FRME</t>
  </si>
  <si>
    <t>FROG</t>
  </si>
  <si>
    <t>FRPH</t>
  </si>
  <si>
    <t>FRPT</t>
  </si>
  <si>
    <t>FRSX</t>
  </si>
  <si>
    <t>FRTA</t>
  </si>
  <si>
    <t>FSBW</t>
  </si>
  <si>
    <t>FSEA</t>
  </si>
  <si>
    <t>FSFG</t>
  </si>
  <si>
    <t>FSII</t>
  </si>
  <si>
    <t>FSLR</t>
  </si>
  <si>
    <t>FSRXU</t>
  </si>
  <si>
    <t>FSSIU</t>
  </si>
  <si>
    <t>FSTR</t>
  </si>
  <si>
    <t>FSTX</t>
  </si>
  <si>
    <t>FSV</t>
  </si>
  <si>
    <t>FTAAU</t>
  </si>
  <si>
    <t>FTCV</t>
  </si>
  <si>
    <t>FTCVU</t>
  </si>
  <si>
    <t>FTDR</t>
  </si>
  <si>
    <t>FTEK</t>
  </si>
  <si>
    <t>FTFT</t>
  </si>
  <si>
    <t>FTHM</t>
  </si>
  <si>
    <t>FTIV</t>
  </si>
  <si>
    <t>FTIVU</t>
  </si>
  <si>
    <t>FTNT</t>
  </si>
  <si>
    <t>FTOC</t>
  </si>
  <si>
    <t>FTOCU</t>
  </si>
  <si>
    <t>FULC</t>
  </si>
  <si>
    <t>FULT</t>
  </si>
  <si>
    <t>FULTP</t>
  </si>
  <si>
    <t>FUNC</t>
  </si>
  <si>
    <t>FUND</t>
  </si>
  <si>
    <t>FUSB</t>
  </si>
  <si>
    <t>FUSN</t>
  </si>
  <si>
    <t>FUTU</t>
  </si>
  <si>
    <t>FUV</t>
  </si>
  <si>
    <t>FVAM</t>
  </si>
  <si>
    <t>FVCB</t>
  </si>
  <si>
    <t>FVE</t>
  </si>
  <si>
    <t>FWAA</t>
  </si>
  <si>
    <t>FWONA</t>
  </si>
  <si>
    <t>FWONK</t>
  </si>
  <si>
    <t>FWP</t>
  </si>
  <si>
    <t>FWRD</t>
  </si>
  <si>
    <t>FXNC</t>
  </si>
  <si>
    <t>GABC</t>
  </si>
  <si>
    <t>GAIA</t>
  </si>
  <si>
    <t>GAIN</t>
  </si>
  <si>
    <t>GAINL</t>
  </si>
  <si>
    <t>GALT</t>
  </si>
  <si>
    <t>GAN</t>
  </si>
  <si>
    <t>GASS</t>
  </si>
  <si>
    <t>GBCI</t>
  </si>
  <si>
    <t>GBDC</t>
  </si>
  <si>
    <t>GBIO</t>
  </si>
  <si>
    <t>GBLI</t>
  </si>
  <si>
    <t>GBLIL</t>
  </si>
  <si>
    <t>GBNY</t>
  </si>
  <si>
    <t>GBOX</t>
  </si>
  <si>
    <t>GBS</t>
  </si>
  <si>
    <t>GBT</t>
  </si>
  <si>
    <t>GCACU</t>
  </si>
  <si>
    <t>GCBC</t>
  </si>
  <si>
    <t>GCMG</t>
  </si>
  <si>
    <t>GDEN</t>
  </si>
  <si>
    <t>GDRX</t>
  </si>
  <si>
    <t>GDS</t>
  </si>
  <si>
    <t>GDYN</t>
  </si>
  <si>
    <t>GECC</t>
  </si>
  <si>
    <t>GECCN</t>
  </si>
  <si>
    <t>GEG</t>
  </si>
  <si>
    <t>GENC</t>
  </si>
  <si>
    <t>GENE</t>
  </si>
  <si>
    <t>GEOS</t>
  </si>
  <si>
    <t>GERN</t>
  </si>
  <si>
    <t>GEVO</t>
  </si>
  <si>
    <t>GFED</t>
  </si>
  <si>
    <t>GFNCP</t>
  </si>
  <si>
    <t>GFNSZ</t>
  </si>
  <si>
    <t>GGAL</t>
  </si>
  <si>
    <t>GH</t>
  </si>
  <si>
    <t>GHACU</t>
  </si>
  <si>
    <t>GHSI</t>
  </si>
  <si>
    <t>GHVI</t>
  </si>
  <si>
    <t>GHVIU</t>
  </si>
  <si>
    <t>GIFI</t>
  </si>
  <si>
    <t>GIGGU</t>
  </si>
  <si>
    <t>GIGM</t>
  </si>
  <si>
    <t>GIII</t>
  </si>
  <si>
    <t>GIIXU</t>
  </si>
  <si>
    <t>GILD</t>
  </si>
  <si>
    <t>GILT</t>
  </si>
  <si>
    <t>GLAD</t>
  </si>
  <si>
    <t>GLADL</t>
  </si>
  <si>
    <t>GLAQ</t>
  </si>
  <si>
    <t>GLAQU</t>
  </si>
  <si>
    <t>GLBLU</t>
  </si>
  <si>
    <t>GLBS</t>
  </si>
  <si>
    <t>GLBZ</t>
  </si>
  <si>
    <t>GLDD</t>
  </si>
  <si>
    <t>GLG</t>
  </si>
  <si>
    <t>GLMD</t>
  </si>
  <si>
    <t>GLNG</t>
  </si>
  <si>
    <t>GLPG</t>
  </si>
  <si>
    <t>GLPI</t>
  </si>
  <si>
    <t>GLRE</t>
  </si>
  <si>
    <t>GLSI</t>
  </si>
  <si>
    <t>GLTO</t>
  </si>
  <si>
    <t>GLYC</t>
  </si>
  <si>
    <t>GMAB</t>
  </si>
  <si>
    <t>GMBL</t>
  </si>
  <si>
    <t>GMBTU</t>
  </si>
  <si>
    <t>GMDA</t>
  </si>
  <si>
    <t>GMIIU</t>
  </si>
  <si>
    <t>GMTX</t>
  </si>
  <si>
    <t>GNACU</t>
  </si>
  <si>
    <t>GNCA</t>
  </si>
  <si>
    <t>GNFT</t>
  </si>
  <si>
    <t>GNLN</t>
  </si>
  <si>
    <t>GNOG</t>
  </si>
  <si>
    <t>GNPX</t>
  </si>
  <si>
    <t>GNRS</t>
  </si>
  <si>
    <t>GNRSU</t>
  </si>
  <si>
    <t>GNSS</t>
  </si>
  <si>
    <t>GNTX</t>
  </si>
  <si>
    <t>GNUS</t>
  </si>
  <si>
    <t>GO</t>
  </si>
  <si>
    <t>GOCO</t>
  </si>
  <si>
    <t>GOEV</t>
  </si>
  <si>
    <t>GOGL</t>
  </si>
  <si>
    <t>GOGO</t>
  </si>
  <si>
    <t>GOOD</t>
  </si>
  <si>
    <t>GOODM</t>
  </si>
  <si>
    <t>GOODN</t>
  </si>
  <si>
    <t>GOOG</t>
  </si>
  <si>
    <t>GOOGL</t>
  </si>
  <si>
    <t>GOSS</t>
  </si>
  <si>
    <t>GOVX</t>
  </si>
  <si>
    <t>GP</t>
  </si>
  <si>
    <t>GPP</t>
  </si>
  <si>
    <t>GPRE</t>
  </si>
  <si>
    <t>GPRO</t>
  </si>
  <si>
    <t>GRAY</t>
  </si>
  <si>
    <t>GRBK</t>
  </si>
  <si>
    <t>GRCL</t>
  </si>
  <si>
    <t>GRCY</t>
  </si>
  <si>
    <t>GRCYU</t>
  </si>
  <si>
    <t>GRFS</t>
  </si>
  <si>
    <t>GRIL</t>
  </si>
  <si>
    <t>GRIN</t>
  </si>
  <si>
    <t>GRMN</t>
  </si>
  <si>
    <t>GRNQ</t>
  </si>
  <si>
    <t>GRNV</t>
  </si>
  <si>
    <t>GRNVU</t>
  </si>
  <si>
    <t>GROW</t>
  </si>
  <si>
    <t>GRPN</t>
  </si>
  <si>
    <t>GRSV</t>
  </si>
  <si>
    <t>GRSVU</t>
  </si>
  <si>
    <t>GRTS</t>
  </si>
  <si>
    <t>GRTX</t>
  </si>
  <si>
    <t>GRVY</t>
  </si>
  <si>
    <t>GRWG</t>
  </si>
  <si>
    <t>GSAQU</t>
  </si>
  <si>
    <t>GSBC</t>
  </si>
  <si>
    <t>GSEVU</t>
  </si>
  <si>
    <t>GSHD</t>
  </si>
  <si>
    <t>GSIT</t>
  </si>
  <si>
    <t>GSKY</t>
  </si>
  <si>
    <t>GSM</t>
  </si>
  <si>
    <t>GSMG</t>
  </si>
  <si>
    <t>GTBP</t>
  </si>
  <si>
    <t>GTEC</t>
  </si>
  <si>
    <t>GTH</t>
  </si>
  <si>
    <t>GTHX</t>
  </si>
  <si>
    <t>GTIM</t>
  </si>
  <si>
    <t>GTYH</t>
  </si>
  <si>
    <t>GURE</t>
  </si>
  <si>
    <t>GVP</t>
  </si>
  <si>
    <t>GWAC</t>
  </si>
  <si>
    <t>GWGH</t>
  </si>
  <si>
    <t>GWRS</t>
  </si>
  <si>
    <t>GXGX</t>
  </si>
  <si>
    <t>GXGXU</t>
  </si>
  <si>
    <t>GYRO</t>
  </si>
  <si>
    <t>HA</t>
  </si>
  <si>
    <t>HAAC</t>
  </si>
  <si>
    <t>HAACU</t>
  </si>
  <si>
    <t>HAFC</t>
  </si>
  <si>
    <t>HAIN</t>
  </si>
  <si>
    <t>HALL</t>
  </si>
  <si>
    <t>HALO</t>
  </si>
  <si>
    <t>HAPP</t>
  </si>
  <si>
    <t>HARP</t>
  </si>
  <si>
    <t>HAS</t>
  </si>
  <si>
    <t>HAYN</t>
  </si>
  <si>
    <t>HBAN</t>
  </si>
  <si>
    <t>HBANN</t>
  </si>
  <si>
    <t>HBANO</t>
  </si>
  <si>
    <t>HBCP</t>
  </si>
  <si>
    <t>HBIO</t>
  </si>
  <si>
    <t>HBMD</t>
  </si>
  <si>
    <t>HBNC</t>
  </si>
  <si>
    <t>HBP</t>
  </si>
  <si>
    <t>HBT</t>
  </si>
  <si>
    <t>HCAQ</t>
  </si>
  <si>
    <t>HCAR</t>
  </si>
  <si>
    <t>HCARU</t>
  </si>
  <si>
    <t>HCAT</t>
  </si>
  <si>
    <t>HCCCU</t>
  </si>
  <si>
    <t>HCCI</t>
  </si>
  <si>
    <t>HCDI</t>
  </si>
  <si>
    <t>HCICU</t>
  </si>
  <si>
    <t>HCIIU</t>
  </si>
  <si>
    <t>HCKT</t>
  </si>
  <si>
    <t>HCM</t>
  </si>
  <si>
    <t>HCSG</t>
  </si>
  <si>
    <t>HDSN</t>
  </si>
  <si>
    <t>HEAR</t>
  </si>
  <si>
    <t>HEC</t>
  </si>
  <si>
    <t>HECCU</t>
  </si>
  <si>
    <t>HEES</t>
  </si>
  <si>
    <t>HELE</t>
  </si>
  <si>
    <t>HEPA</t>
  </si>
  <si>
    <t>HFBL</t>
  </si>
  <si>
    <t>HFFG</t>
  </si>
  <si>
    <t>HFWA</t>
  </si>
  <si>
    <t>HGBL</t>
  </si>
  <si>
    <t>HGEN</t>
  </si>
  <si>
    <t>HGSH</t>
  </si>
  <si>
    <t>HHR</t>
  </si>
  <si>
    <t>HIBB</t>
  </si>
  <si>
    <t>HIFS</t>
  </si>
  <si>
    <t>HIHO</t>
  </si>
  <si>
    <t>HIIIU</t>
  </si>
  <si>
    <t>HIMX</t>
  </si>
  <si>
    <t>HJLI</t>
  </si>
  <si>
    <t>HLAHU</t>
  </si>
  <si>
    <t>HLG</t>
  </si>
  <si>
    <t>HLIO</t>
  </si>
  <si>
    <t>HLIT</t>
  </si>
  <si>
    <t>HLNE</t>
  </si>
  <si>
    <t>HLXA</t>
  </si>
  <si>
    <t>HMCO</t>
  </si>
  <si>
    <t>HMCOU</t>
  </si>
  <si>
    <t>HMHC</t>
  </si>
  <si>
    <t>HMNF</t>
  </si>
  <si>
    <t>HMPT</t>
  </si>
  <si>
    <t>HMST</t>
  </si>
  <si>
    <t>HMTV</t>
  </si>
  <si>
    <t>HNNA</t>
  </si>
  <si>
    <t>HNRG</t>
  </si>
  <si>
    <t>HOFT</t>
  </si>
  <si>
    <t>HOFV</t>
  </si>
  <si>
    <t>HOL</t>
  </si>
  <si>
    <t>HOLI</t>
  </si>
  <si>
    <t>HOLUU</t>
  </si>
  <si>
    <t>HOLX</t>
  </si>
  <si>
    <t>HOMB</t>
  </si>
  <si>
    <t>HONE</t>
  </si>
  <si>
    <t>HOOK</t>
  </si>
  <si>
    <t>HOPE</t>
  </si>
  <si>
    <t>HOTH</t>
  </si>
  <si>
    <t>HOVNP</t>
  </si>
  <si>
    <t>HPK</t>
  </si>
  <si>
    <t>HQI</t>
  </si>
  <si>
    <t>HQY</t>
  </si>
  <si>
    <t>HRMY</t>
  </si>
  <si>
    <t>HROW</t>
  </si>
  <si>
    <t>HRTX</t>
  </si>
  <si>
    <t>HRZN</t>
  </si>
  <si>
    <t>HSAQ</t>
  </si>
  <si>
    <t>HSDT</t>
  </si>
  <si>
    <t>HSIC</t>
  </si>
  <si>
    <t>HSII</t>
  </si>
  <si>
    <t>HSKA</t>
  </si>
  <si>
    <t>HSON</t>
  </si>
  <si>
    <t>HST</t>
  </si>
  <si>
    <t>HSTM</t>
  </si>
  <si>
    <t>HSTO</t>
  </si>
  <si>
    <t>HTBI</t>
  </si>
  <si>
    <t>HTBK</t>
  </si>
  <si>
    <t>HTBX</t>
  </si>
  <si>
    <t>HTGM</t>
  </si>
  <si>
    <t>HTHT</t>
  </si>
  <si>
    <t>HTIA</t>
  </si>
  <si>
    <t>HTLD</t>
  </si>
  <si>
    <t>HTLF</t>
  </si>
  <si>
    <t>HTLFP</t>
  </si>
  <si>
    <t>HTOO</t>
  </si>
  <si>
    <t>HUBG</t>
  </si>
  <si>
    <t>HUDI</t>
  </si>
  <si>
    <t>HUGE</t>
  </si>
  <si>
    <t>HUIZ</t>
  </si>
  <si>
    <t>HURC</t>
  </si>
  <si>
    <t>HURN</t>
  </si>
  <si>
    <t>HUSN</t>
  </si>
  <si>
    <t>HVBC</t>
  </si>
  <si>
    <t>HWBK</t>
  </si>
  <si>
    <t>HWC</t>
  </si>
  <si>
    <t>HWCC</t>
  </si>
  <si>
    <t>HWCPZ</t>
  </si>
  <si>
    <t>HWKN</t>
  </si>
  <si>
    <t>HX</t>
  </si>
  <si>
    <t>HYFM</t>
  </si>
  <si>
    <t>HYMC</t>
  </si>
  <si>
    <t>HYRE</t>
  </si>
  <si>
    <t>HZNP</t>
  </si>
  <si>
    <t>IAC</t>
  </si>
  <si>
    <t>IART</t>
  </si>
  <si>
    <t>IBCP</t>
  </si>
  <si>
    <t>IBEX</t>
  </si>
  <si>
    <t>IBKR</t>
  </si>
  <si>
    <t>IBOC</t>
  </si>
  <si>
    <t>IBTX</t>
  </si>
  <si>
    <t>ICAD</t>
  </si>
  <si>
    <t>ICBK</t>
  </si>
  <si>
    <t>ICCC</t>
  </si>
  <si>
    <t>ICCH</t>
  </si>
  <si>
    <t>ICFI</t>
  </si>
  <si>
    <t>ICHR</t>
  </si>
  <si>
    <t>ICLK</t>
  </si>
  <si>
    <t>ICLR</t>
  </si>
  <si>
    <t>ICMB</t>
  </si>
  <si>
    <t>ICON</t>
  </si>
  <si>
    <t>ICPT</t>
  </si>
  <si>
    <t>ICUI</t>
  </si>
  <si>
    <t>IDCC</t>
  </si>
  <si>
    <t>IDEX</t>
  </si>
  <si>
    <t>IDN</t>
  </si>
  <si>
    <t>IDRA</t>
  </si>
  <si>
    <t>IDXX</t>
  </si>
  <si>
    <t>IDYA</t>
  </si>
  <si>
    <t>IEA</t>
  </si>
  <si>
    <t>IEC</t>
  </si>
  <si>
    <t>IEP</t>
  </si>
  <si>
    <t>IESC</t>
  </si>
  <si>
    <t>IFMK</t>
  </si>
  <si>
    <t>IFRX</t>
  </si>
  <si>
    <t>IGAC</t>
  </si>
  <si>
    <t>IGACU</t>
  </si>
  <si>
    <t>IGIC</t>
  </si>
  <si>
    <t>IGMS</t>
  </si>
  <si>
    <t>IGNYU</t>
  </si>
  <si>
    <t>IHRT</t>
  </si>
  <si>
    <t>III</t>
  </si>
  <si>
    <t>IIII</t>
  </si>
  <si>
    <t>IIIIU</t>
  </si>
  <si>
    <t>IIIV</t>
  </si>
  <si>
    <t>IIN</t>
  </si>
  <si>
    <t>IIVI</t>
  </si>
  <si>
    <t>IIVIP</t>
  </si>
  <si>
    <t>IKNX</t>
  </si>
  <si>
    <t>IKT</t>
  </si>
  <si>
    <t>ILMN</t>
  </si>
  <si>
    <t>ILPT</t>
  </si>
  <si>
    <t>IMAB</t>
  </si>
  <si>
    <t>IMAC</t>
  </si>
  <si>
    <t>IMBI</t>
  </si>
  <si>
    <t>IMCR</t>
  </si>
  <si>
    <t>IMGN</t>
  </si>
  <si>
    <t>IMKTA</t>
  </si>
  <si>
    <t>IMMP</t>
  </si>
  <si>
    <t>IMMR</t>
  </si>
  <si>
    <t>IMNM</t>
  </si>
  <si>
    <t>IMOS</t>
  </si>
  <si>
    <t>IMRA</t>
  </si>
  <si>
    <t>IMRN</t>
  </si>
  <si>
    <t>IMTE</t>
  </si>
  <si>
    <t>IMTX</t>
  </si>
  <si>
    <t>IMUX</t>
  </si>
  <si>
    <t>IMV</t>
  </si>
  <si>
    <t>IMVT</t>
  </si>
  <si>
    <t>IMXI</t>
  </si>
  <si>
    <t>INBK</t>
  </si>
  <si>
    <t>INBKL</t>
  </si>
  <si>
    <t>INBKZ</t>
  </si>
  <si>
    <t>INBX</t>
  </si>
  <si>
    <t>INCY</t>
  </si>
  <si>
    <t>INDB</t>
  </si>
  <si>
    <t>INDT</t>
  </si>
  <si>
    <t>INFI</t>
  </si>
  <si>
    <t>INFN</t>
  </si>
  <si>
    <t>INGN</t>
  </si>
  <si>
    <t>INKAU</t>
  </si>
  <si>
    <t>INM</t>
  </si>
  <si>
    <t>INMB</t>
  </si>
  <si>
    <t>INMD</t>
  </si>
  <si>
    <t>INO</t>
  </si>
  <si>
    <t>INOD</t>
  </si>
  <si>
    <t>INOV</t>
  </si>
  <si>
    <t>INPX</t>
  </si>
  <si>
    <t>INSE</t>
  </si>
  <si>
    <t>INSG</t>
  </si>
  <si>
    <t>INSM</t>
  </si>
  <si>
    <t>INTC</t>
  </si>
  <si>
    <t>INTG</t>
  </si>
  <si>
    <t>INTU</t>
  </si>
  <si>
    <t>INTZ</t>
  </si>
  <si>
    <t>INVA</t>
  </si>
  <si>
    <t>INVE</t>
  </si>
  <si>
    <t>INVO</t>
  </si>
  <si>
    <t>INZY</t>
  </si>
  <si>
    <t>IONS</t>
  </si>
  <si>
    <t>IOSP</t>
  </si>
  <si>
    <t>IOVA</t>
  </si>
  <si>
    <t>IPA</t>
  </si>
  <si>
    <t>IPAR</t>
  </si>
  <si>
    <t>IPDN</t>
  </si>
  <si>
    <t>IPGP</t>
  </si>
  <si>
    <t>IPHA</t>
  </si>
  <si>
    <t>IPLDP</t>
  </si>
  <si>
    <t>IPWR</t>
  </si>
  <si>
    <t>IQ</t>
  </si>
  <si>
    <t>IRBT</t>
  </si>
  <si>
    <t>IRCP</t>
  </si>
  <si>
    <t>IRDM</t>
  </si>
  <si>
    <t>IRIX</t>
  </si>
  <si>
    <t>IRMD</t>
  </si>
  <si>
    <t>IROQ</t>
  </si>
  <si>
    <t>IRTC</t>
  </si>
  <si>
    <t>IRWD</t>
  </si>
  <si>
    <t>ISBC</t>
  </si>
  <si>
    <t>ISEE</t>
  </si>
  <si>
    <t>ISIG</t>
  </si>
  <si>
    <t>ISNS</t>
  </si>
  <si>
    <t>ISRG</t>
  </si>
  <si>
    <t>ISSC</t>
  </si>
  <si>
    <t>ISTR</t>
  </si>
  <si>
    <t>ISUN</t>
  </si>
  <si>
    <t>ITAC</t>
  </si>
  <si>
    <t>ITACU</t>
  </si>
  <si>
    <t>ITCI</t>
  </si>
  <si>
    <t>ITHXU</t>
  </si>
  <si>
    <t>ITI</t>
  </si>
  <si>
    <t>ITIC</t>
  </si>
  <si>
    <t>ITMR</t>
  </si>
  <si>
    <t>ITOS</t>
  </si>
  <si>
    <t>ITQRU</t>
  </si>
  <si>
    <t>ITRI</t>
  </si>
  <si>
    <t>ITRM</t>
  </si>
  <si>
    <t>ITRN</t>
  </si>
  <si>
    <t>IVA</t>
  </si>
  <si>
    <t>IVAC</t>
  </si>
  <si>
    <t>IZEA</t>
  </si>
  <si>
    <t>JACK</t>
  </si>
  <si>
    <t>JAGX</t>
  </si>
  <si>
    <t>JAKK</t>
  </si>
  <si>
    <t>JAMF</t>
  </si>
  <si>
    <t>JAN</t>
  </si>
  <si>
    <t>JAZZ</t>
  </si>
  <si>
    <t>JBHT</t>
  </si>
  <si>
    <t>JBLU</t>
  </si>
  <si>
    <t>JBSS</t>
  </si>
  <si>
    <t>JCICU</t>
  </si>
  <si>
    <t>JCOM</t>
  </si>
  <si>
    <t>JCS</t>
  </si>
  <si>
    <t>JCTCF</t>
  </si>
  <si>
    <t>JD</t>
  </si>
  <si>
    <t>JFIN</t>
  </si>
  <si>
    <t>JFU</t>
  </si>
  <si>
    <t>JG</t>
  </si>
  <si>
    <t>JJSF</t>
  </si>
  <si>
    <t>JKHY</t>
  </si>
  <si>
    <t>JMPNL</t>
  </si>
  <si>
    <t>JMPNZ</t>
  </si>
  <si>
    <t>JNCE</t>
  </si>
  <si>
    <t>JOBS</t>
  </si>
  <si>
    <t>JOFFU</t>
  </si>
  <si>
    <t>JOUT</t>
  </si>
  <si>
    <t>JRJC</t>
  </si>
  <si>
    <t>JRSH</t>
  </si>
  <si>
    <t>JRVR</t>
  </si>
  <si>
    <t>JSM</t>
  </si>
  <si>
    <t>JUPW</t>
  </si>
  <si>
    <t>JVA</t>
  </si>
  <si>
    <t>JYAC</t>
  </si>
  <si>
    <t>JYNT</t>
  </si>
  <si>
    <t>KAIIU</t>
  </si>
  <si>
    <t>KAIR</t>
  </si>
  <si>
    <t>KAIRU</t>
  </si>
  <si>
    <t>KALA</t>
  </si>
  <si>
    <t>KALU</t>
  </si>
  <si>
    <t>KALV</t>
  </si>
  <si>
    <t>KBAL</t>
  </si>
  <si>
    <t>KBNT</t>
  </si>
  <si>
    <t>KBSF</t>
  </si>
  <si>
    <t>KC</t>
  </si>
  <si>
    <t>KDMN</t>
  </si>
  <si>
    <t>KDNY</t>
  </si>
  <si>
    <t>KDP</t>
  </si>
  <si>
    <t>KE</t>
  </si>
  <si>
    <t>KELYA</t>
  </si>
  <si>
    <t>KELYB</t>
  </si>
  <si>
    <t>KEQU</t>
  </si>
  <si>
    <t>KERN</t>
  </si>
  <si>
    <t>KFFB</t>
  </si>
  <si>
    <t>KFRC</t>
  </si>
  <si>
    <t>KHC</t>
  </si>
  <si>
    <t>KIDS</t>
  </si>
  <si>
    <t>KIIIU</t>
  </si>
  <si>
    <t>KIN</t>
  </si>
  <si>
    <t>KINS</t>
  </si>
  <si>
    <t>KINZ</t>
  </si>
  <si>
    <t>KINZU</t>
  </si>
  <si>
    <t>KIRK</t>
  </si>
  <si>
    <t>KLAC</t>
  </si>
  <si>
    <t>KLAQU</t>
  </si>
  <si>
    <t>KLDO</t>
  </si>
  <si>
    <t>R$ 50,00</t>
  </si>
  <si>
    <t>KLIC</t>
  </si>
  <si>
    <t>KLXE</t>
  </si>
  <si>
    <t>KMDA</t>
  </si>
  <si>
    <t>KMPH</t>
  </si>
  <si>
    <t>KNDI</t>
  </si>
  <si>
    <t>KNSA</t>
  </si>
  <si>
    <t>KNSL</t>
  </si>
  <si>
    <t>KNTE</t>
  </si>
  <si>
    <t>KOD</t>
  </si>
  <si>
    <t>KOPN</t>
  </si>
  <si>
    <t>KOR</t>
  </si>
  <si>
    <t>KOSS</t>
  </si>
  <si>
    <t>KPTI</t>
  </si>
  <si>
    <t>KRBP</t>
  </si>
  <si>
    <t>KRKR</t>
  </si>
  <si>
    <t>KRMD</t>
  </si>
  <si>
    <t>KRNLU</t>
  </si>
  <si>
    <t>KRNT</t>
  </si>
  <si>
    <t>KRNY</t>
  </si>
  <si>
    <t>KRON</t>
  </si>
  <si>
    <t>KROS</t>
  </si>
  <si>
    <t>KRTX</t>
  </si>
  <si>
    <t>KRUS</t>
  </si>
  <si>
    <t>KRYS</t>
  </si>
  <si>
    <t>KSMT</t>
  </si>
  <si>
    <t>KSMTU</t>
  </si>
  <si>
    <t>KSPN</t>
  </si>
  <si>
    <t>KTCC</t>
  </si>
  <si>
    <t>KTOS</t>
  </si>
  <si>
    <t>KTRA</t>
  </si>
  <si>
    <t>KURA</t>
  </si>
  <si>
    <t>KVHI</t>
  </si>
  <si>
    <t>KXIN</t>
  </si>
  <si>
    <t>KYMR</t>
  </si>
  <si>
    <t>KZIA</t>
  </si>
  <si>
    <t>KZR</t>
  </si>
  <si>
    <t>LABP</t>
  </si>
  <si>
    <t>LAKE</t>
  </si>
  <si>
    <t>LAMR</t>
  </si>
  <si>
    <t>LANC</t>
  </si>
  <si>
    <t>LAND</t>
  </si>
  <si>
    <t>LANDM</t>
  </si>
  <si>
    <t>LANDO</t>
  </si>
  <si>
    <t>LARK</t>
  </si>
  <si>
    <t>LASR</t>
  </si>
  <si>
    <t>LATN</t>
  </si>
  <si>
    <t>LAUR</t>
  </si>
  <si>
    <t>LAWS</t>
  </si>
  <si>
    <t>LAZR</t>
  </si>
  <si>
    <t>LAZY</t>
  </si>
  <si>
    <t>LBAI</t>
  </si>
  <si>
    <t>LBRDA</t>
  </si>
  <si>
    <t>LBRDK</t>
  </si>
  <si>
    <t>LBRDP</t>
  </si>
  <si>
    <t>LBTYA</t>
  </si>
  <si>
    <t>LBTYB</t>
  </si>
  <si>
    <t>LBTYK</t>
  </si>
  <si>
    <t>LCAP</t>
  </si>
  <si>
    <t>LCAPU</t>
  </si>
  <si>
    <t>LCNB</t>
  </si>
  <si>
    <t>LCUT</t>
  </si>
  <si>
    <t>LCY</t>
  </si>
  <si>
    <t>LCYAU</t>
  </si>
  <si>
    <t>LE</t>
  </si>
  <si>
    <t>LECO</t>
  </si>
  <si>
    <t>LEDS</t>
  </si>
  <si>
    <t>LEGH</t>
  </si>
  <si>
    <t>LEGN</t>
  </si>
  <si>
    <t>LEGOU</t>
  </si>
  <si>
    <t>LESL</t>
  </si>
  <si>
    <t>LEVL</t>
  </si>
  <si>
    <t>LEVLP</t>
  </si>
  <si>
    <t>LEXX</t>
  </si>
  <si>
    <t>LFMD</t>
  </si>
  <si>
    <t>LFTR</t>
  </si>
  <si>
    <t>LFTRU</t>
  </si>
  <si>
    <t>LFUS</t>
  </si>
  <si>
    <t>LFVN</t>
  </si>
  <si>
    <t>LGACU</t>
  </si>
  <si>
    <t>LGHL</t>
  </si>
  <si>
    <t>LGHLW</t>
  </si>
  <si>
    <t>LGIH</t>
  </si>
  <si>
    <t>LGND</t>
  </si>
  <si>
    <t>LGVN</t>
  </si>
  <si>
    <t>LHCG</t>
  </si>
  <si>
    <t>LHDX</t>
  </si>
  <si>
    <t>LI</t>
  </si>
  <si>
    <t>LIFE</t>
  </si>
  <si>
    <t>LILA</t>
  </si>
  <si>
    <t>LILAK</t>
  </si>
  <si>
    <t>LINC</t>
  </si>
  <si>
    <t>LIND</t>
  </si>
  <si>
    <t>LIQT</t>
  </si>
  <si>
    <t>LITE</t>
  </si>
  <si>
    <t>LIVE</t>
  </si>
  <si>
    <t>LIVK</t>
  </si>
  <si>
    <t>LIVKU</t>
  </si>
  <si>
    <t>LIVN</t>
  </si>
  <si>
    <t>LIVX</t>
  </si>
  <si>
    <t>LIXT</t>
  </si>
  <si>
    <t>LIZI</t>
  </si>
  <si>
    <t>LJAQU</t>
  </si>
  <si>
    <t>LJPC</t>
  </si>
  <si>
    <t>LKCO</t>
  </si>
  <si>
    <t>LKFN</t>
  </si>
  <si>
    <t>LKQ</t>
  </si>
  <si>
    <t>LLNW</t>
  </si>
  <si>
    <t>LMAOU</t>
  </si>
  <si>
    <t>LMAT</t>
  </si>
  <si>
    <t>LMB</t>
  </si>
  <si>
    <t>LMFA</t>
  </si>
  <si>
    <t>LMNL</t>
  </si>
  <si>
    <t>LMNR</t>
  </si>
  <si>
    <t>LMNX</t>
  </si>
  <si>
    <t>LMPX</t>
  </si>
  <si>
    <t>LMRK</t>
  </si>
  <si>
    <t>LMRKN</t>
  </si>
  <si>
    <t>LMRKO</t>
  </si>
  <si>
    <t>LMRKP</t>
  </si>
  <si>
    <t>LMST</t>
  </si>
  <si>
    <t>LNDC</t>
  </si>
  <si>
    <t>LNSR</t>
  </si>
  <si>
    <t>LNT</t>
  </si>
  <si>
    <t>LNTH</t>
  </si>
  <si>
    <t>LOAN</t>
  </si>
  <si>
    <t>LOB</t>
  </si>
  <si>
    <t>LOCO</t>
  </si>
  <si>
    <t>LOGC</t>
  </si>
  <si>
    <t>LOGI</t>
  </si>
  <si>
    <t>LOOP</t>
  </si>
  <si>
    <t>LOPE</t>
  </si>
  <si>
    <t>LORL</t>
  </si>
  <si>
    <t>LOTZ</t>
  </si>
  <si>
    <t>LOVE</t>
  </si>
  <si>
    <t>LPCN</t>
  </si>
  <si>
    <t>LPLA</t>
  </si>
  <si>
    <t>LPRO</t>
  </si>
  <si>
    <t>LPSN</t>
  </si>
  <si>
    <t>LPTH</t>
  </si>
  <si>
    <t>LPTX</t>
  </si>
  <si>
    <t>LQDA</t>
  </si>
  <si>
    <t>LQDT</t>
  </si>
  <si>
    <t>LRCX</t>
  </si>
  <si>
    <t>LRMR</t>
  </si>
  <si>
    <t>LSAQ</t>
  </si>
  <si>
    <t>LSBK</t>
  </si>
  <si>
    <t>LSCC</t>
  </si>
  <si>
    <t>LSEA</t>
  </si>
  <si>
    <t>LSTR</t>
  </si>
  <si>
    <t>LSXMA</t>
  </si>
  <si>
    <t>LSXMB</t>
  </si>
  <si>
    <t>LSXMK</t>
  </si>
  <si>
    <t>LTBR</t>
  </si>
  <si>
    <t>LTRN</t>
  </si>
  <si>
    <t>LTRPA</t>
  </si>
  <si>
    <t>LTRPB</t>
  </si>
  <si>
    <t>LTRX</t>
  </si>
  <si>
    <t>LULU</t>
  </si>
  <si>
    <t>LUMO</t>
  </si>
  <si>
    <t>LUNG</t>
  </si>
  <si>
    <t>LUXA</t>
  </si>
  <si>
    <t>LUXAU</t>
  </si>
  <si>
    <t>LWACU</t>
  </si>
  <si>
    <t>LWAY</t>
  </si>
  <si>
    <t>LX</t>
  </si>
  <si>
    <t>LXEH</t>
  </si>
  <si>
    <t>LXRX</t>
  </si>
  <si>
    <t>LYFT</t>
  </si>
  <si>
    <t>LYL</t>
  </si>
  <si>
    <t>LYRA</t>
  </si>
  <si>
    <t>LYTS</t>
  </si>
  <si>
    <t>MAAC</t>
  </si>
  <si>
    <t>MAACU</t>
  </si>
  <si>
    <t>MACAU</t>
  </si>
  <si>
    <t>MACK</t>
  </si>
  <si>
    <t>MACQU</t>
  </si>
  <si>
    <t>MACU</t>
  </si>
  <si>
    <t>MACUU</t>
  </si>
  <si>
    <t>MAGS</t>
  </si>
  <si>
    <t>MANH</t>
  </si>
  <si>
    <t>MANT</t>
  </si>
  <si>
    <t>MAR</t>
  </si>
  <si>
    <t>MARA</t>
  </si>
  <si>
    <t>MARK</t>
  </si>
  <si>
    <t>MASI</t>
  </si>
  <si>
    <t>MASS</t>
  </si>
  <si>
    <t>MAT</t>
  </si>
  <si>
    <t>MATW</t>
  </si>
  <si>
    <t>MAXN</t>
  </si>
  <si>
    <t>MAYS</t>
  </si>
  <si>
    <t>MBCN</t>
  </si>
  <si>
    <t>MBII</t>
  </si>
  <si>
    <t>MBIN</t>
  </si>
  <si>
    <t>MBINO</t>
  </si>
  <si>
    <t>MBINP</t>
  </si>
  <si>
    <t>MBIO</t>
  </si>
  <si>
    <t>MBNKP</t>
  </si>
  <si>
    <t>MBOT</t>
  </si>
  <si>
    <t>MBRX</t>
  </si>
  <si>
    <t>MBUU</t>
  </si>
  <si>
    <t>MBWM</t>
  </si>
  <si>
    <t>MCADU</t>
  </si>
  <si>
    <t>MCBC</t>
  </si>
  <si>
    <t>MCFE</t>
  </si>
  <si>
    <t>MCFT</t>
  </si>
  <si>
    <t>MCHP</t>
  </si>
  <si>
    <t>MCHX</t>
  </si>
  <si>
    <t>MCMJ</t>
  </si>
  <si>
    <t>MCRB</t>
  </si>
  <si>
    <t>MCRI</t>
  </si>
  <si>
    <t>MDB</t>
  </si>
  <si>
    <t>MDCA</t>
  </si>
  <si>
    <t>MDGL</t>
  </si>
  <si>
    <t>MDGS</t>
  </si>
  <si>
    <t>MDIA</t>
  </si>
  <si>
    <t>MDJH</t>
  </si>
  <si>
    <t>MDLZ</t>
  </si>
  <si>
    <t>MDNA</t>
  </si>
  <si>
    <t>MDRR</t>
  </si>
  <si>
    <t>MDRRP</t>
  </si>
  <si>
    <t>MDRX</t>
  </si>
  <si>
    <t>MDVL</t>
  </si>
  <si>
    <t>MDWD</t>
  </si>
  <si>
    <t>MDWT</t>
  </si>
  <si>
    <t>MDXG</t>
  </si>
  <si>
    <t>MEDP</t>
  </si>
  <si>
    <t>MEDS</t>
  </si>
  <si>
    <t>MEIP</t>
  </si>
  <si>
    <t>MELI</t>
  </si>
  <si>
    <t>MEOH</t>
  </si>
  <si>
    <t>MERC</t>
  </si>
  <si>
    <t>MESA</t>
  </si>
  <si>
    <t>MESO</t>
  </si>
  <si>
    <t>METC</t>
  </si>
  <si>
    <t>METX</t>
  </si>
  <si>
    <t>MFH</t>
  </si>
  <si>
    <t>MFIN</t>
  </si>
  <si>
    <t>MFNC</t>
  </si>
  <si>
    <t>MGEE</t>
  </si>
  <si>
    <t>MGI</t>
  </si>
  <si>
    <t>MGIC</t>
  </si>
  <si>
    <t>MGLN</t>
  </si>
  <si>
    <t>MGNI</t>
  </si>
  <si>
    <t>MGNX</t>
  </si>
  <si>
    <t>MGPI</t>
  </si>
  <si>
    <t>MGRC</t>
  </si>
  <si>
    <t>MGTA</t>
  </si>
  <si>
    <t>MGTX</t>
  </si>
  <si>
    <t>MGYR</t>
  </si>
  <si>
    <t>MHLD</t>
  </si>
  <si>
    <t>MICT</t>
  </si>
  <si>
    <t>MIDD</t>
  </si>
  <si>
    <t>MILE</t>
  </si>
  <si>
    <t>MIME</t>
  </si>
  <si>
    <t>MIND</t>
  </si>
  <si>
    <t>MINDP</t>
  </si>
  <si>
    <t>MIRM</t>
  </si>
  <si>
    <t>MIST</t>
  </si>
  <si>
    <t>MITK</t>
  </si>
  <si>
    <t>MITO</t>
  </si>
  <si>
    <t>MKD</t>
  </si>
  <si>
    <t>MKGI</t>
  </si>
  <si>
    <t>MKSI</t>
  </si>
  <si>
    <t>MKTX</t>
  </si>
  <si>
    <t>MLAB</t>
  </si>
  <si>
    <t>MLAC</t>
  </si>
  <si>
    <t>MLACU</t>
  </si>
  <si>
    <t>MLCO</t>
  </si>
  <si>
    <t>MLHR</t>
  </si>
  <si>
    <t>MLND</t>
  </si>
  <si>
    <t>MLVF</t>
  </si>
  <si>
    <t>MMAC</t>
  </si>
  <si>
    <t>MMLP</t>
  </si>
  <si>
    <t>MMSI</t>
  </si>
  <si>
    <t>MMYT</t>
  </si>
  <si>
    <t>MNDO</t>
  </si>
  <si>
    <t>MNKD</t>
  </si>
  <si>
    <t>MNOV</t>
  </si>
  <si>
    <t>MNPR</t>
  </si>
  <si>
    <t>MNRO</t>
  </si>
  <si>
    <t>MNSB</t>
  </si>
  <si>
    <t>MNSBP</t>
  </si>
  <si>
    <t>MNST</t>
  </si>
  <si>
    <t>MNTK</t>
  </si>
  <si>
    <t>MNTX</t>
  </si>
  <si>
    <t>MODV</t>
  </si>
  <si>
    <t>MOFG</t>
  </si>
  <si>
    <t>MOGO</t>
  </si>
  <si>
    <t>MOHO</t>
  </si>
  <si>
    <t>MOMO</t>
  </si>
  <si>
    <t>MOR</t>
  </si>
  <si>
    <t>MORF</t>
  </si>
  <si>
    <t>MORN</t>
  </si>
  <si>
    <t>MOSY</t>
  </si>
  <si>
    <t>MOTN</t>
  </si>
  <si>
    <t>MOTNU</t>
  </si>
  <si>
    <t>MOTS</t>
  </si>
  <si>
    <t>MOXC</t>
  </si>
  <si>
    <t>MPAA</t>
  </si>
  <si>
    <t>MPB</t>
  </si>
  <si>
    <t>MPWR</t>
  </si>
  <si>
    <t>MRAC</t>
  </si>
  <si>
    <t>MRACU</t>
  </si>
  <si>
    <t>MRAM</t>
  </si>
  <si>
    <t>MRBK</t>
  </si>
  <si>
    <t>MRCC</t>
  </si>
  <si>
    <t>MRCY</t>
  </si>
  <si>
    <t>MREO</t>
  </si>
  <si>
    <t>MRIN</t>
  </si>
  <si>
    <t>MRKR</t>
  </si>
  <si>
    <t>MRLN</t>
  </si>
  <si>
    <t>MRM</t>
  </si>
  <si>
    <t>MRNA</t>
  </si>
  <si>
    <t>MRNS</t>
  </si>
  <si>
    <t>MRSN</t>
  </si>
  <si>
    <t>MRTN</t>
  </si>
  <si>
    <t>MRTX</t>
  </si>
  <si>
    <t>MRUS</t>
  </si>
  <si>
    <t>MRVI</t>
  </si>
  <si>
    <t>MRVL</t>
  </si>
  <si>
    <t>MSBI</t>
  </si>
  <si>
    <t>MSEX</t>
  </si>
  <si>
    <t>MSFT</t>
  </si>
  <si>
    <t>MSGM</t>
  </si>
  <si>
    <t>MSON</t>
  </si>
  <si>
    <t>MSTR</t>
  </si>
  <si>
    <t>MSVB</t>
  </si>
  <si>
    <t>MTAC</t>
  </si>
  <si>
    <t>MTACU</t>
  </si>
  <si>
    <t>MTBC</t>
  </si>
  <si>
    <t>MTBCP</t>
  </si>
  <si>
    <t>MTC</t>
  </si>
  <si>
    <t>MTCH</t>
  </si>
  <si>
    <t>MTCR</t>
  </si>
  <si>
    <t>MTEM</t>
  </si>
  <si>
    <t>MTEX</t>
  </si>
  <si>
    <t>MTLS</t>
  </si>
  <si>
    <t>MTP</t>
  </si>
  <si>
    <t>MTRX</t>
  </si>
  <si>
    <t>MTSI</t>
  </si>
  <si>
    <t>MTSL</t>
  </si>
  <si>
    <t>MU</t>
  </si>
  <si>
    <t>MUDS</t>
  </si>
  <si>
    <t>MUDSU</t>
  </si>
  <si>
    <t>MVBF</t>
  </si>
  <si>
    <t>MVIS</t>
  </si>
  <si>
    <t>MXIM</t>
  </si>
  <si>
    <t>MYFW</t>
  </si>
  <si>
    <t>MYGN</t>
  </si>
  <si>
    <t>MYRG</t>
  </si>
  <si>
    <t>MYSZ</t>
  </si>
  <si>
    <t>MYT</t>
  </si>
  <si>
    <t>NAII</t>
  </si>
  <si>
    <t>NAKD</t>
  </si>
  <si>
    <t>NAOV</t>
  </si>
  <si>
    <t>NARI</t>
  </si>
  <si>
    <t>NATH</t>
  </si>
  <si>
    <t>NATI</t>
  </si>
  <si>
    <t>NATR</t>
  </si>
  <si>
    <t>NAVI</t>
  </si>
  <si>
    <t>NBEV</t>
  </si>
  <si>
    <t>NBIX</t>
  </si>
  <si>
    <t>NBN</t>
  </si>
  <si>
    <t>NBRV</t>
  </si>
  <si>
    <t>NBSE</t>
  </si>
  <si>
    <t>NBTB</t>
  </si>
  <si>
    <t>NBTX</t>
  </si>
  <si>
    <t>NCBS</t>
  </si>
  <si>
    <t>NCMI</t>
  </si>
  <si>
    <t>NCNA</t>
  </si>
  <si>
    <t>NCNO</t>
  </si>
  <si>
    <t>NCSM</t>
  </si>
  <si>
    <t>NCTY</t>
  </si>
  <si>
    <t>NDAQ</t>
  </si>
  <si>
    <t>NDLS</t>
  </si>
  <si>
    <t>NDRA</t>
  </si>
  <si>
    <t>NDSN</t>
  </si>
  <si>
    <t>NEBC</t>
  </si>
  <si>
    <t>NEBCU</t>
  </si>
  <si>
    <t>NEOG</t>
  </si>
  <si>
    <t>NEON</t>
  </si>
  <si>
    <t>NEPH</t>
  </si>
  <si>
    <t>NEPT</t>
  </si>
  <si>
    <t>NERV</t>
  </si>
  <si>
    <t>NESR</t>
  </si>
  <si>
    <t>NETE</t>
  </si>
  <si>
    <t>NEWA</t>
  </si>
  <si>
    <t>NEWT</t>
  </si>
  <si>
    <t>NEWTL</t>
  </si>
  <si>
    <t>NEWTZ</t>
  </si>
  <si>
    <t>NEXI</t>
  </si>
  <si>
    <t>NEXT</t>
  </si>
  <si>
    <t>NFBK</t>
  </si>
  <si>
    <t>NFE</t>
  </si>
  <si>
    <t>NFLX</t>
  </si>
  <si>
    <t>NGAC</t>
  </si>
  <si>
    <t>NGACU</t>
  </si>
  <si>
    <t>NGM</t>
  </si>
  <si>
    <t>NGMS</t>
  </si>
  <si>
    <t>NH</t>
  </si>
  <si>
    <t>NHIC</t>
  </si>
  <si>
    <t>NHICU</t>
  </si>
  <si>
    <t>NHTC</t>
  </si>
  <si>
    <t>NICE</t>
  </si>
  <si>
    <t>NICK</t>
  </si>
  <si>
    <t>NISN</t>
  </si>
  <si>
    <t>NIU</t>
  </si>
  <si>
    <t>NKLA</t>
  </si>
  <si>
    <t>NKSH</t>
  </si>
  <si>
    <t>NKTR</t>
  </si>
  <si>
    <t>NKTX</t>
  </si>
  <si>
    <t>NLOK</t>
  </si>
  <si>
    <t>NLSP</t>
  </si>
  <si>
    <t>NLTX</t>
  </si>
  <si>
    <t>NMFC</t>
  </si>
  <si>
    <t>NMIH</t>
  </si>
  <si>
    <t>NMMC</t>
  </si>
  <si>
    <t>NMMCU</t>
  </si>
  <si>
    <t>NMRD</t>
  </si>
  <si>
    <t>NMRK</t>
  </si>
  <si>
    <t>NMTR</t>
  </si>
  <si>
    <t>NNBR</t>
  </si>
  <si>
    <t>NNDM</t>
  </si>
  <si>
    <t>NNOX</t>
  </si>
  <si>
    <t>NOAC</t>
  </si>
  <si>
    <t>NOACU</t>
  </si>
  <si>
    <t>NODK</t>
  </si>
  <si>
    <t>NOVN</t>
  </si>
  <si>
    <t>NOVT</t>
  </si>
  <si>
    <t>NRACU</t>
  </si>
  <si>
    <t>NRBO</t>
  </si>
  <si>
    <t>NRC</t>
  </si>
  <si>
    <t>NRIM</t>
  </si>
  <si>
    <t>NRIX</t>
  </si>
  <si>
    <t>NSEC</t>
  </si>
  <si>
    <t>NSIT</t>
  </si>
  <si>
    <t>NSSC</t>
  </si>
  <si>
    <t>NSTG</t>
  </si>
  <si>
    <t>NSYS</t>
  </si>
  <si>
    <t>NTAP</t>
  </si>
  <si>
    <t>NTCT</t>
  </si>
  <si>
    <t>NTEC</t>
  </si>
  <si>
    <t>NTES</t>
  </si>
  <si>
    <t>NTGR</t>
  </si>
  <si>
    <t>NTIC</t>
  </si>
  <si>
    <t>NTLA</t>
  </si>
  <si>
    <t>NTNX</t>
  </si>
  <si>
    <t>NTRA</t>
  </si>
  <si>
    <t>NTRS</t>
  </si>
  <si>
    <t>NTRSO</t>
  </si>
  <si>
    <t>NTUS</t>
  </si>
  <si>
    <t>NTWK</t>
  </si>
  <si>
    <t>NUAN</t>
  </si>
  <si>
    <t>NURO</t>
  </si>
  <si>
    <t>NUVA</t>
  </si>
  <si>
    <t>NUZE</t>
  </si>
  <si>
    <t>NVAX</t>
  </si>
  <si>
    <t>NVCN</t>
  </si>
  <si>
    <t>NVCR</t>
  </si>
  <si>
    <t>NVDA</t>
  </si>
  <si>
    <t>NVEC</t>
  </si>
  <si>
    <t>NVEE</t>
  </si>
  <si>
    <t>NVFY</t>
  </si>
  <si>
    <t>NVIV</t>
  </si>
  <si>
    <t>NVMI</t>
  </si>
  <si>
    <t>NVSAU</t>
  </si>
  <si>
    <t>NWBI</t>
  </si>
  <si>
    <t>NWE</t>
  </si>
  <si>
    <t>NWFL</t>
  </si>
  <si>
    <t>NWL</t>
  </si>
  <si>
    <t>NWLI</t>
  </si>
  <si>
    <t>NWPX</t>
  </si>
  <si>
    <t>NWS</t>
  </si>
  <si>
    <t>NWSA</t>
  </si>
  <si>
    <t>NXGN</t>
  </si>
  <si>
    <t>NXPI</t>
  </si>
  <si>
    <t>NXST</t>
  </si>
  <si>
    <t>NXTC</t>
  </si>
  <si>
    <t>NXTD</t>
  </si>
  <si>
    <t>NYMT</t>
  </si>
  <si>
    <t>NYMTM</t>
  </si>
  <si>
    <t>NYMTN</t>
  </si>
  <si>
    <t>NYMTO</t>
  </si>
  <si>
    <t>NYMX</t>
  </si>
  <si>
    <t>OAS</t>
  </si>
  <si>
    <t>OBAS</t>
  </si>
  <si>
    <t>OBCI</t>
  </si>
  <si>
    <t>OBLG</t>
  </si>
  <si>
    <t>OBLN</t>
  </si>
  <si>
    <t>OBSV</t>
  </si>
  <si>
    <t>OCAXU</t>
  </si>
  <si>
    <t>OCC</t>
  </si>
  <si>
    <t>OCCI</t>
  </si>
  <si>
    <t>OCCIP</t>
  </si>
  <si>
    <t>OCDX</t>
  </si>
  <si>
    <t>OCFC</t>
  </si>
  <si>
    <t>OCFCP</t>
  </si>
  <si>
    <t>OCG</t>
  </si>
  <si>
    <t>OCGN</t>
  </si>
  <si>
    <t>OCSL</t>
  </si>
  <si>
    <t>OCUL</t>
  </si>
  <si>
    <t>OCUP</t>
  </si>
  <si>
    <t>ODFL</t>
  </si>
  <si>
    <t>ODP</t>
  </si>
  <si>
    <t>ODT</t>
  </si>
  <si>
    <t>OEG</t>
  </si>
  <si>
    <t>OESX</t>
  </si>
  <si>
    <t>OFED</t>
  </si>
  <si>
    <t>OFIX</t>
  </si>
  <si>
    <t>OFLX</t>
  </si>
  <si>
    <t>OFS</t>
  </si>
  <si>
    <t>OFSSG</t>
  </si>
  <si>
    <t>OGI</t>
  </si>
  <si>
    <t>OIIM</t>
  </si>
  <si>
    <t>OKTA</t>
  </si>
  <si>
    <t>OLB</t>
  </si>
  <si>
    <t>OLED</t>
  </si>
  <si>
    <t>OLLI</t>
  </si>
  <si>
    <t>OLMA</t>
  </si>
  <si>
    <t>OM</t>
  </si>
  <si>
    <t>OMAB</t>
  </si>
  <si>
    <t>OMCL</t>
  </si>
  <si>
    <t>OMEG</t>
  </si>
  <si>
    <t>OMER</t>
  </si>
  <si>
    <t>OMEX</t>
  </si>
  <si>
    <t>OMP</t>
  </si>
  <si>
    <t>ON</t>
  </si>
  <si>
    <t>ONB</t>
  </si>
  <si>
    <t>ONCR</t>
  </si>
  <si>
    <t>ONCS</t>
  </si>
  <si>
    <t>ONCT</t>
  </si>
  <si>
    <t>ONCY</t>
  </si>
  <si>
    <t>ONDS</t>
  </si>
  <si>
    <t>ONEM</t>
  </si>
  <si>
    <t>ONEW</t>
  </si>
  <si>
    <t>ONTX</t>
  </si>
  <si>
    <t>ONVO</t>
  </si>
  <si>
    <t>OPCH</t>
  </si>
  <si>
    <t>OPEN</t>
  </si>
  <si>
    <t>OPGN</t>
  </si>
  <si>
    <t>OPHC</t>
  </si>
  <si>
    <t>OPI</t>
  </si>
  <si>
    <t>OPINI</t>
  </si>
  <si>
    <t>OPINL</t>
  </si>
  <si>
    <t>OPK</t>
  </si>
  <si>
    <t>OPNT</t>
  </si>
  <si>
    <t>OPOF</t>
  </si>
  <si>
    <t>OPRA</t>
  </si>
  <si>
    <t>OPRT</t>
  </si>
  <si>
    <t>OPRX</t>
  </si>
  <si>
    <t>OPT</t>
  </si>
  <si>
    <t>OPTN</t>
  </si>
  <si>
    <t>OPTT</t>
  </si>
  <si>
    <t>ORBC</t>
  </si>
  <si>
    <t>ORGO</t>
  </si>
  <si>
    <t>ORGS</t>
  </si>
  <si>
    <t>ORIC</t>
  </si>
  <si>
    <t>ORLY</t>
  </si>
  <si>
    <t>ORMP</t>
  </si>
  <si>
    <t>ORPH</t>
  </si>
  <si>
    <t>ORRF</t>
  </si>
  <si>
    <t>ORTX</t>
  </si>
  <si>
    <t>OSBC</t>
  </si>
  <si>
    <t>OSIS</t>
  </si>
  <si>
    <t>OSMT</t>
  </si>
  <si>
    <t>OSN</t>
  </si>
  <si>
    <t>OSPN</t>
  </si>
  <si>
    <t>OSS</t>
  </si>
  <si>
    <t>OSTK</t>
  </si>
  <si>
    <t>OSUR</t>
  </si>
  <si>
    <t>OSW</t>
  </si>
  <si>
    <t>OTEX</t>
  </si>
  <si>
    <t>OTIC</t>
  </si>
  <si>
    <t>OTLK</t>
  </si>
  <si>
    <t>OTRA</t>
  </si>
  <si>
    <t>OTRAU</t>
  </si>
  <si>
    <t>OTRK</t>
  </si>
  <si>
    <t>OTRKP</t>
  </si>
  <si>
    <t>OTTR</t>
  </si>
  <si>
    <t>OVBC</t>
  </si>
  <si>
    <t>OVID</t>
  </si>
  <si>
    <t>OVLY</t>
  </si>
  <si>
    <t>OXBR</t>
  </si>
  <si>
    <t>OXLC</t>
  </si>
  <si>
    <t>OXLCM</t>
  </si>
  <si>
    <t>OXLCP</t>
  </si>
  <si>
    <t>OXSQ</t>
  </si>
  <si>
    <t>OXSQZ</t>
  </si>
  <si>
    <t>OYST</t>
  </si>
  <si>
    <t>OZK</t>
  </si>
  <si>
    <t>OZON</t>
  </si>
  <si>
    <t>PAA</t>
  </si>
  <si>
    <t>PAAS</t>
  </si>
  <si>
    <t>PACB</t>
  </si>
  <si>
    <t>PACW</t>
  </si>
  <si>
    <t>PACXU</t>
  </si>
  <si>
    <t>PAE</t>
  </si>
  <si>
    <t>PAGP</t>
  </si>
  <si>
    <t>PAHC</t>
  </si>
  <si>
    <t>PAIC</t>
  </si>
  <si>
    <t>PAICU</t>
  </si>
  <si>
    <t>PANL</t>
  </si>
  <si>
    <t>PAQCU</t>
  </si>
  <si>
    <t>PASG</t>
  </si>
  <si>
    <t>PATI</t>
  </si>
  <si>
    <t>PATK</t>
  </si>
  <si>
    <t>PAVM</t>
  </si>
  <si>
    <t>PAYA</t>
  </si>
  <si>
    <t>PAYS</t>
  </si>
  <si>
    <t>PAYX</t>
  </si>
  <si>
    <t>PBCT</t>
  </si>
  <si>
    <t>PBCTP</t>
  </si>
  <si>
    <t>PBFS</t>
  </si>
  <si>
    <t>PBHC</t>
  </si>
  <si>
    <t>PBIP</t>
  </si>
  <si>
    <t>PBLA</t>
  </si>
  <si>
    <t>PBPB</t>
  </si>
  <si>
    <t>PBTS</t>
  </si>
  <si>
    <t>PBYI</t>
  </si>
  <si>
    <t>PCAR</t>
  </si>
  <si>
    <t>PCB</t>
  </si>
  <si>
    <t>PCH</t>
  </si>
  <si>
    <t>PCOM</t>
  </si>
  <si>
    <t>PCRX</t>
  </si>
  <si>
    <t>PCSA</t>
  </si>
  <si>
    <t>PCSB</t>
  </si>
  <si>
    <t>PCTI</t>
  </si>
  <si>
    <t>PCTY</t>
  </si>
  <si>
    <t>PCVX</t>
  </si>
  <si>
    <t>PCYG</t>
  </si>
  <si>
    <t>PCYO</t>
  </si>
  <si>
    <t>PDCE</t>
  </si>
  <si>
    <t>PDCO</t>
  </si>
  <si>
    <t>PDD</t>
  </si>
  <si>
    <t>PDEX</t>
  </si>
  <si>
    <t>PDFS</t>
  </si>
  <si>
    <t>PDLB</t>
  </si>
  <si>
    <t>PDSB</t>
  </si>
  <si>
    <t>PEBK</t>
  </si>
  <si>
    <t>PEBO</t>
  </si>
  <si>
    <t>PEGA</t>
  </si>
  <si>
    <t>PENN</t>
  </si>
  <si>
    <t>PEP</t>
  </si>
  <si>
    <t>PERI</t>
  </si>
  <si>
    <t>PESI</t>
  </si>
  <si>
    <t>PETQ</t>
  </si>
  <si>
    <t>PETS</t>
  </si>
  <si>
    <t>PETZ</t>
  </si>
  <si>
    <t>PFBC</t>
  </si>
  <si>
    <t>PFBI</t>
  </si>
  <si>
    <t>PFC</t>
  </si>
  <si>
    <t>PFDRU</t>
  </si>
  <si>
    <t>PFG</t>
  </si>
  <si>
    <t>PFHD</t>
  </si>
  <si>
    <t>PFIE</t>
  </si>
  <si>
    <t>PFIN</t>
  </si>
  <si>
    <t>PFIS</t>
  </si>
  <si>
    <t>PFLT</t>
  </si>
  <si>
    <t>PFMT</t>
  </si>
  <si>
    <t>PFPT</t>
  </si>
  <si>
    <t>PFSW</t>
  </si>
  <si>
    <t>PFX</t>
  </si>
  <si>
    <t>PFXNL</t>
  </si>
  <si>
    <t>PGC</t>
  </si>
  <si>
    <t>PGEN</t>
  </si>
  <si>
    <t>PGNY</t>
  </si>
  <si>
    <t>PHAR</t>
  </si>
  <si>
    <t>PHAS</t>
  </si>
  <si>
    <t>PHAT</t>
  </si>
  <si>
    <t>PHCF</t>
  </si>
  <si>
    <t>PHIC</t>
  </si>
  <si>
    <t>PHICU</t>
  </si>
  <si>
    <t>PHIO</t>
  </si>
  <si>
    <t>PHUN</t>
  </si>
  <si>
    <t>PHVS</t>
  </si>
  <si>
    <t>PI</t>
  </si>
  <si>
    <t>PINC</t>
  </si>
  <si>
    <t>PIRS</t>
  </si>
  <si>
    <t>PIXY</t>
  </si>
  <si>
    <t>PKBK</t>
  </si>
  <si>
    <t>PKOH</t>
  </si>
  <si>
    <t>PLAB</t>
  </si>
  <si>
    <t>PLAY</t>
  </si>
  <si>
    <t>PLBC</t>
  </si>
  <si>
    <t>PLBY</t>
  </si>
  <si>
    <t>PLCE</t>
  </si>
  <si>
    <t>PLIN</t>
  </si>
  <si>
    <t>PLL</t>
  </si>
  <si>
    <t>PLMR</t>
  </si>
  <si>
    <t>PLPC</t>
  </si>
  <si>
    <t>PLRX</t>
  </si>
  <si>
    <t>PLSE</t>
  </si>
  <si>
    <t>PLTK</t>
  </si>
  <si>
    <t>PLUG</t>
  </si>
  <si>
    <t>PLUS</t>
  </si>
  <si>
    <t>PLXP</t>
  </si>
  <si>
    <t>PLXS</t>
  </si>
  <si>
    <t>PLYA</t>
  </si>
  <si>
    <t>PMBC</t>
  </si>
  <si>
    <t>PMD</t>
  </si>
  <si>
    <t>PME</t>
  </si>
  <si>
    <t>PMGMU</t>
  </si>
  <si>
    <t>PMVP</t>
  </si>
  <si>
    <t>PNBK</t>
  </si>
  <si>
    <t>PNFP</t>
  </si>
  <si>
    <t>PNFPP</t>
  </si>
  <si>
    <t>PNNT</t>
  </si>
  <si>
    <t>PNNTG</t>
  </si>
  <si>
    <t>PNRG</t>
  </si>
  <si>
    <t>PNTG</t>
  </si>
  <si>
    <t>POAI</t>
  </si>
  <si>
    <t>PODD</t>
  </si>
  <si>
    <t>POLA</t>
  </si>
  <si>
    <t>POOL</t>
  </si>
  <si>
    <t>POSH</t>
  </si>
  <si>
    <t>POWI</t>
  </si>
  <si>
    <t>POWL</t>
  </si>
  <si>
    <t>POWRU</t>
  </si>
  <si>
    <t>POWW</t>
  </si>
  <si>
    <t>PPBI</t>
  </si>
  <si>
    <t>PPBT</t>
  </si>
  <si>
    <t>PPC</t>
  </si>
  <si>
    <t>PPD</t>
  </si>
  <si>
    <t>PPGHU</t>
  </si>
  <si>
    <t>PPIH</t>
  </si>
  <si>
    <t>PPSI</t>
  </si>
  <si>
    <t>PRAA</t>
  </si>
  <si>
    <t>PRAH</t>
  </si>
  <si>
    <t>PRAX</t>
  </si>
  <si>
    <t>PRCH</t>
  </si>
  <si>
    <t>PRDO</t>
  </si>
  <si>
    <t>PRFT</t>
  </si>
  <si>
    <t>PRFX</t>
  </si>
  <si>
    <t>PRGS</t>
  </si>
  <si>
    <t>PRIM</t>
  </si>
  <si>
    <t>PRLD</t>
  </si>
  <si>
    <t>PROF</t>
  </si>
  <si>
    <t>PROG</t>
  </si>
  <si>
    <t>PROV</t>
  </si>
  <si>
    <t>PRPH</t>
  </si>
  <si>
    <t>PRPL</t>
  </si>
  <si>
    <t>PRPO</t>
  </si>
  <si>
    <t>PRQR</t>
  </si>
  <si>
    <t>PRSRU</t>
  </si>
  <si>
    <t>PRTA</t>
  </si>
  <si>
    <t>PRTC</t>
  </si>
  <si>
    <t>PRTG</t>
  </si>
  <si>
    <t>PRTH</t>
  </si>
  <si>
    <t>PRTK</t>
  </si>
  <si>
    <t>PRTS</t>
  </si>
  <si>
    <t>PRVB</t>
  </si>
  <si>
    <t>PSAC</t>
  </si>
  <si>
    <t>PSACU</t>
  </si>
  <si>
    <t>PSEC</t>
  </si>
  <si>
    <t>PSHG</t>
  </si>
  <si>
    <t>PSMT</t>
  </si>
  <si>
    <t>PSNL</t>
  </si>
  <si>
    <t>PSTI</t>
  </si>
  <si>
    <t>PSTV</t>
  </si>
  <si>
    <t>PSTX</t>
  </si>
  <si>
    <t>PT</t>
  </si>
  <si>
    <t>PTC</t>
  </si>
  <si>
    <t>PTCT</t>
  </si>
  <si>
    <t>PTE</t>
  </si>
  <si>
    <t>PTEN</t>
  </si>
  <si>
    <t>PTGX</t>
  </si>
  <si>
    <t>PTIC</t>
  </si>
  <si>
    <t>PTICU</t>
  </si>
  <si>
    <t>PTMN</t>
  </si>
  <si>
    <t>PTNR</t>
  </si>
  <si>
    <t>PTON</t>
  </si>
  <si>
    <t>PTPI</t>
  </si>
  <si>
    <t>PTRS</t>
  </si>
  <si>
    <t>PTSI</t>
  </si>
  <si>
    <t>PTVE</t>
  </si>
  <si>
    <t>PUBM</t>
  </si>
  <si>
    <t>PUCKU</t>
  </si>
  <si>
    <t>PULM</t>
  </si>
  <si>
    <t>PUYI</t>
  </si>
  <si>
    <t>PVAC</t>
  </si>
  <si>
    <t>PVBC</t>
  </si>
  <si>
    <t>PWFL</t>
  </si>
  <si>
    <t>PWOD</t>
  </si>
  <si>
    <t>PXLW</t>
  </si>
  <si>
    <t>PXS</t>
  </si>
  <si>
    <t>PXSAP</t>
  </si>
  <si>
    <t>PYPD</t>
  </si>
  <si>
    <t>PYPL</t>
  </si>
  <si>
    <t>PZZA</t>
  </si>
  <si>
    <t>QADA</t>
  </si>
  <si>
    <t>QADB</t>
  </si>
  <si>
    <t>QCOM</t>
  </si>
  <si>
    <t>QCRH</t>
  </si>
  <si>
    <t>QDEL</t>
  </si>
  <si>
    <t>QELL</t>
  </si>
  <si>
    <t>QELLU</t>
  </si>
  <si>
    <t>QFIN</t>
  </si>
  <si>
    <t>QH</t>
  </si>
  <si>
    <t>QIWI</t>
  </si>
  <si>
    <t>QK</t>
  </si>
  <si>
    <t>QLGN</t>
  </si>
  <si>
    <t>QLI</t>
  </si>
  <si>
    <t>QLYS</t>
  </si>
  <si>
    <t>QMCO</t>
  </si>
  <si>
    <t>QNST</t>
  </si>
  <si>
    <t>QQQX</t>
  </si>
  <si>
    <t>QRHC</t>
  </si>
  <si>
    <t>QRTEA</t>
  </si>
  <si>
    <t>QRTEB</t>
  </si>
  <si>
    <t>QRTEP</t>
  </si>
  <si>
    <t>QRVO</t>
  </si>
  <si>
    <t>QTNT</t>
  </si>
  <si>
    <t>QTRX</t>
  </si>
  <si>
    <t>QTT</t>
  </si>
  <si>
    <t>QUIK</t>
  </si>
  <si>
    <t>QUMU</t>
  </si>
  <si>
    <t>QURE</t>
  </si>
  <si>
    <t>RAAC</t>
  </si>
  <si>
    <t>RAACU</t>
  </si>
  <si>
    <t>RACA</t>
  </si>
  <si>
    <t>RADI</t>
  </si>
  <si>
    <t>RAIL</t>
  </si>
  <si>
    <t>RAND</t>
  </si>
  <si>
    <t>RAPT</t>
  </si>
  <si>
    <t>RARE</t>
  </si>
  <si>
    <t>RAVE</t>
  </si>
  <si>
    <t>RAVN</t>
  </si>
  <si>
    <t>RBB</t>
  </si>
  <si>
    <t>RBBN</t>
  </si>
  <si>
    <t>RBCAA</t>
  </si>
  <si>
    <t>RBCN</t>
  </si>
  <si>
    <t>RBKB</t>
  </si>
  <si>
    <t>RBNC</t>
  </si>
  <si>
    <t>RCEL</t>
  </si>
  <si>
    <t>RCHG</t>
  </si>
  <si>
    <t>RCHGU</t>
  </si>
  <si>
    <t>RCII</t>
  </si>
  <si>
    <t>RCKT</t>
  </si>
  <si>
    <t>RCKY</t>
  </si>
  <si>
    <t>RCLFU</t>
  </si>
  <si>
    <t>RCM</t>
  </si>
  <si>
    <t>RCMT</t>
  </si>
  <si>
    <t>RCON</t>
  </si>
  <si>
    <t>RDCM</t>
  </si>
  <si>
    <t>RDFN</t>
  </si>
  <si>
    <t>RDHL</t>
  </si>
  <si>
    <t>RDI</t>
  </si>
  <si>
    <t>RDIB</t>
  </si>
  <si>
    <t>RDNT</t>
  </si>
  <si>
    <t>RDUS</t>
  </si>
  <si>
    <t>RDVT</t>
  </si>
  <si>
    <t>RDWR</t>
  </si>
  <si>
    <t>REAL</t>
  </si>
  <si>
    <t>REDU</t>
  </si>
  <si>
    <t>REED</t>
  </si>
  <si>
    <t>REFR</t>
  </si>
  <si>
    <t>REG</t>
  </si>
  <si>
    <t>REGI</t>
  </si>
  <si>
    <t>REGN</t>
  </si>
  <si>
    <t>REKR</t>
  </si>
  <si>
    <t>RELI</t>
  </si>
  <si>
    <t>RELL</t>
  </si>
  <si>
    <t>REPH</t>
  </si>
  <si>
    <t>RESN</t>
  </si>
  <si>
    <t>RETA</t>
  </si>
  <si>
    <t>RETO</t>
  </si>
  <si>
    <t>REYN</t>
  </si>
  <si>
    <t>RFIL</t>
  </si>
  <si>
    <t>RGCO</t>
  </si>
  <si>
    <t>RGEN</t>
  </si>
  <si>
    <t>RGLD</t>
  </si>
  <si>
    <t>RGLS</t>
  </si>
  <si>
    <t>RGNX</t>
  </si>
  <si>
    <t>RGP</t>
  </si>
  <si>
    <t>RIBT</t>
  </si>
  <si>
    <t>RICK</t>
  </si>
  <si>
    <t>RIDE</t>
  </si>
  <si>
    <t>RIGL</t>
  </si>
  <si>
    <t>RILY</t>
  </si>
  <si>
    <t>RILYG</t>
  </si>
  <si>
    <t>RILYI</t>
  </si>
  <si>
    <t>RILYL</t>
  </si>
  <si>
    <t>RILYM</t>
  </si>
  <si>
    <t>RILYN</t>
  </si>
  <si>
    <t>RILYO</t>
  </si>
  <si>
    <t>RILYP</t>
  </si>
  <si>
    <t>RILYT</t>
  </si>
  <si>
    <t>RIOT</t>
  </si>
  <si>
    <t>RIVE</t>
  </si>
  <si>
    <t>RKDA</t>
  </si>
  <si>
    <t>RLAY</t>
  </si>
  <si>
    <t>RLMD</t>
  </si>
  <si>
    <t>RMBI</t>
  </si>
  <si>
    <t>RMBL</t>
  </si>
  <si>
    <t>RMBS</t>
  </si>
  <si>
    <t>RMCF</t>
  </si>
  <si>
    <t>RMGB</t>
  </si>
  <si>
    <t>RMGBU</t>
  </si>
  <si>
    <t>RMGCU</t>
  </si>
  <si>
    <t>RMNI</t>
  </si>
  <si>
    <t>RMR</t>
  </si>
  <si>
    <t>RMTI</t>
  </si>
  <si>
    <t>RNA</t>
  </si>
  <si>
    <t>RNDB</t>
  </si>
  <si>
    <t>RNLX</t>
  </si>
  <si>
    <t>RNST</t>
  </si>
  <si>
    <t>RNWK</t>
  </si>
  <si>
    <t>ROAD</t>
  </si>
  <si>
    <t>ROCC</t>
  </si>
  <si>
    <t>ROCCU</t>
  </si>
  <si>
    <t>ROCK</t>
  </si>
  <si>
    <t>ROIC</t>
  </si>
  <si>
    <t>ROKU</t>
  </si>
  <si>
    <t>ROLL</t>
  </si>
  <si>
    <t>ROST</t>
  </si>
  <si>
    <t>RPAY</t>
  </si>
  <si>
    <t>RPD</t>
  </si>
  <si>
    <t>RPRX</t>
  </si>
  <si>
    <t>RPTX</t>
  </si>
  <si>
    <t>RRBI</t>
  </si>
  <si>
    <t>RRGB</t>
  </si>
  <si>
    <t>RRR</t>
  </si>
  <si>
    <t>RSSS</t>
  </si>
  <si>
    <t>RSVA</t>
  </si>
  <si>
    <t>RSVAU</t>
  </si>
  <si>
    <t>RTLR</t>
  </si>
  <si>
    <t>RUBY</t>
  </si>
  <si>
    <t>RUN</t>
  </si>
  <si>
    <t>RUSHA</t>
  </si>
  <si>
    <t>RUSHB</t>
  </si>
  <si>
    <t>RUTH</t>
  </si>
  <si>
    <t>RVMD</t>
  </si>
  <si>
    <t>RVNC</t>
  </si>
  <si>
    <t>RVPH</t>
  </si>
  <si>
    <t>RVSB</t>
  </si>
  <si>
    <t>RWLK</t>
  </si>
  <si>
    <t>RXT</t>
  </si>
  <si>
    <t>RYAAY</t>
  </si>
  <si>
    <t>RYTM</t>
  </si>
  <si>
    <t>RZLT</t>
  </si>
  <si>
    <t>SABR</t>
  </si>
  <si>
    <t>SABRP</t>
  </si>
  <si>
    <t>SAFM</t>
  </si>
  <si>
    <t>SAFT</t>
  </si>
  <si>
    <t>SAGE</t>
  </si>
  <si>
    <t>SAIA</t>
  </si>
  <si>
    <t>SAII</t>
  </si>
  <si>
    <t>SAIIU</t>
  </si>
  <si>
    <t>SAL</t>
  </si>
  <si>
    <t>SALM</t>
  </si>
  <si>
    <t>SAMG</t>
  </si>
  <si>
    <t>SANA</t>
  </si>
  <si>
    <t>SANM</t>
  </si>
  <si>
    <t>SANW</t>
  </si>
  <si>
    <t>SASR</t>
  </si>
  <si>
    <t>SATS</t>
  </si>
  <si>
    <t>SAVA</t>
  </si>
  <si>
    <t>SBAC</t>
  </si>
  <si>
    <t>SBBP</t>
  </si>
  <si>
    <t>SBCF</t>
  </si>
  <si>
    <t>SBEAU</t>
  </si>
  <si>
    <t>SBFG</t>
  </si>
  <si>
    <t>SBGI</t>
  </si>
  <si>
    <t>SBLK</t>
  </si>
  <si>
    <t>SBNY</t>
  </si>
  <si>
    <t>SBNYP</t>
  </si>
  <si>
    <t>SBRA</t>
  </si>
  <si>
    <t>SBSI</t>
  </si>
  <si>
    <t>SBT</t>
  </si>
  <si>
    <t>SBTX</t>
  </si>
  <si>
    <t>SBUX</t>
  </si>
  <si>
    <t>SCHL</t>
  </si>
  <si>
    <t>SCHN</t>
  </si>
  <si>
    <t>SCKT</t>
  </si>
  <si>
    <t>SCLEU</t>
  </si>
  <si>
    <t>SCOA</t>
  </si>
  <si>
    <t>SCOAU</t>
  </si>
  <si>
    <t>SCOBU</t>
  </si>
  <si>
    <t>SCOR</t>
  </si>
  <si>
    <t>SCPH</t>
  </si>
  <si>
    <t>SCPL</t>
  </si>
  <si>
    <t>SCPS</t>
  </si>
  <si>
    <t>SCSC</t>
  </si>
  <si>
    <t>SCVL</t>
  </si>
  <si>
    <t>SCWX</t>
  </si>
  <si>
    <t>SCYX</t>
  </si>
  <si>
    <t>SDACU</t>
  </si>
  <si>
    <t>SDC</t>
  </si>
  <si>
    <t>SDGR</t>
  </si>
  <si>
    <t>SDH</t>
  </si>
  <si>
    <t>SEAC</t>
  </si>
  <si>
    <t>SECO</t>
  </si>
  <si>
    <t>SEDG</t>
  </si>
  <si>
    <t>SEED</t>
  </si>
  <si>
    <t>SEEL</t>
  </si>
  <si>
    <t>SEER</t>
  </si>
  <si>
    <t>SEIC</t>
  </si>
  <si>
    <t>SELB</t>
  </si>
  <si>
    <t>SELF</t>
  </si>
  <si>
    <t>SENEA</t>
  </si>
  <si>
    <t>SENEB</t>
  </si>
  <si>
    <t>SESN</t>
  </si>
  <si>
    <t>SFBC</t>
  </si>
  <si>
    <t>SFBS</t>
  </si>
  <si>
    <t>SFET</t>
  </si>
  <si>
    <t>SFIX</t>
  </si>
  <si>
    <t>SFM</t>
  </si>
  <si>
    <t>SFNC</t>
  </si>
  <si>
    <t>SFST</t>
  </si>
  <si>
    <t>SFT</t>
  </si>
  <si>
    <t>SGA</t>
  </si>
  <si>
    <t>SGAM</t>
  </si>
  <si>
    <t>SGAMU</t>
  </si>
  <si>
    <t>SGBX</t>
  </si>
  <si>
    <t>SGC</t>
  </si>
  <si>
    <t>SGEN</t>
  </si>
  <si>
    <t>SGH</t>
  </si>
  <si>
    <t>SGLB</t>
  </si>
  <si>
    <t>SGMA</t>
  </si>
  <si>
    <t>SGMO</t>
  </si>
  <si>
    <t>SGMS</t>
  </si>
  <si>
    <t>SGOC</t>
  </si>
  <si>
    <t>SGRP</t>
  </si>
  <si>
    <t>SGRY</t>
  </si>
  <si>
    <t>SGTX</t>
  </si>
  <si>
    <t>SHBI</t>
  </si>
  <si>
    <t>SHC</t>
  </si>
  <si>
    <t>SHEN</t>
  </si>
  <si>
    <t>SHIP</t>
  </si>
  <si>
    <t>SHLS</t>
  </si>
  <si>
    <t>SHOO</t>
  </si>
  <si>
    <t>SHSP</t>
  </si>
  <si>
    <t>SHYF</t>
  </si>
  <si>
    <t>SIBN</t>
  </si>
  <si>
    <t>SIC</t>
  </si>
  <si>
    <t>SIEB</t>
  </si>
  <si>
    <t>SIEN</t>
  </si>
  <si>
    <t>SIFY</t>
  </si>
  <si>
    <t>SIGA</t>
  </si>
  <si>
    <t>SIGI</t>
  </si>
  <si>
    <t>SIGIP</t>
  </si>
  <si>
    <t>SILC</t>
  </si>
  <si>
    <t>SILK</t>
  </si>
  <si>
    <t>SIMO</t>
  </si>
  <si>
    <t>SINO</t>
  </si>
  <si>
    <t>SINT</t>
  </si>
  <si>
    <t>SIOX</t>
  </si>
  <si>
    <t>SIRI</t>
  </si>
  <si>
    <t>SITM</t>
  </si>
  <si>
    <t>SIVB</t>
  </si>
  <si>
    <t>SIVBP</t>
  </si>
  <si>
    <t>SJ</t>
  </si>
  <si>
    <t>SKYW</t>
  </si>
  <si>
    <t>SLAB</t>
  </si>
  <si>
    <t>SLAMU</t>
  </si>
  <si>
    <t>SLCRU</t>
  </si>
  <si>
    <t>SLCT</t>
  </si>
  <si>
    <t>SLGG</t>
  </si>
  <si>
    <t>SLGL</t>
  </si>
  <si>
    <t>SLGN</t>
  </si>
  <si>
    <t>SLM</t>
  </si>
  <si>
    <t>SLMBP</t>
  </si>
  <si>
    <t>SLN</t>
  </si>
  <si>
    <t>SLNO</t>
  </si>
  <si>
    <t>SLP</t>
  </si>
  <si>
    <t>SLRC</t>
  </si>
  <si>
    <t>SLRX</t>
  </si>
  <si>
    <t>SLS</t>
  </si>
  <si>
    <t>SMBC</t>
  </si>
  <si>
    <t>SMBK</t>
  </si>
  <si>
    <t>SMCI</t>
  </si>
  <si>
    <t>SMED</t>
  </si>
  <si>
    <t>SMID</t>
  </si>
  <si>
    <t>SMIT</t>
  </si>
  <si>
    <t>SMMF</t>
  </si>
  <si>
    <t>SMMT</t>
  </si>
  <si>
    <t>SMPL</t>
  </si>
  <si>
    <t>SMSI</t>
  </si>
  <si>
    <t>SMTC</t>
  </si>
  <si>
    <t>SMTI</t>
  </si>
  <si>
    <t>SNBR</t>
  </si>
  <si>
    <t>SNCR</t>
  </si>
  <si>
    <t>SNDL</t>
  </si>
  <si>
    <t>SNDX</t>
  </si>
  <si>
    <t>SNES</t>
  </si>
  <si>
    <t>SNEX</t>
  </si>
  <si>
    <t>SNFCA</t>
  </si>
  <si>
    <t>SNGX</t>
  </si>
  <si>
    <t>SNOA</t>
  </si>
  <si>
    <t>SNPS</t>
  </si>
  <si>
    <t>SNRH</t>
  </si>
  <si>
    <t>SNRHU</t>
  </si>
  <si>
    <t>SNSE</t>
  </si>
  <si>
    <t>SNY</t>
  </si>
  <si>
    <t>SOHO</t>
  </si>
  <si>
    <t>SOHOB</t>
  </si>
  <si>
    <t>SOHON</t>
  </si>
  <si>
    <t>SOHOO</t>
  </si>
  <si>
    <t>SOHU</t>
  </si>
  <si>
    <t>SOLO</t>
  </si>
  <si>
    <t>SOLY</t>
  </si>
  <si>
    <t>SONM</t>
  </si>
  <si>
    <t>SONN</t>
  </si>
  <si>
    <t>SONO</t>
  </si>
  <si>
    <t>SP</t>
  </si>
  <si>
    <t>SPCB</t>
  </si>
  <si>
    <t>SPFI</t>
  </si>
  <si>
    <t>SPI</t>
  </si>
  <si>
    <t>SPKE</t>
  </si>
  <si>
    <t>SPKEP</t>
  </si>
  <si>
    <t>SPLK</t>
  </si>
  <si>
    <t>SPNE</t>
  </si>
  <si>
    <t>SPNS</t>
  </si>
  <si>
    <t>SPOK</t>
  </si>
  <si>
    <t>SPPI</t>
  </si>
  <si>
    <t>SPRB</t>
  </si>
  <si>
    <t>SPRO</t>
  </si>
  <si>
    <t>SPRT</t>
  </si>
  <si>
    <t>SPSC</t>
  </si>
  <si>
    <t>SPT</t>
  </si>
  <si>
    <t>SPTKU</t>
  </si>
  <si>
    <t>SPTN</t>
  </si>
  <si>
    <t>SPWH</t>
  </si>
  <si>
    <t>SPWR</t>
  </si>
  <si>
    <t>SQBG</t>
  </si>
  <si>
    <t>SQFT</t>
  </si>
  <si>
    <t>SRAC</t>
  </si>
  <si>
    <t>SRACU</t>
  </si>
  <si>
    <t>SRAX</t>
  </si>
  <si>
    <t>SRCE</t>
  </si>
  <si>
    <t>SRCL</t>
  </si>
  <si>
    <t>SRDX</t>
  </si>
  <si>
    <t>SREV</t>
  </si>
  <si>
    <t>SRGA</t>
  </si>
  <si>
    <t>SRNE</t>
  </si>
  <si>
    <t>SRNGU</t>
  </si>
  <si>
    <t>SRPT</t>
  </si>
  <si>
    <t>SRRA</t>
  </si>
  <si>
    <t>SRRK</t>
  </si>
  <si>
    <t>SRSA</t>
  </si>
  <si>
    <t>SRSAU</t>
  </si>
  <si>
    <t>SRTS</t>
  </si>
  <si>
    <t>SSAAU</t>
  </si>
  <si>
    <t>SSB</t>
  </si>
  <si>
    <t>SSBI</t>
  </si>
  <si>
    <t>SSKN</t>
  </si>
  <si>
    <t>SSNC</t>
  </si>
  <si>
    <t>SSNT</t>
  </si>
  <si>
    <t>SSP</t>
  </si>
  <si>
    <t>SSPK</t>
  </si>
  <si>
    <t>SSRM</t>
  </si>
  <si>
    <t>SSSS</t>
  </si>
  <si>
    <t>SSTI</t>
  </si>
  <si>
    <t>SSYS</t>
  </si>
  <si>
    <t>STAA</t>
  </si>
  <si>
    <t>STAF</t>
  </si>
  <si>
    <t>STAY</t>
  </si>
  <si>
    <t>STBA</t>
  </si>
  <si>
    <t>STCN</t>
  </si>
  <si>
    <t>STEP</t>
  </si>
  <si>
    <t>STFC</t>
  </si>
  <si>
    <t>STIM</t>
  </si>
  <si>
    <t>STKL</t>
  </si>
  <si>
    <t>STKS</t>
  </si>
  <si>
    <t>STLD</t>
  </si>
  <si>
    <t>STMP</t>
  </si>
  <si>
    <t>STNE</t>
  </si>
  <si>
    <t>STOK</t>
  </si>
  <si>
    <t>STRA</t>
  </si>
  <si>
    <t>STRL</t>
  </si>
  <si>
    <t>STRM</t>
  </si>
  <si>
    <t>STRO</t>
  </si>
  <si>
    <t>STRR</t>
  </si>
  <si>
    <t>STRRP</t>
  </si>
  <si>
    <t>STRS</t>
  </si>
  <si>
    <t>STRT</t>
  </si>
  <si>
    <t>STSA</t>
  </si>
  <si>
    <t>STTK</t>
  </si>
  <si>
    <t>STWO</t>
  </si>
  <si>
    <t>STWOU</t>
  </si>
  <si>
    <t>STXB</t>
  </si>
  <si>
    <t>SUMO</t>
  </si>
  <si>
    <t>SUMR</t>
  </si>
  <si>
    <t>SUNS</t>
  </si>
  <si>
    <t>SUNW</t>
  </si>
  <si>
    <t>SUPN</t>
  </si>
  <si>
    <t>SURF</t>
  </si>
  <si>
    <t>SV</t>
  </si>
  <si>
    <t>SVAC</t>
  </si>
  <si>
    <t>SVACU</t>
  </si>
  <si>
    <t>SVBI</t>
  </si>
  <si>
    <t>SVC</t>
  </si>
  <si>
    <t>SVFA</t>
  </si>
  <si>
    <t>SVFAU</t>
  </si>
  <si>
    <t>SVMK</t>
  </si>
  <si>
    <t>SVOK</t>
  </si>
  <si>
    <t>SVOKU</t>
  </si>
  <si>
    <t>SVRA</t>
  </si>
  <si>
    <t>SVSVU</t>
  </si>
  <si>
    <t>SVVC</t>
  </si>
  <si>
    <t>SWAV</t>
  </si>
  <si>
    <t>SWBI</t>
  </si>
  <si>
    <t>SWETU</t>
  </si>
  <si>
    <t>SWIR</t>
  </si>
  <si>
    <t>SWKH</t>
  </si>
  <si>
    <t>SWKS</t>
  </si>
  <si>
    <t>SWTX</t>
  </si>
  <si>
    <t>SXTC</t>
  </si>
  <si>
    <t>SY</t>
  </si>
  <si>
    <t>SYBT</t>
  </si>
  <si>
    <t>SYBX</t>
  </si>
  <si>
    <t>SYKE</t>
  </si>
  <si>
    <t>SYNA</t>
  </si>
  <si>
    <t>SYNH</t>
  </si>
  <si>
    <t>SYNL</t>
  </si>
  <si>
    <t>SYPR</t>
  </si>
  <si>
    <t>SYRS</t>
  </si>
  <si>
    <t>SYTA</t>
  </si>
  <si>
    <t>TA</t>
  </si>
  <si>
    <t>TACO</t>
  </si>
  <si>
    <t>TACT</t>
  </si>
  <si>
    <t>TAIT</t>
  </si>
  <si>
    <t>TANH</t>
  </si>
  <si>
    <t>TANNI</t>
  </si>
  <si>
    <t>TANNL</t>
  </si>
  <si>
    <t>TANNZ</t>
  </si>
  <si>
    <t>TAOP</t>
  </si>
  <si>
    <t>TARA</t>
  </si>
  <si>
    <t>TARS</t>
  </si>
  <si>
    <t>TAST</t>
  </si>
  <si>
    <t>TATT</t>
  </si>
  <si>
    <t>TAYD</t>
  </si>
  <si>
    <t>TBBK</t>
  </si>
  <si>
    <t>TBCPU</t>
  </si>
  <si>
    <t>TBIO</t>
  </si>
  <si>
    <t>TBK</t>
  </si>
  <si>
    <t>TBKCP</t>
  </si>
  <si>
    <t>TBLT</t>
  </si>
  <si>
    <t>TBNK</t>
  </si>
  <si>
    <t>TBPH</t>
  </si>
  <si>
    <t>TC</t>
  </si>
  <si>
    <t>TCACU</t>
  </si>
  <si>
    <t>TCBI</t>
  </si>
  <si>
    <t>TCBIL</t>
  </si>
  <si>
    <t>TCBIP</t>
  </si>
  <si>
    <t>TCBK</t>
  </si>
  <si>
    <t>TCDA</t>
  </si>
  <si>
    <t>TCFC</t>
  </si>
  <si>
    <t>TCMD</t>
  </si>
  <si>
    <t>TCOM</t>
  </si>
  <si>
    <t>TCON</t>
  </si>
  <si>
    <t>TCPC</t>
  </si>
  <si>
    <t>TCRR</t>
  </si>
  <si>
    <t>TCX</t>
  </si>
  <si>
    <t>TDAC</t>
  </si>
  <si>
    <t>TDACU</t>
  </si>
  <si>
    <t>TEAM</t>
  </si>
  <si>
    <t>TECH</t>
  </si>
  <si>
    <t>TECTP</t>
  </si>
  <si>
    <t>TEDU</t>
  </si>
  <si>
    <t>TEKK</t>
  </si>
  <si>
    <t>TEKKU</t>
  </si>
  <si>
    <t>TELA</t>
  </si>
  <si>
    <t>TELL</t>
  </si>
  <si>
    <t>TENB</t>
  </si>
  <si>
    <t>TENX</t>
  </si>
  <si>
    <t>TER</t>
  </si>
  <si>
    <t>TERN</t>
  </si>
  <si>
    <t>TESS</t>
  </si>
  <si>
    <t>TFFP</t>
  </si>
  <si>
    <t>TFSL</t>
  </si>
  <si>
    <t>TGA</t>
  </si>
  <si>
    <t>TGLS</t>
  </si>
  <si>
    <t>TGTX</t>
  </si>
  <si>
    <t>TH</t>
  </si>
  <si>
    <t>THBRU</t>
  </si>
  <si>
    <t>THCA</t>
  </si>
  <si>
    <t>THCAU</t>
  </si>
  <si>
    <t>THCB</t>
  </si>
  <si>
    <t>THCBU</t>
  </si>
  <si>
    <t>THFF</t>
  </si>
  <si>
    <t>THMAU</t>
  </si>
  <si>
    <t>THMO</t>
  </si>
  <si>
    <t>THRM</t>
  </si>
  <si>
    <t>THRY</t>
  </si>
  <si>
    <t>THTX</t>
  </si>
  <si>
    <t>TIG</t>
  </si>
  <si>
    <t>TIGO</t>
  </si>
  <si>
    <t>TIGR</t>
  </si>
  <si>
    <t>TILE</t>
  </si>
  <si>
    <t>TIPT</t>
  </si>
  <si>
    <t>TIRX</t>
  </si>
  <si>
    <t>TITN</t>
  </si>
  <si>
    <t>TLGT</t>
  </si>
  <si>
    <t>TLIS</t>
  </si>
  <si>
    <t>TLMD</t>
  </si>
  <si>
    <t>TLND</t>
  </si>
  <si>
    <t>TLS</t>
  </si>
  <si>
    <t>TLSA</t>
  </si>
  <si>
    <t>TMDI</t>
  </si>
  <si>
    <t>TMDX</t>
  </si>
  <si>
    <t>TMKRU</t>
  </si>
  <si>
    <t>TMPM</t>
  </si>
  <si>
    <t>TMPMU</t>
  </si>
  <si>
    <t>TMTS</t>
  </si>
  <si>
    <t>TMTSU</t>
  </si>
  <si>
    <t>TMUS</t>
  </si>
  <si>
    <t>TNDM</t>
  </si>
  <si>
    <t>TNXP</t>
  </si>
  <si>
    <t>TOMZ</t>
  </si>
  <si>
    <t>TOPS</t>
  </si>
  <si>
    <t>TOUR</t>
  </si>
  <si>
    <t>TOWN</t>
  </si>
  <si>
    <t>TPTX</t>
  </si>
  <si>
    <t>TRCH</t>
  </si>
  <si>
    <t>TREE</t>
  </si>
  <si>
    <t>TRHC</t>
  </si>
  <si>
    <t>TRIB</t>
  </si>
  <si>
    <t>TRIL</t>
  </si>
  <si>
    <t>TRIN</t>
  </si>
  <si>
    <t>TRIP</t>
  </si>
  <si>
    <t>TRIT</t>
  </si>
  <si>
    <t>TRMB</t>
  </si>
  <si>
    <t>TRMD</t>
  </si>
  <si>
    <t>TRMK</t>
  </si>
  <si>
    <t>TRMT</t>
  </si>
  <si>
    <t>TRNS</t>
  </si>
  <si>
    <t>TROW</t>
  </si>
  <si>
    <t>TRS</t>
  </si>
  <si>
    <t>TRST</t>
  </si>
  <si>
    <t>VERDADEIRO</t>
  </si>
  <si>
    <t>TRUP</t>
  </si>
  <si>
    <t>TRVG</t>
  </si>
  <si>
    <t>TRVN</t>
  </si>
  <si>
    <t>TSBK</t>
  </si>
  <si>
    <t>TSC</t>
  </si>
  <si>
    <t>TSCAP</t>
  </si>
  <si>
    <t>TSCBP</t>
  </si>
  <si>
    <t>TSCO</t>
  </si>
  <si>
    <t>TSEM</t>
  </si>
  <si>
    <t>TSHA</t>
  </si>
  <si>
    <t>TSIBU</t>
  </si>
  <si>
    <t>TSLA</t>
  </si>
  <si>
    <t>TSRI</t>
  </si>
  <si>
    <t>TTCF</t>
  </si>
  <si>
    <t>TTD</t>
  </si>
  <si>
    <t>TTEC</t>
  </si>
  <si>
    <t>TTEK</t>
  </si>
  <si>
    <t>TTGT</t>
  </si>
  <si>
    <t>TTMI</t>
  </si>
  <si>
    <t>TTNP</t>
  </si>
  <si>
    <t>TTOO</t>
  </si>
  <si>
    <t>TTWO</t>
  </si>
  <si>
    <t>TURN</t>
  </si>
  <si>
    <t>TUSK</t>
  </si>
  <si>
    <t>TVAC</t>
  </si>
  <si>
    <t>TVACU</t>
  </si>
  <si>
    <t>TVTX</t>
  </si>
  <si>
    <t>TVTY</t>
  </si>
  <si>
    <t>TW</t>
  </si>
  <si>
    <t>TWCT</t>
  </si>
  <si>
    <t>TWCTU</t>
  </si>
  <si>
    <t>TWIN</t>
  </si>
  <si>
    <t>TWLVU</t>
  </si>
  <si>
    <t>TWNK</t>
  </si>
  <si>
    <t>TWOU</t>
  </si>
  <si>
    <t>TWST</t>
  </si>
  <si>
    <t>TXG</t>
  </si>
  <si>
    <t>TXMD</t>
  </si>
  <si>
    <t>TXN</t>
  </si>
  <si>
    <t>TXRH</t>
  </si>
  <si>
    <t>TYHT</t>
  </si>
  <si>
    <t>TYME</t>
  </si>
  <si>
    <t>TZOO</t>
  </si>
  <si>
    <t>TZPSU</t>
  </si>
  <si>
    <t>UAL</t>
  </si>
  <si>
    <t>UBCP</t>
  </si>
  <si>
    <t>UBFO</t>
  </si>
  <si>
    <t>UBOH</t>
  </si>
  <si>
    <t>UBSI</t>
  </si>
  <si>
    <t>UBX</t>
  </si>
  <si>
    <t>UCBI</t>
  </si>
  <si>
    <t>UCBIO</t>
  </si>
  <si>
    <t>UCL</t>
  </si>
  <si>
    <t>UCTT</t>
  </si>
  <si>
    <t>UEIC</t>
  </si>
  <si>
    <t>UEPS</t>
  </si>
  <si>
    <t>UFCS</t>
  </si>
  <si>
    <t>UFPI</t>
  </si>
  <si>
    <t>UFPT</t>
  </si>
  <si>
    <t>UG</t>
  </si>
  <si>
    <t>UGRO</t>
  </si>
  <si>
    <t>UHAL</t>
  </si>
  <si>
    <t>UIHC</t>
  </si>
  <si>
    <t>UK</t>
  </si>
  <si>
    <t>ULBI</t>
  </si>
  <si>
    <t>ULH</t>
  </si>
  <si>
    <t>ULTA</t>
  </si>
  <si>
    <t>UMBF</t>
  </si>
  <si>
    <t>UMPQ</t>
  </si>
  <si>
    <t>UNAM</t>
  </si>
  <si>
    <t>UNB</t>
  </si>
  <si>
    <t>UNIT</t>
  </si>
  <si>
    <t>UNTY</t>
  </si>
  <si>
    <t>UONE</t>
  </si>
  <si>
    <t>UONEK</t>
  </si>
  <si>
    <t>UPLD</t>
  </si>
  <si>
    <t>UPST</t>
  </si>
  <si>
    <t>UPWK</t>
  </si>
  <si>
    <t>URBN</t>
  </si>
  <si>
    <t>URGN</t>
  </si>
  <si>
    <t>USAK</t>
  </si>
  <si>
    <t>USAP</t>
  </si>
  <si>
    <t>USAU</t>
  </si>
  <si>
    <t>USCR</t>
  </si>
  <si>
    <t>USEG</t>
  </si>
  <si>
    <t>USIO</t>
  </si>
  <si>
    <t>USLM</t>
  </si>
  <si>
    <t>USWS</t>
  </si>
  <si>
    <t>UTHR</t>
  </si>
  <si>
    <t>UTMD</t>
  </si>
  <si>
    <t>UTSI</t>
  </si>
  <si>
    <t>UVSP</t>
  </si>
  <si>
    <t>UXIN</t>
  </si>
  <si>
    <t>VACQ</t>
  </si>
  <si>
    <t>VACQU</t>
  </si>
  <si>
    <t>VALU</t>
  </si>
  <si>
    <t>VBFC</t>
  </si>
  <si>
    <t>VBIV</t>
  </si>
  <si>
    <t>VBLT</t>
  </si>
  <si>
    <t>VBTX</t>
  </si>
  <si>
    <t>VC</t>
  </si>
  <si>
    <t>VCEL</t>
  </si>
  <si>
    <t>VCKAU</t>
  </si>
  <si>
    <t>VCNX</t>
  </si>
  <si>
    <t>VCTR</t>
  </si>
  <si>
    <t>VCVC</t>
  </si>
  <si>
    <t>VCVCU</t>
  </si>
  <si>
    <t>VECO</t>
  </si>
  <si>
    <t>VELOU</t>
  </si>
  <si>
    <t>VENAU</t>
  </si>
  <si>
    <t>VEON</t>
  </si>
  <si>
    <t>VERB</t>
  </si>
  <si>
    <t>VERI</t>
  </si>
  <si>
    <t>VERO</t>
  </si>
  <si>
    <t>VERU</t>
  </si>
  <si>
    <t>VERX</t>
  </si>
  <si>
    <t>VERY</t>
  </si>
  <si>
    <t>VFF</t>
  </si>
  <si>
    <t>VG</t>
  </si>
  <si>
    <t>VIAC</t>
  </si>
  <si>
    <t>VIACA</t>
  </si>
  <si>
    <t>VIAV</t>
  </si>
  <si>
    <t>VICR</t>
  </si>
  <si>
    <t>VIH</t>
  </si>
  <si>
    <t>VIHAU</t>
  </si>
  <si>
    <t>VII</t>
  </si>
  <si>
    <t>VIIAU</t>
  </si>
  <si>
    <t>VINC</t>
  </si>
  <si>
    <t>VINP</t>
  </si>
  <si>
    <t>VIOT</t>
  </si>
  <si>
    <t>VIR</t>
  </si>
  <si>
    <t>VIRC</t>
  </si>
  <si>
    <t>VIRI</t>
  </si>
  <si>
    <t>VIRT</t>
  </si>
  <si>
    <t>VIRX</t>
  </si>
  <si>
    <t>VISL</t>
  </si>
  <si>
    <t>VITL</t>
  </si>
  <si>
    <t>VIVE</t>
  </si>
  <si>
    <t>VIVO</t>
  </si>
  <si>
    <t>VJET</t>
  </si>
  <si>
    <t>VKTX</t>
  </si>
  <si>
    <t>VLDR</t>
  </si>
  <si>
    <t>VLGEA</t>
  </si>
  <si>
    <t>VLON</t>
  </si>
  <si>
    <t>VLY</t>
  </si>
  <si>
    <t>VLYPO</t>
  </si>
  <si>
    <t>VLYPP</t>
  </si>
  <si>
    <t>VMAC</t>
  </si>
  <si>
    <t>VMACU</t>
  </si>
  <si>
    <t>VMAR</t>
  </si>
  <si>
    <t>VMD</t>
  </si>
  <si>
    <t>VNDA</t>
  </si>
  <si>
    <t>VNET</t>
  </si>
  <si>
    <t>VNOM</t>
  </si>
  <si>
    <t>VOD</t>
  </si>
  <si>
    <t>VOR</t>
  </si>
  <si>
    <t>VOXX</t>
  </si>
  <si>
    <t>VRA</t>
  </si>
  <si>
    <t>VRAY</t>
  </si>
  <si>
    <t>VRCA</t>
  </si>
  <si>
    <t>VRDN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</si>
  <si>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</si>
  <si>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</si>
  <si>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</si>
  <si>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</si>
  <si>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</si>
  <si>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</si>
  <si>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</si>
  <si>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</si>
  <si>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</si>
  <si>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</si>
  <si>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VRTS</t>
  </si>
  <si>
    <t>VRTX</t>
  </si>
  <si>
    <t>VS</t>
  </si>
  <si>
    <t>VSAT</t>
  </si>
  <si>
    <t>VSEC</t>
  </si>
  <si>
    <t>VSTA</t>
  </si>
  <si>
    <t>VSTM</t>
  </si>
  <si>
    <t>VTAQ</t>
  </si>
  <si>
    <t>VTAQU</t>
  </si>
  <si>
    <t>VTGN</t>
  </si>
  <si>
    <t>VTIQU</t>
  </si>
  <si>
    <t>VTNR</t>
  </si>
  <si>
    <t>VTRS</t>
  </si>
  <si>
    <t>VTRU</t>
  </si>
  <si>
    <t>VTSI</t>
  </si>
  <si>
    <t>VTVT</t>
  </si>
  <si>
    <t>VUZI</t>
  </si>
  <si>
    <t>VVOS</t>
  </si>
  <si>
    <t>VVPR</t>
  </si>
  <si>
    <t>VXRT</t>
  </si>
  <si>
    <t>VYGR</t>
  </si>
  <si>
    <t>VYNE</t>
  </si>
  <si>
    <t>WABC</t>
  </si>
  <si>
    <t>WAFD</t>
  </si>
  <si>
    <t>WAFDP</t>
  </si>
  <si>
    <t>WAFU</t>
  </si>
  <si>
    <t>WASH</t>
  </si>
  <si>
    <t>WATT</t>
  </si>
  <si>
    <t>WB</t>
  </si>
  <si>
    <t>WBA</t>
  </si>
  <si>
    <t>WDAY</t>
  </si>
  <si>
    <t>WDC</t>
  </si>
  <si>
    <t>WDFC</t>
  </si>
  <si>
    <t>WEN</t>
  </si>
  <si>
    <t>WERN</t>
  </si>
  <si>
    <t>WETF</t>
  </si>
  <si>
    <t>WEYS</t>
  </si>
  <si>
    <t>WHF</t>
  </si>
  <si>
    <t>WHFBZ</t>
  </si>
  <si>
    <t>WHLM</t>
  </si>
  <si>
    <t>WHLR</t>
  </si>
  <si>
    <t>WHLRD</t>
  </si>
  <si>
    <t>WHLRP</t>
  </si>
  <si>
    <t>WILC</t>
  </si>
  <si>
    <t>WIMI</t>
  </si>
  <si>
    <t>WINA</t>
  </si>
  <si>
    <t>WING</t>
  </si>
  <si>
    <t>WINT</t>
  </si>
  <si>
    <t>WIRE</t>
  </si>
  <si>
    <t>WISA</t>
  </si>
  <si>
    <t>WISH</t>
  </si>
  <si>
    <t>WIX</t>
  </si>
  <si>
    <t>WKEY</t>
  </si>
  <si>
    <t>WKHS</t>
  </si>
  <si>
    <t>WLDN</t>
  </si>
  <si>
    <t>WLFC</t>
  </si>
  <si>
    <t>WLTW</t>
  </si>
  <si>
    <t>WMG</t>
  </si>
  <si>
    <t>WNEB</t>
  </si>
  <si>
    <t>WNW</t>
  </si>
  <si>
    <t>WOOF</t>
  </si>
  <si>
    <t>WORX</t>
  </si>
  <si>
    <t>WPRT</t>
  </si>
  <si>
    <t>WRAP</t>
  </si>
  <si>
    <t>WRLD</t>
  </si>
  <si>
    <t>WSBC</t>
  </si>
  <si>
    <t>WSBCP</t>
  </si>
  <si>
    <t>WSBF</t>
  </si>
  <si>
    <t>WSFS</t>
  </si>
  <si>
    <t>WSTG</t>
  </si>
  <si>
    <t>WTBA</t>
  </si>
  <si>
    <t>WTER</t>
  </si>
  <si>
    <t>WTFC</t>
  </si>
  <si>
    <t>WTFCM</t>
  </si>
  <si>
    <t>WTFCP</t>
  </si>
  <si>
    <t>WTRE</t>
  </si>
  <si>
    <t>WTREP</t>
  </si>
  <si>
    <t>WTRH</t>
  </si>
  <si>
    <t>WVE</t>
  </si>
  <si>
    <t>WVFC</t>
  </si>
  <si>
    <t>WVVI</t>
  </si>
  <si>
    <t>WVVIP</t>
  </si>
  <si>
    <t>WW</t>
  </si>
  <si>
    <t>WWD</t>
  </si>
  <si>
    <t>WYNN</t>
  </si>
  <si>
    <t>XAIR</t>
  </si>
  <si>
    <t>XBIO</t>
  </si>
  <si>
    <t>XBIT</t>
  </si>
  <si>
    <t>XCUR</t>
  </si>
  <si>
    <t>XEL</t>
  </si>
  <si>
    <t>XELA</t>
  </si>
  <si>
    <t>XELB</t>
  </si>
  <si>
    <t>XENE</t>
  </si>
  <si>
    <t>XENT</t>
  </si>
  <si>
    <t>XERS</t>
  </si>
  <si>
    <t>XFOR</t>
  </si>
  <si>
    <t>XGN</t>
  </si>
  <si>
    <t>XLNX</t>
  </si>
  <si>
    <t>XLRN</t>
  </si>
  <si>
    <t>XM</t>
  </si>
  <si>
    <t>XNCR</t>
  </si>
  <si>
    <t>XNET</t>
  </si>
  <si>
    <t>XOG</t>
  </si>
  <si>
    <t>XOMA</t>
  </si>
  <si>
    <t>XOMAP</t>
  </si>
  <si>
    <t>XONE</t>
  </si>
  <si>
    <t>XP</t>
  </si>
  <si>
    <t>XPDIU</t>
  </si>
  <si>
    <t>XPEL</t>
  </si>
  <si>
    <t>XPER</t>
  </si>
  <si>
    <t>XRAY</t>
  </si>
  <si>
    <t>XSPA</t>
  </si>
  <si>
    <t>XTLB</t>
  </si>
  <si>
    <t>YGMZ</t>
  </si>
  <si>
    <t>YI</t>
  </si>
  <si>
    <t>YJ</t>
  </si>
  <si>
    <t>YMAB</t>
  </si>
  <si>
    <t>YMTX</t>
  </si>
  <si>
    <t>YNDX</t>
  </si>
  <si>
    <t>YORW</t>
  </si>
  <si>
    <t>YQ</t>
  </si>
  <si>
    <t>YSAC</t>
  </si>
  <si>
    <t>YSACU</t>
  </si>
  <si>
    <t>YTEN</t>
  </si>
  <si>
    <t>YTRA</t>
  </si>
  <si>
    <t>YVR</t>
  </si>
  <si>
    <t>YY</t>
  </si>
  <si>
    <t>Z</t>
  </si>
  <si>
    <t>ZBRA</t>
  </si>
  <si>
    <t>ZCMD</t>
  </si>
  <si>
    <t>ZEAL</t>
  </si>
  <si>
    <t>ZEUS</t>
  </si>
  <si>
    <t>ZG</t>
  </si>
  <si>
    <t>ZGNX</t>
  </si>
  <si>
    <t>ZGYH</t>
  </si>
  <si>
    <t>ZGYHU</t>
  </si>
  <si>
    <t>ZI</t>
  </si>
  <si>
    <t>ZION</t>
  </si>
  <si>
    <t>ZIONL</t>
  </si>
  <si>
    <t>ZIONN</t>
  </si>
  <si>
    <t>ZIONO</t>
  </si>
  <si>
    <t>ZIONP</t>
  </si>
  <si>
    <t>ZIOP</t>
  </si>
  <si>
    <t>ZIXI</t>
  </si>
  <si>
    <t>ZLAB</t>
  </si>
  <si>
    <t>ZM</t>
  </si>
  <si>
    <t>ZNGA</t>
  </si>
  <si>
    <t>ZNTE</t>
  </si>
  <si>
    <t>ZNTEU</t>
  </si>
  <si>
    <t>ZNTL</t>
  </si>
  <si>
    <t>ZS</t>
  </si>
  <si>
    <t>ZSAN</t>
  </si>
  <si>
    <t>ZUMZ</t>
  </si>
  <si>
    <t>ZVO</t>
  </si>
  <si>
    <t>ZWRKU</t>
  </si>
  <si>
    <t>ZYNE</t>
  </si>
  <si>
    <t>ZYXI</t>
  </si>
  <si>
    <t>Bolsa</t>
  </si>
  <si>
    <t>BVMF</t>
  </si>
  <si>
    <t>R$ 82,00</t>
  </si>
  <si>
    <t>R$ 15,20</t>
  </si>
  <si>
    <t>R$ 128,00</t>
  </si>
  <si>
    <t>R$ 30,00</t>
  </si>
  <si>
    <t>R$ 42,10</t>
  </si>
  <si>
    <t>R$ 48,00</t>
  </si>
  <si>
    <t>R$ 60,52</t>
  </si>
  <si>
    <t>R$ 190,00</t>
  </si>
  <si>
    <t>R$ 77,00</t>
  </si>
  <si>
    <t>R$ 10,68</t>
  </si>
  <si>
    <t>R$ 33,00</t>
  </si>
  <si>
    <t>R$ 11,51</t>
  </si>
  <si>
    <t>R$ 1,000000000</t>
  </si>
  <si>
    <t>AED</t>
  </si>
  <si>
    <t>PMSP11B</t>
  </si>
  <si>
    <t>R$ 2.050,00</t>
  </si>
  <si>
    <t>Moeda</t>
  </si>
  <si>
    <t>Preço de Compra</t>
  </si>
  <si>
    <t>PPTA</t>
  </si>
  <si>
    <t>MOAR3</t>
  </si>
  <si>
    <t>SCR</t>
  </si>
  <si>
    <t>AKICU</t>
  </si>
  <si>
    <t>BCACU</t>
  </si>
  <si>
    <t>CFIVU</t>
  </si>
  <si>
    <t>COOLU</t>
  </si>
  <si>
    <t>DUNEU</t>
  </si>
  <si>
    <t>GPACU</t>
  </si>
  <si>
    <t>HBANP</t>
  </si>
  <si>
    <t>NVOS</t>
  </si>
  <si>
    <t>RADA</t>
  </si>
  <si>
    <t>EUSGU</t>
  </si>
  <si>
    <t>OCX</t>
  </si>
  <si>
    <t>GOLD11</t>
  </si>
  <si>
    <t>R$ 37,00</t>
  </si>
  <si>
    <t>Fundos</t>
  </si>
  <si>
    <t>VINO</t>
  </si>
  <si>
    <t>YELL</t>
  </si>
  <si>
    <t>LMACU</t>
  </si>
  <si>
    <t>MONCU</t>
  </si>
  <si>
    <t>NAACU</t>
  </si>
  <si>
    <t>OEPWU</t>
  </si>
  <si>
    <t>OSTRU</t>
  </si>
  <si>
    <t>PGRWU</t>
  </si>
  <si>
    <t>SHACU</t>
  </si>
  <si>
    <t>VOSOU</t>
  </si>
  <si>
    <t>CIH</t>
  </si>
  <si>
    <t>WSC</t>
  </si>
  <si>
    <t>Rendimento Anual</t>
  </si>
  <si>
    <t>Rótulos de Linha</t>
  </si>
  <si>
    <t>Total Geral</t>
  </si>
  <si>
    <t>Soma de  Atual</t>
  </si>
  <si>
    <t>Soma de Rendimento</t>
  </si>
  <si>
    <t>R$ 931,32</t>
  </si>
  <si>
    <t>R$ 2.950,01</t>
  </si>
  <si>
    <t>R$ 60,00</t>
  </si>
  <si>
    <t>PMSP12B</t>
  </si>
  <si>
    <t>R$ 16.000,00</t>
  </si>
  <si>
    <t>GNTY</t>
  </si>
  <si>
    <t>RMRM</t>
  </si>
  <si>
    <t>R$ 41,52</t>
  </si>
  <si>
    <t>26/03/2021</t>
  </si>
  <si>
    <t>BlockFi</t>
  </si>
  <si>
    <t>CFFVU</t>
  </si>
  <si>
    <t>LATNU</t>
  </si>
  <si>
    <t>SSPKU</t>
  </si>
  <si>
    <t>R$ 74,88</t>
  </si>
  <si>
    <t>26/04/2021</t>
  </si>
  <si>
    <t>AMHCU</t>
  </si>
  <si>
    <t>APLS</t>
  </si>
  <si>
    <t>BCML</t>
  </si>
  <si>
    <t>ERYP</t>
  </si>
  <si>
    <t>LEE</t>
  </si>
  <si>
    <t>OBNK</t>
  </si>
  <si>
    <t>REPL</t>
  </si>
  <si>
    <t>SLDB</t>
  </si>
  <si>
    <t>SND</t>
  </si>
  <si>
    <t>R$ 57,11</t>
  </si>
  <si>
    <t>TLC</t>
  </si>
  <si>
    <t>TPIC</t>
  </si>
  <si>
    <t>TRVI</t>
  </si>
  <si>
    <t>ZKIN</t>
  </si>
  <si>
    <t>R$ 3.400,00</t>
  </si>
  <si>
    <t>R$ 9,08</t>
  </si>
  <si>
    <t>R$ 10,80</t>
  </si>
  <si>
    <t>MNPR3</t>
  </si>
  <si>
    <t>R$ 40,00</t>
  </si>
  <si>
    <t>SOND3</t>
  </si>
  <si>
    <t>Tesouro + IPCA 2035</t>
  </si>
  <si>
    <t>RICO</t>
  </si>
  <si>
    <t xml:space="preserve"> </t>
  </si>
  <si>
    <t>R$ 5,12</t>
  </si>
  <si>
    <t>BIOX</t>
  </si>
  <si>
    <t>NYMTP</t>
  </si>
  <si>
    <t>VCYT</t>
  </si>
  <si>
    <t>R$ 89,00</t>
  </si>
  <si>
    <t>R$ 8,60</t>
  </si>
  <si>
    <t>R$ 5,37</t>
  </si>
  <si>
    <t>R$ 18,40</t>
  </si>
  <si>
    <t>R$ 22,31</t>
  </si>
  <si>
    <t>R$ 65,80</t>
  </si>
  <si>
    <t>R$ 21,80</t>
  </si>
  <si>
    <t>R$ 41,00</t>
  </si>
  <si>
    <t>R$ 58,00</t>
  </si>
  <si>
    <t>R$ 40,20</t>
  </si>
  <si>
    <t>R$ 12,53</t>
  </si>
  <si>
    <t>R$ 8,44</t>
  </si>
  <si>
    <t>R$ 13,25</t>
  </si>
  <si>
    <t>R$ 14,94</t>
  </si>
  <si>
    <t>SBFG3</t>
  </si>
  <si>
    <t>ALRS</t>
  </si>
  <si>
    <t>R$ 13,61</t>
  </si>
  <si>
    <t>R$ 13,35</t>
  </si>
  <si>
    <t>R$ 12,18</t>
  </si>
  <si>
    <t>R$ 15,10</t>
  </si>
  <si>
    <t>R$ 25,90</t>
  </si>
  <si>
    <t>HON</t>
  </si>
  <si>
    <t>MCBS</t>
  </si>
  <si>
    <t>R$ 6,09</t>
  </si>
  <si>
    <t>R$ 8,95</t>
  </si>
  <si>
    <t>TLRY</t>
  </si>
  <si>
    <t>R$ 12,23</t>
  </si>
  <si>
    <t>R$ 9,57</t>
  </si>
  <si>
    <t>R$ 17,50</t>
  </si>
  <si>
    <t>R$ 6,14</t>
  </si>
  <si>
    <t>R$ 18,99</t>
  </si>
  <si>
    <t>R$ 15,01</t>
  </si>
  <si>
    <t>R$ 57,99</t>
  </si>
  <si>
    <t>R$ 120.306,00</t>
  </si>
  <si>
    <t>R$ 16,27</t>
  </si>
  <si>
    <t>R$ 120,00</t>
  </si>
  <si>
    <t>R$ 8,11</t>
  </si>
  <si>
    <t>R$ 39,70</t>
  </si>
  <si>
    <t>R$ 12,74</t>
  </si>
  <si>
    <t>R$ 4,04</t>
  </si>
  <si>
    <t>R$ 4,30</t>
  </si>
  <si>
    <t>R$ 29,10</t>
  </si>
  <si>
    <t>R$ 5,10</t>
  </si>
  <si>
    <t>R$ 38,07</t>
  </si>
  <si>
    <t>R$ 29,73</t>
  </si>
  <si>
    <t>R$ 167,00</t>
  </si>
  <si>
    <t>R$ 6,28</t>
  </si>
  <si>
    <t>R$ 7,98</t>
  </si>
  <si>
    <t>R$ 10,64</t>
  </si>
  <si>
    <t>R$ 28,40</t>
  </si>
  <si>
    <t>R$ 6,75</t>
  </si>
  <si>
    <t>R$ 14,84</t>
  </si>
  <si>
    <t>R$ 34,30</t>
  </si>
  <si>
    <t>R$ 24,20</t>
  </si>
  <si>
    <t>R$ 16,17</t>
  </si>
  <si>
    <t>R$ 27,12</t>
  </si>
  <si>
    <t>R$ 9,52</t>
  </si>
  <si>
    <t>R$ 10,90</t>
  </si>
  <si>
    <t>R$ 12,95</t>
  </si>
  <si>
    <t>Cryptomoeadas</t>
  </si>
  <si>
    <t>R$ 37,14</t>
  </si>
  <si>
    <t>R$ 21,44</t>
  </si>
  <si>
    <t>R$ 17,40</t>
  </si>
  <si>
    <t>R$ 12,07</t>
  </si>
  <si>
    <t>R$ 12,44</t>
  </si>
  <si>
    <t>R$ 63,23</t>
  </si>
  <si>
    <t>R$ 9,94</t>
  </si>
  <si>
    <t>R$ 44,56</t>
  </si>
  <si>
    <t>R$ 35,20</t>
  </si>
  <si>
    <t>R$ 8,19</t>
  </si>
  <si>
    <t>R$ 62,00</t>
  </si>
  <si>
    <t>R$ 24,51</t>
  </si>
  <si>
    <t>R$ 12,28</t>
  </si>
  <si>
    <t>R$ 9,31</t>
  </si>
  <si>
    <t>R$ 5,71</t>
  </si>
  <si>
    <t>R$ 10,40</t>
  </si>
  <si>
    <t>R$ 3,89</t>
  </si>
  <si>
    <t>R$ 35,46</t>
  </si>
  <si>
    <t>R$ 6,50</t>
  </si>
  <si>
    <t>R$ 4,81</t>
  </si>
  <si>
    <t>R$ 17,30</t>
  </si>
  <si>
    <t>R$ 9,70</t>
  </si>
  <si>
    <t>R$ 7,49</t>
  </si>
  <si>
    <t>R$ 5,89</t>
  </si>
  <si>
    <t>R$ 8,31</t>
  </si>
  <si>
    <t>R$ 24,29</t>
  </si>
  <si>
    <t>R$ 9,98</t>
  </si>
  <si>
    <t>R$ 15,96</t>
  </si>
  <si>
    <t>R$ 78,00</t>
  </si>
  <si>
    <t>R$ 4,98</t>
  </si>
  <si>
    <t>R$ 21,68</t>
  </si>
  <si>
    <t>R$ 21,69</t>
  </si>
  <si>
    <t>R$ 6,03</t>
  </si>
  <si>
    <t>R$ 19,21</t>
  </si>
  <si>
    <t>R$ 10,24</t>
  </si>
  <si>
    <t>R$ 8,97</t>
  </si>
  <si>
    <t>R$ 20,75</t>
  </si>
  <si>
    <t>R$ 22,80</t>
  </si>
  <si>
    <t>R$ 21,20</t>
  </si>
  <si>
    <t>R$ 69,00</t>
  </si>
  <si>
    <t>R$ 250,00</t>
  </si>
  <si>
    <t>BSEV3</t>
  </si>
  <si>
    <t>R$ 9,00</t>
  </si>
  <si>
    <t>R$ 11,31</t>
  </si>
  <si>
    <t>R$ 44,00</t>
  </si>
  <si>
    <t>R$ 36,00</t>
  </si>
  <si>
    <t>R$ 26,10</t>
  </si>
  <si>
    <t>R$ 46,20</t>
  </si>
  <si>
    <t>R$ 70,02</t>
  </si>
  <si>
    <t>R$ 35,69</t>
  </si>
  <si>
    <t>R$ 38,94</t>
  </si>
  <si>
    <t>R$ 38,00</t>
  </si>
  <si>
    <t>R$ 72,42</t>
  </si>
  <si>
    <t>R$ 57,00</t>
  </si>
  <si>
    <t>R$ 16,41</t>
  </si>
  <si>
    <t>R$ 27,50</t>
  </si>
  <si>
    <t>R$ 20,60</t>
  </si>
  <si>
    <t>R$ 19,50</t>
  </si>
  <si>
    <t>R$ 30,36</t>
  </si>
  <si>
    <t>R$ 59,99</t>
  </si>
  <si>
    <t>R$ 6,26</t>
  </si>
  <si>
    <t>R$ 70,01</t>
  </si>
  <si>
    <t>R$ 69,10</t>
  </si>
  <si>
    <t>R$ 7,40</t>
  </si>
  <si>
    <t>R$ 46,65</t>
  </si>
  <si>
    <t>R$ 699,00</t>
  </si>
  <si>
    <t>R$ 560,00</t>
  </si>
  <si>
    <t>R$ 10,19</t>
  </si>
  <si>
    <t>R$ 9,60</t>
  </si>
  <si>
    <t>R$ 10,20</t>
  </si>
  <si>
    <t>R$ 25,58</t>
  </si>
  <si>
    <t>R$ 24,98</t>
  </si>
  <si>
    <t>R$ 9,97</t>
  </si>
  <si>
    <t>R$ 20,91</t>
  </si>
  <si>
    <t>R$ 26,70</t>
  </si>
  <si>
    <t>R$ 7,57</t>
  </si>
  <si>
    <t>R$ 27,11</t>
  </si>
  <si>
    <t>R$ 33,33</t>
  </si>
  <si>
    <t>R$ 66,98</t>
  </si>
  <si>
    <t>R$ 41,14</t>
  </si>
  <si>
    <t>R$ 5,60</t>
  </si>
  <si>
    <t>R$ 89,88</t>
  </si>
  <si>
    <t>R$ 6,05</t>
  </si>
  <si>
    <t>R$ 2,88</t>
  </si>
  <si>
    <t>R$ 13,80</t>
  </si>
  <si>
    <t>R$ 7,99</t>
  </si>
  <si>
    <t>R$ 34,38</t>
  </si>
  <si>
    <t>R$ 4,80</t>
  </si>
  <si>
    <t>R$ 32,99</t>
  </si>
  <si>
    <t>R$ 29,41</t>
  </si>
  <si>
    <t>R$ 22,10</t>
  </si>
  <si>
    <t>R$ 7,44</t>
  </si>
  <si>
    <t>R$ 51,00</t>
  </si>
  <si>
    <t>R$ 18,57</t>
  </si>
  <si>
    <t>R$ 37,37</t>
  </si>
  <si>
    <t>R$ 13,30</t>
  </si>
  <si>
    <t>R$ 28,00</t>
  </si>
  <si>
    <t>R$ 72,01</t>
  </si>
  <si>
    <t>R$ 342,00</t>
  </si>
  <si>
    <t>R$ 46,00</t>
  </si>
  <si>
    <t>R$ 2,10</t>
  </si>
  <si>
    <t>R$ 14,00</t>
  </si>
  <si>
    <t>R$ 299,00</t>
  </si>
  <si>
    <t>R$ 59,95</t>
  </si>
  <si>
    <t>R$ 19,90</t>
  </si>
  <si>
    <t>R$ 240,00</t>
  </si>
  <si>
    <t>R$ 12,81</t>
  </si>
  <si>
    <t>R$ 1,59</t>
  </si>
  <si>
    <t>R$ 101,00</t>
  </si>
  <si>
    <t>R$ 1,74</t>
  </si>
  <si>
    <t>R$ 37,40</t>
  </si>
  <si>
    <t>R$ 11,82</t>
  </si>
  <si>
    <t>R$ 20,52</t>
  </si>
  <si>
    <t>R$ 6,80</t>
  </si>
  <si>
    <t>R$ 20,01</t>
  </si>
  <si>
    <t>R$ 43,19</t>
  </si>
  <si>
    <t>R$ 25,00</t>
  </si>
  <si>
    <t>R$ 22,15</t>
  </si>
  <si>
    <t>R$ 50,65</t>
  </si>
  <si>
    <t>R$ 22,40</t>
  </si>
  <si>
    <t>R$ 45,50</t>
  </si>
  <si>
    <t>R$ 52,50</t>
  </si>
  <si>
    <t>R$ 2,97</t>
  </si>
  <si>
    <t>R$ 17,83</t>
  </si>
  <si>
    <t>R$ 45,85</t>
  </si>
  <si>
    <t>R$ 36,25</t>
  </si>
  <si>
    <t>R$ 14,51</t>
  </si>
  <si>
    <t>R$ 72,98</t>
  </si>
  <si>
    <t>R$ 83,50</t>
  </si>
  <si>
    <t>R$ 24,21</t>
  </si>
  <si>
    <t>R$ 93,99</t>
  </si>
  <si>
    <t>R$ 9,26</t>
  </si>
  <si>
    <t>R$ 2,19</t>
  </si>
  <si>
    <t>R$ 8,85</t>
  </si>
  <si>
    <t>R$ 45,00</t>
  </si>
  <si>
    <t>R$ 10,33</t>
  </si>
  <si>
    <t>R$ 386,00</t>
  </si>
  <si>
    <t>R$ 703,26</t>
  </si>
  <si>
    <t>R$ 111,55</t>
  </si>
  <si>
    <t>R$ 14,28</t>
  </si>
  <si>
    <t>R$ 2.899,90</t>
  </si>
  <si>
    <t>R$ 142,00</t>
  </si>
  <si>
    <t>R$ 79,97</t>
  </si>
  <si>
    <t>R$ 403,30</t>
  </si>
  <si>
    <t>R$ 138,00</t>
  </si>
  <si>
    <t>R$ 139,01</t>
  </si>
  <si>
    <t>R$ 2,96</t>
  </si>
  <si>
    <t>R$ 39,52</t>
  </si>
  <si>
    <t>R$ 125,00</t>
  </si>
  <si>
    <t>R$ 45,47</t>
  </si>
  <si>
    <t>R$ 20,87</t>
  </si>
  <si>
    <t>R$ 52,90</t>
  </si>
  <si>
    <t>R$ 6,99</t>
  </si>
  <si>
    <t>R$ 18,73</t>
  </si>
  <si>
    <t>R$ 209,77</t>
  </si>
  <si>
    <t>R$ 16,58</t>
  </si>
  <si>
    <t>R$ 54,25</t>
  </si>
  <si>
    <t>ACB</t>
  </si>
  <si>
    <t>R$ 19,70</t>
  </si>
  <si>
    <t>R$ 2,81</t>
  </si>
  <si>
    <t>R$ 13,87</t>
  </si>
  <si>
    <t>R$ 5,32</t>
  </si>
  <si>
    <t>R$ 18,83</t>
  </si>
  <si>
    <t>R$ 2,66</t>
  </si>
  <si>
    <t>R$ 31,93</t>
  </si>
  <si>
    <t>R$ 11,36</t>
  </si>
  <si>
    <t>R$ 12,69</t>
  </si>
  <si>
    <t>R$ 63,66</t>
  </si>
  <si>
    <t>R$ 7,93</t>
  </si>
  <si>
    <t>R$ 21,85</t>
  </si>
  <si>
    <t>R$ 21,90</t>
  </si>
  <si>
    <t>R$ 5,22</t>
  </si>
  <si>
    <t>R$ 9,11</t>
  </si>
  <si>
    <t>R$ 15,30</t>
  </si>
  <si>
    <t>R$ 8,50</t>
  </si>
  <si>
    <t>R$ 21,95</t>
  </si>
  <si>
    <t>R$ 22,77</t>
  </si>
  <si>
    <t>R$ 26,36</t>
  </si>
  <si>
    <t>R$ 20,62</t>
  </si>
  <si>
    <t>R$ 174,87</t>
  </si>
  <si>
    <t>R$ 6,29</t>
  </si>
  <si>
    <t>ASRT</t>
  </si>
  <si>
    <t>R$ 6,40</t>
  </si>
  <si>
    <t>R$ 7,32</t>
  </si>
  <si>
    <t>R$ 8,39</t>
  </si>
  <si>
    <t>R$ 14,99</t>
  </si>
  <si>
    <t>R$ 36,74</t>
  </si>
  <si>
    <t>R$ 190,48</t>
  </si>
  <si>
    <t>R$ 4,50</t>
  </si>
  <si>
    <t>R$ 42,94</t>
  </si>
  <si>
    <t>R$ 7,27</t>
  </si>
  <si>
    <t>R$ 16,63</t>
  </si>
  <si>
    <t>R$ 223,43</t>
  </si>
  <si>
    <t>R$ 192,68</t>
  </si>
  <si>
    <t>R$ 14,07</t>
  </si>
  <si>
    <t>R$ 173,54</t>
  </si>
  <si>
    <t>R$ 13,00</t>
  </si>
  <si>
    <t>R$ 4,76</t>
  </si>
  <si>
    <t>R$ 21,08</t>
  </si>
  <si>
    <t>R$ 15,71</t>
  </si>
  <si>
    <t>R$ 11,67</t>
  </si>
  <si>
    <t>R$ 8,65</t>
  </si>
  <si>
    <t>R$ 10,75</t>
  </si>
  <si>
    <t>R$ 199,28</t>
  </si>
  <si>
    <t>R$ 23,95</t>
  </si>
  <si>
    <t>R$ 10,13</t>
  </si>
  <si>
    <t>R$ 17,86</t>
  </si>
  <si>
    <t>R$ 416,01</t>
  </si>
  <si>
    <t>R$ 30,19</t>
  </si>
  <si>
    <t>R$ 11,41</t>
  </si>
  <si>
    <t>R$ 31,88</t>
  </si>
  <si>
    <t>R$ 200,56</t>
  </si>
  <si>
    <t>R$ 8,24</t>
  </si>
  <si>
    <t>R$ 12,85</t>
  </si>
  <si>
    <t>R$ 18,27</t>
  </si>
  <si>
    <t>R$ 202,09</t>
  </si>
  <si>
    <t>R$ 25,49</t>
  </si>
  <si>
    <t>R$ 185,21</t>
  </si>
  <si>
    <t>R$ 15,86</t>
  </si>
  <si>
    <t>R$ 220,26</t>
  </si>
  <si>
    <t>R$ 10,18</t>
  </si>
  <si>
    <t>R$ 12,79</t>
  </si>
  <si>
    <t>R$ 7,01</t>
  </si>
  <si>
    <t>R$ 7,11</t>
  </si>
  <si>
    <t>R$ 174,36</t>
  </si>
  <si>
    <t>R$ 179,12</t>
  </si>
  <si>
    <t>R$ 10,39</t>
  </si>
  <si>
    <t>R$ 8,90</t>
  </si>
  <si>
    <t>R$ 18,94</t>
  </si>
  <si>
    <t>R$ 17,35</t>
  </si>
  <si>
    <t>R$ 8,70</t>
  </si>
  <si>
    <t>R$ 11,92</t>
  </si>
  <si>
    <t>R$ 29,27</t>
  </si>
  <si>
    <t>R$ 9,62</t>
  </si>
  <si>
    <t>R$ 25,84</t>
  </si>
  <si>
    <t>R$ 19,40</t>
  </si>
  <si>
    <t>R$ 190,89</t>
  </si>
  <si>
    <t>R$ 184,95</t>
  </si>
  <si>
    <t>R$ 1.171,73</t>
  </si>
  <si>
    <t>R$ 9,06</t>
  </si>
  <si>
    <t>R$ 199,79</t>
  </si>
  <si>
    <t>R$ 9,72</t>
  </si>
  <si>
    <t>R$ 32,75</t>
  </si>
  <si>
    <t>R$ 187,97</t>
  </si>
  <si>
    <t>R$ 31,06</t>
  </si>
  <si>
    <t>R$ 18,01</t>
  </si>
  <si>
    <t>R$ 14,33</t>
  </si>
  <si>
    <t>R$ 14,38</t>
  </si>
  <si>
    <t>R$ 4,91</t>
  </si>
  <si>
    <t>R$ 9,93</t>
  </si>
  <si>
    <t>R$ 180,45</t>
  </si>
  <si>
    <t>R$ 235,61</t>
  </si>
  <si>
    <t>R$ 16,07</t>
  </si>
  <si>
    <t>R$ 7,42</t>
  </si>
  <si>
    <t>R$ 30,65</t>
  </si>
  <si>
    <t>R$ 198,56</t>
  </si>
  <si>
    <t>R$ 12,13</t>
  </si>
  <si>
    <t>R$ 91,50</t>
  </si>
  <si>
    <t>R$ 197,90</t>
  </si>
  <si>
    <t>R$ 31,47</t>
  </si>
  <si>
    <t>R$ 390,73</t>
  </si>
  <si>
    <t>R$ 42,48</t>
  </si>
  <si>
    <t>R$ 34,59</t>
  </si>
  <si>
    <t>R$ 12,33</t>
  </si>
  <si>
    <t>R$ 1,33</t>
  </si>
  <si>
    <t>R$ 188,74</t>
  </si>
  <si>
    <t>R$ 23,59</t>
  </si>
  <si>
    <t>R$ 14,12</t>
  </si>
  <si>
    <t>R$ 9,21</t>
  </si>
  <si>
    <t>R$ 19,24</t>
  </si>
  <si>
    <t>R$ 19,29</t>
  </si>
  <si>
    <t>R$ 187,10</t>
  </si>
  <si>
    <t>R$ 4,40</t>
  </si>
  <si>
    <t>R$ 5,68</t>
  </si>
  <si>
    <t>R$ 13,92</t>
  </si>
  <si>
    <t>R$ 7,37</t>
  </si>
  <si>
    <t>NSPR</t>
  </si>
  <si>
    <t>R$ 175,28</t>
  </si>
  <si>
    <t>R$ 578,14</t>
  </si>
  <si>
    <t>R$ 5,07</t>
  </si>
  <si>
    <t>R$ 19,65</t>
  </si>
  <si>
    <t>R$ 16,73</t>
  </si>
  <si>
    <t>R$ 25,43</t>
  </si>
  <si>
    <t>R$ 192,78</t>
  </si>
  <si>
    <t>R$ 13,10</t>
  </si>
  <si>
    <t>R$ 26,30</t>
  </si>
  <si>
    <t>R$ 185,67</t>
  </si>
  <si>
    <t>R$ 19,34</t>
  </si>
  <si>
    <t>R$ 11,26</t>
  </si>
  <si>
    <t>R$ 184,90</t>
  </si>
  <si>
    <t>R$ 39,00</t>
  </si>
  <si>
    <t>R$ 14,79</t>
  </si>
  <si>
    <t>R$ 219,34</t>
  </si>
  <si>
    <t>R$ 12,38</t>
  </si>
  <si>
    <t>R$ 191,86</t>
  </si>
  <si>
    <t>R$ 5,83</t>
  </si>
  <si>
    <t>R$ 388,43</t>
  </si>
  <si>
    <t>R$ 187,51</t>
  </si>
  <si>
    <t>R$ 215,91</t>
  </si>
  <si>
    <t>R$ 24,87</t>
  </si>
  <si>
    <t>R$ 201,07</t>
  </si>
  <si>
    <t>R$ 25,38</t>
  </si>
  <si>
    <t>R$ 12,64</t>
  </si>
  <si>
    <t>R$ 6,04</t>
  </si>
  <si>
    <t>R$ 30,71</t>
  </si>
  <si>
    <t>R$ 22,82</t>
  </si>
  <si>
    <t>R$ 7,52</t>
  </si>
  <si>
    <t>R$ 3,33</t>
  </si>
  <si>
    <t>R$ 15,35</t>
  </si>
  <si>
    <t>R$ 214,12</t>
  </si>
  <si>
    <t>R$ 31,52</t>
  </si>
  <si>
    <t>R$ 10,59</t>
  </si>
  <si>
    <t>R$ 3,07</t>
  </si>
  <si>
    <t>R$ 16,53</t>
  </si>
  <si>
    <t>R$ 19,75</t>
  </si>
  <si>
    <t>R$ 173,49</t>
  </si>
  <si>
    <t>R$ 2.837,45</t>
  </si>
  <si>
    <t>R$ 173,95</t>
  </si>
  <si>
    <t>R$ 20,93</t>
  </si>
  <si>
    <t>R$ 28,86</t>
  </si>
  <si>
    <t>R$ 188,79</t>
  </si>
  <si>
    <t>R$ 4,86</t>
  </si>
  <si>
    <t>Tesouro + IPCA 2026</t>
  </si>
  <si>
    <t>Binance</t>
  </si>
  <si>
    <t>Reserva</t>
  </si>
  <si>
    <t>R$ 140,54</t>
  </si>
  <si>
    <t>R$ 52,13</t>
  </si>
  <si>
    <t>R$ 26,09</t>
  </si>
  <si>
    <t>R$ 57,66</t>
  </si>
  <si>
    <t>R$ 27,93</t>
  </si>
  <si>
    <t>R$ 54,90</t>
  </si>
  <si>
    <t>R$ 60,17</t>
  </si>
  <si>
    <t>R$ 56,89</t>
  </si>
  <si>
    <t>R$ 31,21</t>
  </si>
  <si>
    <t>R$ 53,77</t>
  </si>
  <si>
    <t>R$ 115,99</t>
  </si>
  <si>
    <t>R$ 145,05</t>
  </si>
  <si>
    <t>R$ 87,34</t>
  </si>
  <si>
    <t>R$ 26,35</t>
  </si>
  <si>
    <t>R$ 57,05</t>
  </si>
  <si>
    <t>R$ 27,32</t>
  </si>
  <si>
    <t>R$ 55,10</t>
  </si>
  <si>
    <t>R$ 50,85</t>
  </si>
  <si>
    <t>R$ 9,53</t>
  </si>
  <si>
    <t>R$ 54,69</t>
  </si>
  <si>
    <t>R$ 199,64</t>
  </si>
  <si>
    <t>R$ 225,12</t>
  </si>
  <si>
    <t>R$ 27,88</t>
  </si>
  <si>
    <t>R$ 4,36</t>
  </si>
  <si>
    <t>R$ 54,28</t>
  </si>
  <si>
    <t>R$ 25,63</t>
  </si>
  <si>
    <t>R$ 142,13</t>
  </si>
  <si>
    <t>R$ 26,40</t>
  </si>
  <si>
    <t>R$ 55,56</t>
  </si>
  <si>
    <t>R$ 52,49</t>
  </si>
  <si>
    <t>R$ 54,49</t>
  </si>
  <si>
    <t>R$ 143,26</t>
  </si>
  <si>
    <t>R$ 392,11</t>
  </si>
  <si>
    <t>R$ 143,82</t>
  </si>
  <si>
    <t>R$ 55,05</t>
  </si>
  <si>
    <t>R$ 420,66</t>
  </si>
  <si>
    <t>R$ 171,04</t>
  </si>
  <si>
    <t>R$ 13,33</t>
  </si>
  <si>
    <t>R$ 137,83</t>
  </si>
  <si>
    <t>R$ 194,06</t>
  </si>
  <si>
    <t>R$ 52,95</t>
  </si>
  <si>
    <t>R$ 53,00</t>
  </si>
  <si>
    <t>R$ 57,30</t>
  </si>
  <si>
    <t>R$ 59,35</t>
  </si>
  <si>
    <t>R$ 24,76</t>
  </si>
  <si>
    <t>R$ 23,07</t>
  </si>
  <si>
    <t>R$ 29,88</t>
  </si>
  <si>
    <t>R$ 139,93</t>
  </si>
  <si>
    <t>R$ 393,24</t>
  </si>
  <si>
    <t>R$ 112,46</t>
  </si>
  <si>
    <t>R$ 11,43</t>
  </si>
  <si>
    <t>R$ 51,15</t>
  </si>
  <si>
    <t>R$ 58,79</t>
  </si>
  <si>
    <t>R$ 23,89</t>
  </si>
  <si>
    <t>R$ 46,44</t>
  </si>
  <si>
    <t>R$ 25,53</t>
  </si>
  <si>
    <t>R$ 140,75</t>
  </si>
  <si>
    <t>R$ 45,67</t>
  </si>
  <si>
    <t>R$ 142,34</t>
  </si>
  <si>
    <t>R$ 27,37</t>
  </si>
  <si>
    <t>R$ 4,05</t>
  </si>
  <si>
    <t>R$ 89,54</t>
  </si>
  <si>
    <t>R$ 81,14</t>
  </si>
  <si>
    <t>R$ 83,09</t>
  </si>
  <si>
    <t>R$ 108,77</t>
  </si>
  <si>
    <t>R$ 168,84</t>
  </si>
  <si>
    <t>R$ 8,66</t>
  </si>
  <si>
    <t>R$ 29,93</t>
  </si>
  <si>
    <t>R$ 26,45</t>
  </si>
  <si>
    <t>R$ 55,92</t>
  </si>
  <si>
    <t>R$ 29,52</t>
  </si>
  <si>
    <t>R$ 27,99</t>
  </si>
  <si>
    <t>R$ 82,88</t>
  </si>
  <si>
    <t>R$ 54,23</t>
  </si>
  <si>
    <t>R$ 18,61</t>
  </si>
  <si>
    <t>R$ 30,34</t>
  </si>
  <si>
    <t>R$ 58,84</t>
  </si>
  <si>
    <t>R$ 53,72</t>
  </si>
  <si>
    <t>R$ 139,62</t>
  </si>
  <si>
    <t>R$ 55,00</t>
  </si>
  <si>
    <t>R$ 113,79</t>
  </si>
  <si>
    <t>R$ 52,08</t>
  </si>
  <si>
    <t>R$ 168,07</t>
  </si>
  <si>
    <t>R$ 86,67</t>
  </si>
  <si>
    <t>R$ 137,47</t>
  </si>
  <si>
    <t>R$ 25,12</t>
  </si>
  <si>
    <t>R$ 55,72</t>
  </si>
  <si>
    <t>R$ 12,97</t>
  </si>
  <si>
    <t>R$ 27,42</t>
  </si>
  <si>
    <t>R$ 58,48</t>
  </si>
  <si>
    <t>R$ 27,78</t>
  </si>
  <si>
    <t>R$ 53,67</t>
  </si>
  <si>
    <t>R$ 54,74</t>
  </si>
  <si>
    <t>R$ 29,57</t>
  </si>
  <si>
    <t>R$ 18,20</t>
  </si>
  <si>
    <t>R$ 30,39</t>
  </si>
  <si>
    <t>R$ 142,39</t>
  </si>
  <si>
    <t>R$ 192,42</t>
  </si>
  <si>
    <t>R$ 60,12</t>
  </si>
  <si>
    <t>R$ 23,94</t>
  </si>
  <si>
    <t>R$ 169,55</t>
  </si>
  <si>
    <t>R$ 8,92</t>
  </si>
  <si>
    <t>R$ 114,81</t>
  </si>
  <si>
    <t>R$ 29,98</t>
  </si>
  <si>
    <t>R$ 110,51</t>
  </si>
  <si>
    <t>R$ 55,82</t>
  </si>
  <si>
    <t>R$ 55,15</t>
  </si>
  <si>
    <t>R$ 30,70</t>
  </si>
  <si>
    <t>R$ 58,53</t>
  </si>
  <si>
    <t>R$ 28,04</t>
  </si>
  <si>
    <t>R$ 85,85</t>
  </si>
  <si>
    <t>R$ 30,24</t>
  </si>
  <si>
    <t>R$ 28,91</t>
  </si>
  <si>
    <t>R$ 143,00</t>
  </si>
  <si>
    <t>R$ 139,67</t>
  </si>
  <si>
    <t>R$ 55,20</t>
  </si>
  <si>
    <t>R$ 26,50</t>
  </si>
  <si>
    <t>R$ 83,75</t>
  </si>
  <si>
    <t>R$ 61,81</t>
  </si>
  <si>
    <t>R$ 23,53</t>
  </si>
  <si>
    <t>R$ 13,94</t>
  </si>
  <si>
    <t>R$ 58,89</t>
  </si>
  <si>
    <t>R$ 393,29</t>
  </si>
  <si>
    <t>R$ 8,20</t>
  </si>
  <si>
    <t>R$ 16,66</t>
  </si>
  <si>
    <t>R$ 57,51</t>
  </si>
  <si>
    <t>R$ 54,59</t>
  </si>
  <si>
    <t>R$ 7,59</t>
  </si>
  <si>
    <t>R$ 3,84</t>
  </si>
  <si>
    <t>R$ 53,82</t>
  </si>
  <si>
    <t>R$ 53,31</t>
  </si>
  <si>
    <t>R$ 7,48</t>
  </si>
  <si>
    <t>R$ 19,89</t>
  </si>
  <si>
    <t>R$ 140,70</t>
  </si>
  <si>
    <t>R$ 140,90</t>
  </si>
  <si>
    <t>R$ 24,30</t>
  </si>
  <si>
    <t>R$ 111,89</t>
  </si>
  <si>
    <t>R$ 27,83</t>
  </si>
  <si>
    <t>R$ 251,77</t>
  </si>
  <si>
    <t>R$ 193,65</t>
  </si>
  <si>
    <t>R$ 226,96</t>
  </si>
  <si>
    <t>R$ 25,99</t>
  </si>
  <si>
    <t>R$ 112,81</t>
  </si>
  <si>
    <t>R$ 53,87</t>
  </si>
  <si>
    <t>R$ 54,95</t>
  </si>
  <si>
    <t>R$ 167,35</t>
  </si>
  <si>
    <t>R$ 9,28</t>
  </si>
  <si>
    <t>R$ 53,41</t>
  </si>
  <si>
    <t>R$ 102,00</t>
  </si>
  <si>
    <t>R$ 31,11</t>
  </si>
  <si>
    <t>R$ 171,91</t>
  </si>
  <si>
    <t>R$ 60,07</t>
  </si>
  <si>
    <t>R$ 141,47</t>
  </si>
  <si>
    <t>R$ 82,73</t>
  </si>
  <si>
    <t>R$ 115,58</t>
  </si>
  <si>
    <t>R$ 256,28</t>
  </si>
  <si>
    <t>R$ 280,27</t>
  </si>
  <si>
    <t>R$ 51,67</t>
  </si>
  <si>
    <t>R$ 109,23</t>
  </si>
  <si>
    <t>R$ 167,66</t>
  </si>
  <si>
    <t>R$ 193,29</t>
  </si>
  <si>
    <t>R$ 87,08</t>
  </si>
  <si>
    <t>R$ 393,95</t>
  </si>
  <si>
    <t>R$ 163,87</t>
  </si>
  <si>
    <t>R$ 334,96</t>
  </si>
  <si>
    <t>R$ 30,29</t>
  </si>
  <si>
    <t>R$ 56,02</t>
  </si>
  <si>
    <t>R$ 84,32</t>
  </si>
  <si>
    <t>R$ 110,97</t>
  </si>
  <si>
    <t>R$ 31,16</t>
  </si>
  <si>
    <t>R$ 56,74</t>
  </si>
  <si>
    <t>R$ 84,57</t>
  </si>
  <si>
    <t>R$ 26,14</t>
  </si>
  <si>
    <t>R$ 28,24</t>
  </si>
  <si>
    <t>R$ 86,93</t>
  </si>
  <si>
    <t>R$ 26,04</t>
  </si>
  <si>
    <t>R$ 114,00</t>
  </si>
  <si>
    <t>R$ 88,05</t>
  </si>
  <si>
    <t>R$ 201,00</t>
  </si>
  <si>
    <t>R$ 105,06</t>
  </si>
  <si>
    <t>R$ 95,00</t>
  </si>
  <si>
    <t>R$ 79,98</t>
  </si>
  <si>
    <t>R$ 87,40</t>
  </si>
  <si>
    <t>R$ 23,21</t>
  </si>
  <si>
    <t>R$ 63,09</t>
  </si>
  <si>
    <t>R$ 500,10</t>
  </si>
  <si>
    <t>R$ 879,45</t>
  </si>
  <si>
    <t>R$ 241,70</t>
  </si>
  <si>
    <t>R$ 9,09</t>
  </si>
  <si>
    <t>R$ 136,12</t>
  </si>
  <si>
    <t>R$ 83,23</t>
  </si>
  <si>
    <t>R$ 98,70</t>
  </si>
  <si>
    <t>R$ 20,85</t>
  </si>
  <si>
    <t>R$ 35,70</t>
  </si>
  <si>
    <t>R$ 197,69</t>
  </si>
  <si>
    <t>R$ 60,19</t>
  </si>
  <si>
    <t>R$ 52,31</t>
  </si>
  <si>
    <t>R$ 8,91</t>
  </si>
  <si>
    <t>R$ 9,15</t>
  </si>
  <si>
    <t>R$ 21,50</t>
  </si>
  <si>
    <t>R$ 23,40</t>
  </si>
  <si>
    <t>R$ 21,62</t>
  </si>
  <si>
    <t>R$ 14,95</t>
  </si>
  <si>
    <t>R$ 15,60</t>
  </si>
  <si>
    <t>R$ 1,76</t>
  </si>
  <si>
    <t>R$ 58,81</t>
  </si>
  <si>
    <t>R$ 57,40</t>
  </si>
  <si>
    <t>R$ 192,17</t>
  </si>
  <si>
    <t>R$ 194,99</t>
  </si>
  <si>
    <t>R$ 195,00</t>
  </si>
  <si>
    <t>R$ 10,60</t>
  </si>
  <si>
    <t>R$ 150,00</t>
  </si>
  <si>
    <t>R$ 34,50</t>
  </si>
  <si>
    <t>R$ 6,25</t>
  </si>
  <si>
    <t>R$ 4,13</t>
  </si>
  <si>
    <t>R$ 3,17</t>
  </si>
  <si>
    <t>R$ 31,51</t>
  </si>
  <si>
    <t>R$ 3,96</t>
  </si>
  <si>
    <t>R$ 25,75</t>
  </si>
  <si>
    <t>R$ 6,74</t>
  </si>
  <si>
    <t>R$ 12,83</t>
  </si>
  <si>
    <t>R$ 97,35</t>
  </si>
  <si>
    <t>R$ 16,91</t>
  </si>
  <si>
    <t>R$ 11,20</t>
  </si>
  <si>
    <t>R$ 33,41</t>
  </si>
  <si>
    <t>R$ 46,82</t>
  </si>
  <si>
    <t>R$ 5,75</t>
  </si>
  <si>
    <t>R$ 11,96</t>
  </si>
  <si>
    <t>R$ 39,75</t>
  </si>
  <si>
    <t>R$ 32,95</t>
  </si>
  <si>
    <t>R$ 4,35</t>
  </si>
  <si>
    <t>R$ 2,87</t>
  </si>
  <si>
    <t>R$ 35,35</t>
  </si>
  <si>
    <t>R$ 42,47</t>
  </si>
  <si>
    <t>R$ 29,30</t>
  </si>
  <si>
    <t>R$ 25,50</t>
  </si>
  <si>
    <t>R$ 37,30</t>
  </si>
  <si>
    <t>R$ 14,73</t>
  </si>
  <si>
    <t>R$ 18,47</t>
  </si>
  <si>
    <t>R$ 2,27</t>
  </si>
  <si>
    <t>R$ 7,51</t>
  </si>
  <si>
    <t>R$ 6,90</t>
  </si>
  <si>
    <t>R$ 5,61</t>
  </si>
  <si>
    <t>R$ 14,68</t>
  </si>
  <si>
    <t>R$ 69,43</t>
  </si>
  <si>
    <t>R$ 38,88</t>
  </si>
  <si>
    <t>R$ 40,75</t>
  </si>
  <si>
    <t>R$ 0,58</t>
  </si>
  <si>
    <t>R$ 1,01</t>
  </si>
  <si>
    <t>R$ 52,34</t>
  </si>
  <si>
    <t>R$ 12,55</t>
  </si>
  <si>
    <t>R$ 39,60</t>
  </si>
  <si>
    <t>R$ 34,21</t>
  </si>
  <si>
    <t>R$ 45,84</t>
  </si>
  <si>
    <t>R$ 14,75</t>
  </si>
  <si>
    <t>R$ 85,49</t>
  </si>
  <si>
    <t>R$ 85,80</t>
  </si>
  <si>
    <t>R$ 23,00</t>
  </si>
  <si>
    <t>R$ 114,34</t>
  </si>
  <si>
    <t>R$ 8,89</t>
  </si>
  <si>
    <t>R$ 34,20</t>
  </si>
  <si>
    <t>R$ 10,34</t>
  </si>
  <si>
    <t>R$ 9,46</t>
  </si>
  <si>
    <t>R$ 51,11</t>
  </si>
  <si>
    <t>R$ 33,58</t>
  </si>
  <si>
    <t>R$ 12,16</t>
  </si>
  <si>
    <t>R$ 88,20</t>
  </si>
  <si>
    <t>R$ 9,50</t>
  </si>
  <si>
    <t>R$ 8,40</t>
  </si>
  <si>
    <t>R$ 67,32</t>
  </si>
  <si>
    <t>R$ 16,13</t>
  </si>
  <si>
    <t>R$ 76,11</t>
  </si>
  <si>
    <t>R$ 21,56</t>
  </si>
  <si>
    <t>R$ 22,71</t>
  </si>
  <si>
    <t>R$ 5,30</t>
  </si>
  <si>
    <t>R$ 12,02</t>
  </si>
  <si>
    <t>R$ 24,57</t>
  </si>
  <si>
    <t>R$ 23,84</t>
  </si>
  <si>
    <t>R$ 35,40</t>
  </si>
  <si>
    <t>R$ 3,05</t>
  </si>
  <si>
    <t>R$ 11,37</t>
  </si>
  <si>
    <t>R$ 2,70</t>
  </si>
  <si>
    <t>R$ 11,27</t>
  </si>
  <si>
    <t>R$ 71,11</t>
  </si>
  <si>
    <t>R$ 29,05</t>
  </si>
  <si>
    <t>R$ 5,72</t>
  </si>
  <si>
    <t>R$ 22,65</t>
  </si>
  <si>
    <t>R$ 13,67</t>
  </si>
  <si>
    <t>R$ 45,40</t>
  </si>
  <si>
    <t>R$ 44,58</t>
  </si>
  <si>
    <t>R$ 70,33</t>
  </si>
  <si>
    <t>R$ 10,74</t>
  </si>
  <si>
    <t>R$ 38,66</t>
  </si>
  <si>
    <t>R$ 13,44</t>
  </si>
  <si>
    <t>R$ 40,51</t>
  </si>
  <si>
    <t>R$ 8,16</t>
  </si>
  <si>
    <t>R$ 157,71</t>
  </si>
  <si>
    <t>R$ 70,81</t>
  </si>
  <si>
    <t>R$ 27,44</t>
  </si>
  <si>
    <t>R$ 5,97</t>
  </si>
  <si>
    <t>R$ 3,16</t>
  </si>
  <si>
    <t>R$ 3,30</t>
  </si>
  <si>
    <t>R$ 26,91</t>
  </si>
  <si>
    <t>R$ 4,34</t>
  </si>
  <si>
    <t>R$ 39,31</t>
  </si>
  <si>
    <t>R$ 25,24</t>
  </si>
  <si>
    <t>R$ 25,70</t>
  </si>
  <si>
    <t>R$ 24,59</t>
  </si>
  <si>
    <t>R$ 24,53</t>
  </si>
  <si>
    <t>R$ 12,52</t>
  </si>
  <si>
    <t>R$ 64,43</t>
  </si>
  <si>
    <t>R$ 20,90</t>
  </si>
  <si>
    <t>R$ 14,29</t>
  </si>
  <si>
    <t>R$ 10,49</t>
  </si>
  <si>
    <t>R$ 21,21</t>
  </si>
  <si>
    <t>R$ 18,56</t>
  </si>
  <si>
    <t>R$ 21,02</t>
  </si>
  <si>
    <t>R$ 12,45</t>
  </si>
  <si>
    <t>R$ 15,12</t>
  </si>
  <si>
    <t>R$ 18,08</t>
  </si>
  <si>
    <t>R$ 41,01</t>
  </si>
  <si>
    <t>R$ 5,01</t>
  </si>
  <si>
    <t>R$ 24,71</t>
  </si>
  <si>
    <t>R$ 28,74</t>
  </si>
  <si>
    <t>R$ 21,77</t>
  </si>
  <si>
    <t>R$ 10,72</t>
  </si>
  <si>
    <t>R$ 33,44</t>
  </si>
  <si>
    <t>R$ 46,77</t>
  </si>
  <si>
    <t>R$ 27,04</t>
  </si>
  <si>
    <t>R$ 39,74</t>
  </si>
  <si>
    <t>R$ 27,85</t>
  </si>
  <si>
    <t>R$ 25,79</t>
  </si>
  <si>
    <t>R$ 33,79</t>
  </si>
  <si>
    <t>R$ 3,85</t>
  </si>
  <si>
    <t>R$ 15,26</t>
  </si>
  <si>
    <t>R$ 16,25</t>
  </si>
  <si>
    <t>R$ 6,08</t>
  </si>
  <si>
    <t>R$ 35,23</t>
  </si>
  <si>
    <t>R$ 13,11</t>
  </si>
  <si>
    <t>R$ 27,00</t>
  </si>
  <si>
    <t>R$ 71,70</t>
  </si>
  <si>
    <t>R$ 70,79</t>
  </si>
  <si>
    <t>R$ 84,54</t>
  </si>
  <si>
    <t>R$ 4,29</t>
  </si>
  <si>
    <t>R$ 9,20</t>
  </si>
  <si>
    <t>R$ 29,03</t>
  </si>
  <si>
    <t>R$ 11,73</t>
  </si>
  <si>
    <t>R$ 34,36</t>
  </si>
  <si>
    <t>R$ 11,66</t>
  </si>
  <si>
    <t>R$ 5,86</t>
  </si>
  <si>
    <t>R$ 37,74</t>
  </si>
  <si>
    <t>R$ 64,04</t>
  </si>
  <si>
    <t>R$ 25,16</t>
  </si>
  <si>
    <t>R$ 31,69</t>
  </si>
  <si>
    <t>R$ 22,36</t>
  </si>
  <si>
    <t>R$ 21,09</t>
  </si>
  <si>
    <t>R$ 4,22</t>
  </si>
  <si>
    <t>R$ 7,41</t>
  </si>
  <si>
    <t>R$ 30,20</t>
  </si>
  <si>
    <t>R$ 20,38</t>
  </si>
  <si>
    <t>R$ 33,50</t>
  </si>
  <si>
    <t>R$ 19,82</t>
  </si>
  <si>
    <t>R$ 3,09</t>
  </si>
  <si>
    <t>R$ 6,57</t>
  </si>
  <si>
    <t>R$ 22,78</t>
  </si>
  <si>
    <t>R$ 12,26</t>
  </si>
  <si>
    <t>R$ 9,29</t>
  </si>
  <si>
    <t>R$ 18,62</t>
  </si>
  <si>
    <t>R$ 17,08</t>
  </si>
  <si>
    <t>R$ 55,90</t>
  </si>
  <si>
    <t>R$ 18,44</t>
  </si>
  <si>
    <t>R$ 6,19</t>
  </si>
  <si>
    <t>R$ 0,90</t>
  </si>
  <si>
    <t>R$ 39,68</t>
  </si>
  <si>
    <t>R$ 36,02</t>
  </si>
  <si>
    <t>R$ 17,34</t>
  </si>
  <si>
    <t>R$ 13,90</t>
  </si>
  <si>
    <t>R$ 23,97</t>
  </si>
  <si>
    <t>R$ 19,69</t>
  </si>
  <si>
    <t>R$ 26,26</t>
  </si>
  <si>
    <t>R$ 28,57</t>
  </si>
  <si>
    <t>R$ 14,16</t>
  </si>
  <si>
    <t>R$ 6,47</t>
  </si>
  <si>
    <t>R$ 28,01</t>
  </si>
  <si>
    <t>R$ 26,78</t>
  </si>
  <si>
    <t>R$ 13,01</t>
  </si>
  <si>
    <t>R$ 69,71</t>
  </si>
  <si>
    <t>R$ 4,85</t>
  </si>
  <si>
    <t>R$ 9,85</t>
  </si>
  <si>
    <t>R$ 20,58</t>
  </si>
  <si>
    <t>R$ 6,61</t>
  </si>
  <si>
    <t>R$ 8,98</t>
  </si>
  <si>
    <t>R$ 39,06</t>
  </si>
  <si>
    <t>R$ 47,43</t>
  </si>
  <si>
    <t>R$ 16,42</t>
  </si>
  <si>
    <t>R$ 22,33</t>
  </si>
  <si>
    <t>R$ 50,51</t>
  </si>
  <si>
    <t>R$ 13,65</t>
  </si>
  <si>
    <t>R$ 58,96</t>
  </si>
  <si>
    <t>R$ 5,65</t>
  </si>
  <si>
    <t>R$ 24,18</t>
  </si>
  <si>
    <t>R$ 2,33</t>
  </si>
  <si>
    <t>R$ 8,54</t>
  </si>
  <si>
    <t>R$ 3,62</t>
  </si>
  <si>
    <t>R$ 23,60</t>
  </si>
  <si>
    <t>R$ 74,11</t>
  </si>
  <si>
    <t>R$ 3,41</t>
  </si>
  <si>
    <t>R$ 13,34</t>
  </si>
  <si>
    <t>R$ 85,99</t>
  </si>
  <si>
    <t>R$ 85,97</t>
  </si>
  <si>
    <t>R$ 24,25</t>
  </si>
  <si>
    <t>R$ 20,24</t>
  </si>
  <si>
    <t>R$ 5,58</t>
  </si>
  <si>
    <t>R$ 19,63</t>
  </si>
  <si>
    <t>R$ 18,92</t>
  </si>
  <si>
    <t>R$ 9,35</t>
  </si>
  <si>
    <t>R$ 14,60</t>
  </si>
  <si>
    <t>R$ 31,02</t>
  </si>
  <si>
    <t>R$ 8,28</t>
  </si>
  <si>
    <t>R$ 35,79</t>
  </si>
  <si>
    <t>R$ 33,70</t>
  </si>
  <si>
    <t>R$ 39,64</t>
  </si>
  <si>
    <t>R$ 37,90</t>
  </si>
  <si>
    <t>R$ 125,16</t>
  </si>
  <si>
    <t>R$ 2.586,94</t>
  </si>
  <si>
    <t>R$ 88,00</t>
  </si>
  <si>
    <t>R$ 73,99</t>
  </si>
  <si>
    <t>R$ 167,80</t>
  </si>
  <si>
    <t>R$ 132,00</t>
  </si>
  <si>
    <t>R$ 1.192,67</t>
  </si>
  <si>
    <t>R$ 240,29</t>
  </si>
  <si>
    <t>R$ 211,33</t>
  </si>
  <si>
    <t>R$ 71,50</t>
  </si>
  <si>
    <t>R$ 826,40</t>
  </si>
  <si>
    <t>R$ 89,79</t>
  </si>
  <si>
    <t>R$ 141,86</t>
  </si>
  <si>
    <t>R$ 90,90</t>
  </si>
  <si>
    <t>R$ 113,59</t>
  </si>
  <si>
    <t>R$ 0,72</t>
  </si>
  <si>
    <t>R$ 101,50</t>
  </si>
  <si>
    <t>R$ 197,00</t>
  </si>
  <si>
    <t>R$ 96,09</t>
  </si>
  <si>
    <t>R$ 40,25</t>
  </si>
  <si>
    <t>R$ 85,38</t>
  </si>
  <si>
    <t>R$ 0,75</t>
  </si>
  <si>
    <t>R$ 120,39</t>
  </si>
  <si>
    <t>R$ 44,97</t>
  </si>
  <si>
    <t>R$ 330,46</t>
  </si>
  <si>
    <t>R$ 651,56</t>
  </si>
  <si>
    <t>R$ 379,78</t>
  </si>
  <si>
    <t>R$ 277,66</t>
  </si>
  <si>
    <t>R$ 132,51</t>
  </si>
  <si>
    <t>R$ 94,50</t>
  </si>
  <si>
    <t>R$ 50,86</t>
  </si>
  <si>
    <t>R$ 1.530,74</t>
  </si>
  <si>
    <t>R$ 759,46</t>
  </si>
  <si>
    <t>R$ 71,12</t>
  </si>
  <si>
    <t>R$ 210,33</t>
  </si>
  <si>
    <t>R$ 16,78</t>
  </si>
  <si>
    <t>R$ 51,16</t>
  </si>
  <si>
    <t>R$ 140,29</t>
  </si>
  <si>
    <t>R$ 50,24</t>
  </si>
  <si>
    <t>R$ 143,77</t>
  </si>
  <si>
    <t>R$ 275,67</t>
  </si>
  <si>
    <t>R$ 52,70</t>
  </si>
  <si>
    <t>R$ 59,45</t>
  </si>
  <si>
    <t>R$ 201,02</t>
  </si>
  <si>
    <t>R$ 137,73</t>
  </si>
  <si>
    <t>R$ 130,72</t>
  </si>
  <si>
    <t>R$ 346,88</t>
  </si>
  <si>
    <t>R$ 39,29</t>
  </si>
  <si>
    <t>R$ 201,28</t>
  </si>
  <si>
    <t>R$ 50,96</t>
  </si>
  <si>
    <t>R$ 52,29</t>
  </si>
  <si>
    <t>R$ 212,38</t>
  </si>
  <si>
    <t>R$ 454,17</t>
  </si>
  <si>
    <t>R$ 144,38</t>
  </si>
  <si>
    <t>R$ 94,04</t>
  </si>
  <si>
    <t>R$ 7,88</t>
  </si>
  <si>
    <t>R$ 97,26</t>
  </si>
  <si>
    <t>R$ 32,90</t>
  </si>
  <si>
    <t>R$ 69,07</t>
  </si>
  <si>
    <t>R$ 2.769,25</t>
  </si>
  <si>
    <t>R$ 52,03</t>
  </si>
  <si>
    <t>R$ 39,65</t>
  </si>
  <si>
    <t>R$ 857,49</t>
  </si>
  <si>
    <t>R$ 13,81</t>
  </si>
  <si>
    <t>R$ 51,52</t>
  </si>
  <si>
    <t>R$ 1.021,47</t>
  </si>
  <si>
    <t>R$ 198,31</t>
  </si>
  <si>
    <t>R$ 1.419,82</t>
  </si>
  <si>
    <t>R$ 465,43</t>
  </si>
  <si>
    <t>R$ 62,47</t>
  </si>
  <si>
    <t>R$ 19,03</t>
  </si>
  <si>
    <t>R$ 57,56</t>
  </si>
  <si>
    <t>R$ 51,42</t>
  </si>
  <si>
    <t>R$ 13,71</t>
  </si>
  <si>
    <t>R$ 534,91</t>
  </si>
  <si>
    <t>R$ 33,20</t>
  </si>
  <si>
    <t>R$ 433,66</t>
  </si>
  <si>
    <t>R$ 259,14</t>
  </si>
  <si>
    <t>R$ 79,10</t>
  </si>
  <si>
    <t>R$ 93,12</t>
  </si>
  <si>
    <t>R$ 66,26</t>
  </si>
  <si>
    <t>R$ 84,98</t>
  </si>
  <si>
    <t>R$ 46,51</t>
  </si>
  <si>
    <t>R$ 131,95</t>
  </si>
  <si>
    <t>R$ 132,36</t>
  </si>
  <si>
    <t>R$ 41,70</t>
  </si>
  <si>
    <t>R$ 347,81</t>
  </si>
  <si>
    <t>R$ 129,19</t>
  </si>
  <si>
    <t>R$ 54,85</t>
  </si>
  <si>
    <t>R$ 63,49</t>
  </si>
  <si>
    <t>R$ 11,10</t>
  </si>
  <si>
    <t>R$ 295,41</t>
  </si>
  <si>
    <t>R$ 33,77</t>
  </si>
  <si>
    <t>R$ 63,95</t>
  </si>
  <si>
    <t>R$ 90,61</t>
  </si>
  <si>
    <t>R$ 133,54</t>
  </si>
  <si>
    <t>R$ 134,46</t>
  </si>
  <si>
    <t>R$ 129,80</t>
  </si>
  <si>
    <t>R$ 128,67</t>
  </si>
  <si>
    <t>R$ 288,00</t>
  </si>
  <si>
    <t>R$ 56,79</t>
  </si>
  <si>
    <t>R$ 65,49</t>
  </si>
  <si>
    <t>R$ 139,21</t>
  </si>
  <si>
    <t>R$ 21,64</t>
  </si>
  <si>
    <t>R$ 44,31</t>
  </si>
  <si>
    <t>R$ 337,88</t>
  </si>
  <si>
    <t>R$ 77,20</t>
  </si>
  <si>
    <t>R$ 98,74</t>
  </si>
  <si>
    <t>R$ 118,08</t>
  </si>
  <si>
    <t>R$ 126,22</t>
  </si>
  <si>
    <t>R$ 606,03</t>
  </si>
  <si>
    <t>R$ 18,78</t>
  </si>
  <si>
    <t>R$ 49,78</t>
  </si>
  <si>
    <t>R$ 50,80</t>
  </si>
  <si>
    <t>R$ 148,22</t>
  </si>
  <si>
    <t>R$ 51,78</t>
  </si>
  <si>
    <t>R$ 66,51</t>
  </si>
  <si>
    <t>R$ 57,81</t>
  </si>
  <si>
    <t>R$ 170,37</t>
  </si>
  <si>
    <t>R$ 162,85</t>
  </si>
  <si>
    <t>R$ 63,14</t>
  </si>
  <si>
    <t>R$ 100,38</t>
  </si>
  <si>
    <t>R$ 3.128,82</t>
  </si>
  <si>
    <t>R$ 1.079,69</t>
  </si>
  <si>
    <t>R$ 128,06</t>
  </si>
  <si>
    <t>R$ 480,47</t>
  </si>
  <si>
    <t>R$ 99,15</t>
  </si>
  <si>
    <t>R$ 844,29</t>
  </si>
  <si>
    <t>R$ 75,47</t>
  </si>
  <si>
    <t>R$ 45,07</t>
  </si>
  <si>
    <t>R$ 422,61</t>
  </si>
  <si>
    <t>R$ 167,56</t>
  </si>
  <si>
    <t>R$ 17,19</t>
  </si>
  <si>
    <t>R$ 73,52</t>
  </si>
  <si>
    <t>R$ 233,46</t>
  </si>
  <si>
    <t>R$ 350,67</t>
  </si>
  <si>
    <t>R$ 335,07</t>
  </si>
  <si>
    <t>R$ 50,19</t>
  </si>
  <si>
    <t>R$ 929,38</t>
  </si>
  <si>
    <t>R$ 305,24</t>
  </si>
  <si>
    <t>R$ 79,71</t>
  </si>
  <si>
    <t>R$ 700,01</t>
  </si>
  <si>
    <t>R$ 517,36</t>
  </si>
  <si>
    <t>R$ 332,41</t>
  </si>
  <si>
    <t>R$ 1.294,06</t>
  </si>
  <si>
    <t>R$ 247,32</t>
  </si>
  <si>
    <t>R$ 1.242,08</t>
  </si>
  <si>
    <t>R$ 50,91</t>
  </si>
  <si>
    <t>R$ 120,69</t>
  </si>
  <si>
    <t>R$ 168,48</t>
  </si>
  <si>
    <t>R$ 187,41</t>
  </si>
  <si>
    <t>R$ 28,80</t>
  </si>
  <si>
    <t>R$ 101,92</t>
  </si>
  <si>
    <t>R$ 94,14</t>
  </si>
  <si>
    <t>R$ 244,56</t>
  </si>
  <si>
    <t>R$ 25,33</t>
  </si>
  <si>
    <t>R$ 81,09</t>
  </si>
  <si>
    <t>R$ 77,67</t>
  </si>
  <si>
    <t>R$ 319,26</t>
  </si>
  <si>
    <t>R$ 16,37</t>
  </si>
  <si>
    <t>R$ 123,92</t>
  </si>
  <si>
    <t>R$ 115,53</t>
  </si>
  <si>
    <t>R$ 86,98</t>
  </si>
  <si>
    <t>R$ 232,28</t>
  </si>
  <si>
    <t>R$ 72,40</t>
  </si>
  <si>
    <t>R$ 428,85</t>
  </si>
  <si>
    <t>R$ 59,81</t>
  </si>
  <si>
    <t>R$ 17.123,37</t>
  </si>
  <si>
    <t>R$ 124,22</t>
  </si>
  <si>
    <t>R$ 770,10</t>
  </si>
  <si>
    <t>R$ 62,67</t>
  </si>
  <si>
    <t>R$ 165,87</t>
  </si>
  <si>
    <t>R$ 73,16</t>
  </si>
  <si>
    <t>R$ 68,76</t>
  </si>
  <si>
    <t>R$ 129,08</t>
  </si>
  <si>
    <t>R$ 221,94</t>
  </si>
  <si>
    <t>R$ 178,30</t>
  </si>
  <si>
    <t>R$ 122,02</t>
  </si>
  <si>
    <t>R$ 1.721,22</t>
  </si>
  <si>
    <t>R$ 15,45</t>
  </si>
  <si>
    <t>R$ 154,31</t>
  </si>
  <si>
    <t>R$ 164,28</t>
  </si>
  <si>
    <t>R$ 115,78</t>
  </si>
  <si>
    <t>R$ 34,18</t>
  </si>
  <si>
    <t>R$ 144,79</t>
  </si>
  <si>
    <t>R$ 39,91</t>
  </si>
  <si>
    <t>R$ 317,82</t>
  </si>
  <si>
    <t>R$ 117,67</t>
  </si>
  <si>
    <t>R$ 201,48</t>
  </si>
  <si>
    <t>R$ 15,55</t>
  </si>
  <si>
    <t>R$ 733,01</t>
  </si>
  <si>
    <t>R$ 87,18</t>
  </si>
  <si>
    <t>R$ 378,09</t>
  </si>
  <si>
    <t>R$ 143,15</t>
  </si>
  <si>
    <t>R$ 17,91</t>
  </si>
  <si>
    <t>R$ 132,21</t>
  </si>
  <si>
    <t>R$ 56,94</t>
  </si>
  <si>
    <t>R$ 27,27</t>
  </si>
  <si>
    <t>R$ 49,88</t>
  </si>
  <si>
    <t>R$ 51,32</t>
  </si>
  <si>
    <t>R$ 307,49</t>
  </si>
  <si>
    <t>R$ 102,12</t>
  </si>
  <si>
    <t>R$ 155,38</t>
  </si>
  <si>
    <t>R$ 175,95</t>
  </si>
  <si>
    <t>R$ 37,76</t>
  </si>
  <si>
    <t>R$ 14,58</t>
  </si>
  <si>
    <t>R$ 1.609,94</t>
  </si>
  <si>
    <t>R$ 103,60</t>
  </si>
  <si>
    <t>R$ 36,48</t>
  </si>
  <si>
    <t>R$ 333,53</t>
  </si>
  <si>
    <t>R$ 145,10</t>
  </si>
  <si>
    <t>R$ 82,63</t>
  </si>
  <si>
    <t>R$ 211,66</t>
  </si>
  <si>
    <t>R$ 17,45</t>
  </si>
  <si>
    <t>R$ 417,69</t>
  </si>
  <si>
    <t>R$ 453,87</t>
  </si>
  <si>
    <t>R$ 51,01</t>
  </si>
  <si>
    <t>R$ 65,18</t>
  </si>
  <si>
    <t>R$ 22,41</t>
  </si>
  <si>
    <t>R$ 3.566,21</t>
  </si>
  <si>
    <t>R$ 666,40</t>
  </si>
  <si>
    <t>R$ 213,40</t>
  </si>
  <si>
    <t>R$ 36,53</t>
  </si>
  <si>
    <t>R$ 29,67</t>
  </si>
  <si>
    <t>R$ 20,67</t>
  </si>
  <si>
    <t>R$ 144,43</t>
  </si>
  <si>
    <t>R$ 335,12</t>
  </si>
  <si>
    <t>R$ 42,26</t>
  </si>
  <si>
    <t>R$ 49,83</t>
  </si>
  <si>
    <t>R$ 32,64</t>
  </si>
  <si>
    <t>R$ 73,47</t>
  </si>
  <si>
    <t>R$ 100,79</t>
  </si>
  <si>
    <t>R$ 7,16</t>
  </si>
  <si>
    <t>R$ 8,34</t>
  </si>
  <si>
    <t>R$ 128,52</t>
  </si>
  <si>
    <t>R$ 248,35</t>
  </si>
  <si>
    <t>R$ 131,85</t>
  </si>
  <si>
    <t>R$ 22,05</t>
  </si>
  <si>
    <t>R$ 73,67</t>
  </si>
  <si>
    <t>R$ 3.170,31</t>
  </si>
  <si>
    <t>R$ 98,39</t>
  </si>
  <si>
    <t>R$ 502,16</t>
  </si>
  <si>
    <t>R$ 21,54</t>
  </si>
  <si>
    <t>R$ 141,98</t>
  </si>
  <si>
    <t>R$ 39,55</t>
  </si>
  <si>
    <t>R$ 14,63</t>
  </si>
  <si>
    <t>R$ 47,79</t>
  </si>
  <si>
    <t>R$ 575,53</t>
  </si>
  <si>
    <t>R$ 6,34</t>
  </si>
  <si>
    <t>R$ 36,89</t>
  </si>
  <si>
    <t>R$ 2.408,24</t>
  </si>
  <si>
    <t>R$ 7.699,05</t>
  </si>
  <si>
    <t>R$ 5,88</t>
  </si>
  <si>
    <t>R$ 187,21</t>
  </si>
  <si>
    <t>R$ 121,56</t>
  </si>
  <si>
    <t>R$ 198,87</t>
  </si>
  <si>
    <t>R$ 116,09</t>
  </si>
  <si>
    <t>R$ 48,81</t>
  </si>
  <si>
    <t>R$ 224,71</t>
  </si>
  <si>
    <t>R$ 79,30</t>
  </si>
  <si>
    <t>R$ 30,03</t>
  </si>
  <si>
    <t>R$ 20,72</t>
  </si>
  <si>
    <t>R$ 44,77</t>
  </si>
  <si>
    <t>R$ 105,19</t>
  </si>
  <si>
    <t>R$ 308,97</t>
  </si>
  <si>
    <t>R$ 805,51</t>
  </si>
  <si>
    <t>R$ 339,67</t>
  </si>
  <si>
    <t>R$ 52,19</t>
  </si>
  <si>
    <t>R$ 300,68</t>
  </si>
  <si>
    <t>R$ 711,47</t>
  </si>
  <si>
    <t>R$ 54,18</t>
  </si>
  <si>
    <t>R$ 649,77</t>
  </si>
  <si>
    <t>R$ 339,62</t>
  </si>
  <si>
    <t>R$ 138,50</t>
  </si>
  <si>
    <t>R$ 292,96</t>
  </si>
  <si>
    <t>R$ 141,87</t>
  </si>
  <si>
    <t>R$ 138,34</t>
  </si>
  <si>
    <t>R$ 163,26</t>
  </si>
  <si>
    <t>R$ 43,08</t>
  </si>
  <si>
    <t>R$ 4,60</t>
  </si>
  <si>
    <t>R$ 327,08</t>
  </si>
  <si>
    <t>R$ 75,93</t>
  </si>
  <si>
    <t>R$ 385,41</t>
  </si>
  <si>
    <t>R$ 254,54</t>
  </si>
  <si>
    <t>R$ 50,75</t>
  </si>
  <si>
    <t>R$ 55,46</t>
  </si>
  <si>
    <t>R$ 49,12</t>
  </si>
  <si>
    <t>R$ 20,21</t>
  </si>
  <si>
    <t>R$ 95,42</t>
  </si>
  <si>
    <t>R$ 72,65</t>
  </si>
  <si>
    <t>R$ 74,75</t>
  </si>
  <si>
    <t>R$ 676,07</t>
  </si>
  <si>
    <t>R$ 56,59</t>
  </si>
  <si>
    <t>R$ 153,49</t>
  </si>
  <si>
    <t>R$ 52,39</t>
  </si>
  <si>
    <t>R$ 18,67</t>
  </si>
  <si>
    <t>R$ 77,41</t>
  </si>
  <si>
    <t>R$ 65,64</t>
  </si>
  <si>
    <t>R$ 454,12</t>
  </si>
  <si>
    <t>R$ 281,35</t>
  </si>
  <si>
    <t>R$ 177,74</t>
  </si>
  <si>
    <t>R$ 76,39</t>
  </si>
  <si>
    <t>R$ 73,32</t>
  </si>
  <si>
    <t>R$ 54,39</t>
  </si>
  <si>
    <t>R$ 365,30</t>
  </si>
  <si>
    <t>R$ 53,98</t>
  </si>
  <si>
    <t>R$ 34,23</t>
  </si>
  <si>
    <t>R$ 119,47</t>
  </si>
  <si>
    <t>R$ 32,44</t>
  </si>
  <si>
    <t>R$ 149,45</t>
  </si>
  <si>
    <t>R$ 1.774,89</t>
  </si>
  <si>
    <t>R$ 238,68</t>
  </si>
  <si>
    <t>R$ 139,78</t>
  </si>
  <si>
    <t>R$ 134,61</t>
  </si>
  <si>
    <t>R$ 53,06</t>
  </si>
  <si>
    <t>R$ 7,21</t>
  </si>
  <si>
    <t>R$ 960,28</t>
  </si>
  <si>
    <t>R$ 310,35</t>
  </si>
  <si>
    <t>R$ 2.029,33</t>
  </si>
  <si>
    <t>R$ 570,01</t>
  </si>
  <si>
    <t>R$ 51,21</t>
  </si>
  <si>
    <t>R$ 71,47</t>
  </si>
  <si>
    <t>R$ 92,55</t>
  </si>
  <si>
    <t>R$ 264,77</t>
  </si>
  <si>
    <t>R$ 20,26</t>
  </si>
  <si>
    <t>R$ 41,85</t>
  </si>
  <si>
    <t>R$ 11.789,84</t>
  </si>
  <si>
    <t>R$ 102,33</t>
  </si>
  <si>
    <t>R$ 20,98</t>
  </si>
  <si>
    <t>R$ 542,84</t>
  </si>
  <si>
    <t>R$ 130,98</t>
  </si>
  <si>
    <t>R$ 16,83</t>
  </si>
  <si>
    <t>R$ 93,22</t>
  </si>
  <si>
    <t>R$ 224,40</t>
  </si>
  <si>
    <t>R$ 194,42</t>
  </si>
  <si>
    <t>R$ 249,68</t>
  </si>
  <si>
    <t>R$ 391,40</t>
  </si>
  <si>
    <t>R$ 143,56</t>
  </si>
  <si>
    <t>R$ 24,10</t>
  </si>
  <si>
    <t>R$ 14,27</t>
  </si>
  <si>
    <t>R$ 52,44</t>
  </si>
  <si>
    <t>R$ 51,47</t>
  </si>
  <si>
    <t>R$ 17,65</t>
  </si>
  <si>
    <t>R$ 174,47</t>
  </si>
  <si>
    <t>R$ 243,64</t>
  </si>
  <si>
    <t>R$ 20,82</t>
  </si>
  <si>
    <t>R$ 167,10</t>
  </si>
  <si>
    <t>R$ 419,89</t>
  </si>
  <si>
    <t>R$ 237,60</t>
  </si>
  <si>
    <t>R$ 71,99</t>
  </si>
  <si>
    <t>R$ 38,78</t>
  </si>
  <si>
    <t>R$ 151,80</t>
  </si>
  <si>
    <t>R$ 1.220,49</t>
  </si>
  <si>
    <t>R$ 74,90</t>
  </si>
  <si>
    <t>R$ 455,40</t>
  </si>
  <si>
    <t>R$ 131,39</t>
  </si>
  <si>
    <t>R$ 170,73</t>
  </si>
  <si>
    <t>R$ 308,56</t>
  </si>
  <si>
    <t>R$ 20,77</t>
  </si>
  <si>
    <t>R$ 61,65</t>
  </si>
  <si>
    <t>R$ 12,89</t>
  </si>
  <si>
    <t>R$ 75,87</t>
  </si>
  <si>
    <t>R$ 444,61</t>
  </si>
  <si>
    <t>R$ 406,13</t>
  </si>
  <si>
    <t>R$ 132,72</t>
  </si>
  <si>
    <t>R$ 135,58</t>
  </si>
  <si>
    <t>R$ 150,42</t>
  </si>
  <si>
    <t>R$ 35,05</t>
  </si>
  <si>
    <t>R$ 60,83</t>
  </si>
  <si>
    <t>R$ 94,91</t>
  </si>
  <si>
    <t>R$ 127,86</t>
  </si>
  <si>
    <t>R$ 134,56</t>
  </si>
  <si>
    <t>R$ 133,28</t>
  </si>
  <si>
    <t>R$ 94,65</t>
  </si>
  <si>
    <t>R$ 130,16</t>
  </si>
  <si>
    <t>R$ 77,31</t>
  </si>
  <si>
    <t>R$ 376,15</t>
  </si>
  <si>
    <t>R$ 509,69</t>
  </si>
  <si>
    <t>R$ 47,07</t>
  </si>
  <si>
    <t>R$ 141,57</t>
  </si>
  <si>
    <t>R$ 35,15</t>
  </si>
  <si>
    <t>R$ 157,07</t>
  </si>
  <si>
    <t>R$ 137,58</t>
  </si>
  <si>
    <t>R$ 89,84</t>
  </si>
  <si>
    <t>R$ 326,32</t>
  </si>
  <si>
    <t>R$ 193,70</t>
  </si>
  <si>
    <t>R$ 52,85</t>
  </si>
  <si>
    <t>R$ 76,49</t>
  </si>
  <si>
    <t>R$ 57,20</t>
  </si>
  <si>
    <t>R$ 135,48</t>
  </si>
  <si>
    <t>R$ 94,24</t>
  </si>
  <si>
    <t>R$ 59,25</t>
  </si>
  <si>
    <t>R$ 87,44</t>
  </si>
  <si>
    <t>R$ 146,84</t>
  </si>
  <si>
    <t>R$ 219,03</t>
  </si>
  <si>
    <t>R$ 764,48</t>
  </si>
  <si>
    <t>R$ 189,56</t>
  </si>
  <si>
    <t>R$ 43,80</t>
  </si>
  <si>
    <t>R$ 241,13</t>
  </si>
  <si>
    <t>R$ 2.188,44</t>
  </si>
  <si>
    <t>R$ 53,11</t>
  </si>
  <si>
    <t>R$ 286,92</t>
  </si>
  <si>
    <t>R$ 93,07</t>
  </si>
  <si>
    <t>R$ 189,81</t>
  </si>
  <si>
    <t>R$ 159,63</t>
  </si>
  <si>
    <t>R$ 70,91</t>
  </si>
  <si>
    <t>R$ 44,61</t>
  </si>
  <si>
    <t>R$ 482,16</t>
  </si>
  <si>
    <t>R$ 71,42</t>
  </si>
  <si>
    <t>R$ 73,01</t>
  </si>
  <si>
    <t>R$ 128,57</t>
  </si>
  <si>
    <t>R$ 79,00</t>
  </si>
  <si>
    <t>R$ 45,89</t>
  </si>
  <si>
    <t>R$ 264,87</t>
  </si>
  <si>
    <t>R$ 235,66</t>
  </si>
  <si>
    <t>R$ 1.061,63</t>
  </si>
  <si>
    <t>R$ 438,11</t>
  </si>
  <si>
    <t>R$ 211,15</t>
  </si>
  <si>
    <t>R$ 91,33</t>
  </si>
  <si>
    <t>R$ 23,02</t>
  </si>
  <si>
    <t>R$ 29,83</t>
  </si>
  <si>
    <t>R$ 75,21</t>
  </si>
  <si>
    <t>R$ 106,67</t>
  </si>
  <si>
    <t>R$ 794,71</t>
  </si>
  <si>
    <t>R$ 384,85</t>
  </si>
  <si>
    <t>R$ 147,40</t>
  </si>
  <si>
    <t>R$ 95,16</t>
  </si>
  <si>
    <t>R$ 153,23</t>
  </si>
  <si>
    <t>R$ 134,81</t>
  </si>
  <si>
    <t>R$ 215,81</t>
  </si>
  <si>
    <t>R$ 160,81</t>
  </si>
  <si>
    <t>R$ 782,54</t>
  </si>
  <si>
    <t>R$ 123,00</t>
  </si>
  <si>
    <t>R$ 392,52</t>
  </si>
  <si>
    <t>R$ 31,77</t>
  </si>
  <si>
    <t>R$ 87,54</t>
  </si>
  <si>
    <t>R$ 62,32</t>
  </si>
  <si>
    <t>R$ 137,17</t>
  </si>
  <si>
    <t>R$ 33,87</t>
  </si>
  <si>
    <t>R$ 273,26</t>
  </si>
  <si>
    <t>R$ 575,43</t>
  </si>
  <si>
    <t>R$ 118,24</t>
  </si>
  <si>
    <t>R$ 466,86</t>
  </si>
  <si>
    <t>R$ 661,43</t>
  </si>
  <si>
    <t>R$ 11,05</t>
  </si>
  <si>
    <t>R$ 862,91</t>
  </si>
  <si>
    <t>R$ 52,65</t>
  </si>
  <si>
    <t>R$ 112,25</t>
  </si>
  <si>
    <t>R$ 67,28</t>
  </si>
  <si>
    <t>R$ 42,41</t>
  </si>
  <si>
    <t>R$ 137,63</t>
  </si>
  <si>
    <t>R$ 326,47</t>
  </si>
  <si>
    <t>R$ 286,05</t>
  </si>
  <si>
    <t>R$ 266,05</t>
  </si>
  <si>
    <t>R$ 67,23</t>
  </si>
  <si>
    <t>R$ 17,70</t>
  </si>
  <si>
    <t>R$ 68,46</t>
  </si>
  <si>
    <t>R$ 415,80</t>
  </si>
  <si>
    <t>R$ 231,15</t>
  </si>
  <si>
    <t>R$ 53,93</t>
  </si>
  <si>
    <t>R$ 74,39</t>
  </si>
  <si>
    <t>R$ 98,90</t>
  </si>
  <si>
    <t>R$ 262,47</t>
  </si>
  <si>
    <t>R$ 63,08</t>
  </si>
  <si>
    <t>R$ 5,17</t>
  </si>
  <si>
    <t>R$ 51,06</t>
  </si>
  <si>
    <t>R$ 226,04</t>
  </si>
  <si>
    <t>R$ 71,27</t>
  </si>
  <si>
    <t>R$ 160,60</t>
  </si>
  <si>
    <t>R$ 40,57</t>
  </si>
  <si>
    <t>R$ 122,54</t>
  </si>
  <si>
    <t>R$ 409,05</t>
  </si>
  <si>
    <t>R$ 82,07</t>
  </si>
  <si>
    <t>R$ 32,74</t>
  </si>
  <si>
    <t>R$ 398,61</t>
  </si>
  <si>
    <t>R$ 1.028,48</t>
  </si>
  <si>
    <t>R$ 167,41</t>
  </si>
  <si>
    <t>R$ 76,69</t>
  </si>
  <si>
    <t>R$ 287,64</t>
  </si>
  <si>
    <t>R$ 617,38</t>
  </si>
  <si>
    <t>R$ 220,00</t>
  </si>
  <si>
    <t>R$ 119,67</t>
  </si>
  <si>
    <t>R$ 402,50</t>
  </si>
  <si>
    <t>R$ 74,19</t>
  </si>
  <si>
    <t>R$ 511,63</t>
  </si>
  <si>
    <t>R$ 151,85</t>
  </si>
  <si>
    <t>R$ 145,81</t>
  </si>
  <si>
    <t>R$ 148,88</t>
  </si>
  <si>
    <t>R$ 158,40</t>
  </si>
  <si>
    <t>R$ 3.513,57</t>
  </si>
  <si>
    <t>R$ 201,43</t>
  </si>
  <si>
    <t>R$ 55,67</t>
  </si>
  <si>
    <t>R$ 81,71</t>
  </si>
  <si>
    <t>R$ 605,26</t>
  </si>
  <si>
    <t>R$ 623,16</t>
  </si>
  <si>
    <t>R$ 116,34</t>
  </si>
  <si>
    <t>R$ 15,40</t>
  </si>
  <si>
    <t>R$ 130,26</t>
  </si>
  <si>
    <t>R$ 86,62</t>
  </si>
  <si>
    <t>R$ 8,29</t>
  </si>
  <si>
    <t>R$ 126,68</t>
  </si>
  <si>
    <t>R$ 158,81</t>
  </si>
  <si>
    <t>R$ 86,31</t>
  </si>
  <si>
    <t>R$ 26,96</t>
  </si>
  <si>
    <t>R$ 33,15</t>
  </si>
  <si>
    <t>R$ 55,26</t>
  </si>
  <si>
    <t>R$ 76,90</t>
  </si>
  <si>
    <t>R$ 100,74</t>
  </si>
  <si>
    <t>R$ 93,42</t>
  </si>
  <si>
    <t>R$ 58,68</t>
  </si>
  <si>
    <t>R$ 18,37</t>
  </si>
  <si>
    <t>R$ 246,91</t>
  </si>
  <si>
    <t>R$ 253,26</t>
  </si>
  <si>
    <t>R$ 291,01</t>
  </si>
  <si>
    <t>R$ 46,35</t>
  </si>
  <si>
    <t>R$ 1.097,24</t>
  </si>
  <si>
    <t>R$ 73,98</t>
  </si>
  <si>
    <t>R$ 74,95</t>
  </si>
  <si>
    <t>R$ 537,88</t>
  </si>
  <si>
    <t>R$ 203,01</t>
  </si>
  <si>
    <t>R$ 43,18</t>
  </si>
  <si>
    <t>R$ 111,02</t>
  </si>
  <si>
    <t>R$ 585,15</t>
  </si>
  <si>
    <t>R$ 25,48</t>
  </si>
  <si>
    <t>R$ 128,42</t>
  </si>
  <si>
    <t>R$ 71,73</t>
  </si>
  <si>
    <t>R$ 140,49</t>
  </si>
  <si>
    <t>R$ 10,28</t>
  </si>
  <si>
    <t>R$ 172,57</t>
  </si>
  <si>
    <t>R$ 786,48</t>
  </si>
  <si>
    <t>R$ 244,92</t>
  </si>
  <si>
    <t>R$ 47,22</t>
  </si>
  <si>
    <t>R$ 45,18</t>
  </si>
  <si>
    <t>R$ 127,96</t>
  </si>
  <si>
    <t>R$ 41,60</t>
  </si>
  <si>
    <t>R$ 1.358,63</t>
  </si>
  <si>
    <t>R$ 185,47</t>
  </si>
  <si>
    <t>R$ 2.211,42</t>
  </si>
  <si>
    <t>R$ 211,46</t>
  </si>
  <si>
    <t>R$ 51,62</t>
  </si>
  <si>
    <t>R$ 119,57</t>
  </si>
  <si>
    <t>R$ 527,80</t>
  </si>
  <si>
    <t>R$ 110,61</t>
  </si>
  <si>
    <t>R$ 13,51</t>
  </si>
  <si>
    <t>R$ 408,89</t>
  </si>
  <si>
    <t>R$ 148,37</t>
  </si>
  <si>
    <t>R$ 50,50</t>
  </si>
  <si>
    <t>R$ 51,88</t>
  </si>
  <si>
    <t>R$ 49,68</t>
  </si>
  <si>
    <t>R$ 173,85</t>
  </si>
  <si>
    <t>R$ 241,23</t>
  </si>
  <si>
    <t>R$ 110,15</t>
  </si>
  <si>
    <t>R$ 1.953,56</t>
  </si>
  <si>
    <t>R$ 1.198,54</t>
  </si>
  <si>
    <t>R$ 197,23</t>
  </si>
  <si>
    <t>R$ 71,88</t>
  </si>
  <si>
    <t>R$ 16,12</t>
  </si>
  <si>
    <t>R$ 66,31</t>
  </si>
  <si>
    <t>R$ 638,72</t>
  </si>
  <si>
    <t>R$ 29,37</t>
  </si>
  <si>
    <t>R$ 173,03</t>
  </si>
  <si>
    <t>R$ 135,33</t>
  </si>
  <si>
    <t>R$ 429,51</t>
  </si>
  <si>
    <t>R$ 11,15</t>
  </si>
  <si>
    <t>R$ 40,32</t>
  </si>
  <si>
    <t>R$ 495,36</t>
  </si>
  <si>
    <t>R$ 36,12</t>
  </si>
  <si>
    <t>R$ 40,98</t>
  </si>
  <si>
    <t>R$ 42,11</t>
  </si>
  <si>
    <t>R$ 764,27</t>
  </si>
  <si>
    <t>R$ 597,99</t>
  </si>
  <si>
    <t>R$ 18,98</t>
  </si>
  <si>
    <t>R$ 86,87</t>
  </si>
  <si>
    <t>R$ 45,59</t>
  </si>
  <si>
    <t>R$ 555,83</t>
  </si>
  <si>
    <t>R$ 51,83</t>
  </si>
  <si>
    <t>R$ 57,76</t>
  </si>
  <si>
    <t>R$ 165,56</t>
  </si>
  <si>
    <t>R$ 206,95</t>
  </si>
  <si>
    <t>R$ 249,11</t>
  </si>
  <si>
    <t>R$ 406,80</t>
  </si>
  <si>
    <t>R$ 627,56</t>
  </si>
  <si>
    <t>R$ 1.183,25</t>
  </si>
  <si>
    <t>R$ 49,01</t>
  </si>
  <si>
    <t>R$ 280,22</t>
  </si>
  <si>
    <t>R$ 4.449,90</t>
  </si>
  <si>
    <t>R$ 232,43</t>
  </si>
  <si>
    <t>R$ 202,25</t>
  </si>
  <si>
    <t>R$ 206,03</t>
  </si>
  <si>
    <t>R$ 260,73</t>
  </si>
  <si>
    <t>R$ 59,30</t>
  </si>
  <si>
    <t>R$ 92,04</t>
  </si>
  <si>
    <t>R$ 191,91</t>
  </si>
  <si>
    <t>R$ 134,87</t>
  </si>
  <si>
    <t>R$ 142,08</t>
  </si>
  <si>
    <t>R$ 81,35</t>
  </si>
  <si>
    <t>R$ 367,81</t>
  </si>
  <si>
    <t>R$ 591,24</t>
  </si>
  <si>
    <t>R$ 497,46</t>
  </si>
  <si>
    <t>R$ 49,94</t>
  </si>
  <si>
    <t>R$ 1.805,23</t>
  </si>
  <si>
    <t>R$ 221,23</t>
  </si>
  <si>
    <t>R$ 48,71</t>
  </si>
  <si>
    <t>R$ 10,03</t>
  </si>
  <si>
    <t>R$ 36,63</t>
  </si>
  <si>
    <t>R$ 121,51</t>
  </si>
  <si>
    <t>R$ 433,86</t>
  </si>
  <si>
    <t>R$ 364,54</t>
  </si>
  <si>
    <t>R$ 42,67</t>
  </si>
  <si>
    <t>R$ 616,05</t>
  </si>
  <si>
    <t>R$ 68,15</t>
  </si>
  <si>
    <t>R$ 77,36</t>
  </si>
  <si>
    <t>R$ 237,19</t>
  </si>
  <si>
    <t>R$ 500,48</t>
  </si>
  <si>
    <t>R$ 1.118,27</t>
  </si>
  <si>
    <t>R$ 106,73</t>
  </si>
  <si>
    <t>R$ 349,95</t>
  </si>
  <si>
    <t>R$ 114,91</t>
  </si>
  <si>
    <t>R$ 412,68</t>
  </si>
  <si>
    <t>R$ 100,48</t>
  </si>
  <si>
    <t>R$ 66,92</t>
  </si>
  <si>
    <t>R$ 6,96</t>
  </si>
  <si>
    <t>R$ 67,02</t>
  </si>
  <si>
    <t>R$ 336,70</t>
  </si>
  <si>
    <t>R$ 3,22</t>
  </si>
  <si>
    <t>R$ 698,73</t>
  </si>
  <si>
    <t>R$ 35,92</t>
  </si>
  <si>
    <t>R$ 48,09</t>
  </si>
  <si>
    <t>R$ 20,31</t>
  </si>
  <si>
    <t>R$ 3,73</t>
  </si>
  <si>
    <t>R$ 312,91</t>
  </si>
  <si>
    <t>R$ 107,65</t>
  </si>
  <si>
    <t>R$ 127,91</t>
  </si>
  <si>
    <t>R$ 564,38</t>
  </si>
  <si>
    <t>R$ 69,68</t>
  </si>
  <si>
    <t>R$ 161,42</t>
  </si>
  <si>
    <t>R$ 33,92</t>
  </si>
  <si>
    <t>R$ 34,79</t>
  </si>
  <si>
    <t>R$ 31,26</t>
  </si>
  <si>
    <t>R$ 152,06</t>
  </si>
  <si>
    <t>R$ 283,80</t>
  </si>
  <si>
    <t>R$ 174,62</t>
  </si>
  <si>
    <t>R$ 181,22</t>
  </si>
  <si>
    <t>R$ 55,41</t>
  </si>
  <si>
    <t>R$ 60,99</t>
  </si>
  <si>
    <t>R$ 204,91</t>
  </si>
  <si>
    <t>R$ 60,73</t>
  </si>
  <si>
    <t>R$ 488,50</t>
  </si>
  <si>
    <t>R$ 89,28</t>
  </si>
  <si>
    <t>R$ 120,54</t>
  </si>
  <si>
    <t>R$ 51,93</t>
  </si>
  <si>
    <t>R$ 100,59</t>
  </si>
  <si>
    <t>R$ 907,38</t>
  </si>
  <si>
    <t>R$ 394,21</t>
  </si>
  <si>
    <t>R$ 157,53</t>
  </si>
  <si>
    <t>R$ 350,01</t>
  </si>
  <si>
    <t>R$ 148,07</t>
  </si>
  <si>
    <t>R$ 205,01</t>
  </si>
  <si>
    <t>R$ 1.729,15</t>
  </si>
  <si>
    <t>R$ 271,88</t>
  </si>
  <si>
    <t>R$ 62,62</t>
  </si>
  <si>
    <t>R$ 49,58</t>
  </si>
  <si>
    <t>R$ 89,38</t>
  </si>
  <si>
    <t>R$ 517,67</t>
  </si>
  <si>
    <t>R$ 80,99</t>
  </si>
  <si>
    <t>R$ 174,16</t>
  </si>
  <si>
    <t>R$ 207,47</t>
  </si>
  <si>
    <t>R$ 383,72</t>
  </si>
  <si>
    <t>R$ 1.294,47</t>
  </si>
  <si>
    <t>R$ 364,28</t>
  </si>
  <si>
    <t>R$ 526,62</t>
  </si>
  <si>
    <t>R$ 413,60</t>
  </si>
  <si>
    <t>R$ 41,03</t>
  </si>
  <si>
    <t>R$ 191,14</t>
  </si>
  <si>
    <t>R$ 18,21</t>
  </si>
  <si>
    <t>R$ 152,62</t>
  </si>
  <si>
    <t>R$ 49,63</t>
  </si>
  <si>
    <t>R$ 336,96</t>
  </si>
  <si>
    <t>R$ 38,32</t>
  </si>
  <si>
    <t>R$ 82,94</t>
  </si>
  <si>
    <t>R$ 59,04</t>
  </si>
  <si>
    <t>R$ 13,40</t>
  </si>
  <si>
    <t>R$ 50,14</t>
  </si>
  <si>
    <t>R$ 46,97</t>
  </si>
  <si>
    <t>R$ 13,97</t>
  </si>
  <si>
    <t>R$ 2.047,49</t>
  </si>
  <si>
    <t>R$ 166,23</t>
  </si>
  <si>
    <t>R$ 104,99</t>
  </si>
  <si>
    <t>R$ 106,21</t>
  </si>
  <si>
    <t>R$ 748,97</t>
  </si>
  <si>
    <t>R$ 50,70</t>
  </si>
  <si>
    <t>R$ 343,46</t>
  </si>
  <si>
    <t>R$ 108,57</t>
  </si>
  <si>
    <t>R$ 125,91</t>
  </si>
  <si>
    <t>R$ 109,74</t>
  </si>
  <si>
    <t>R$ 174,67</t>
  </si>
  <si>
    <t>R$ 168,53</t>
  </si>
  <si>
    <t>R$ 252,18</t>
  </si>
  <si>
    <t>R$ 191,45</t>
  </si>
  <si>
    <t>R$ 150,98</t>
  </si>
  <si>
    <t>R$ 11,97</t>
  </si>
  <si>
    <t>R$ 67,84</t>
  </si>
  <si>
    <t>R$ 798,19</t>
  </si>
  <si>
    <t>R$ 246,81</t>
  </si>
  <si>
    <t>R$ 296,23</t>
  </si>
  <si>
    <t>R$ 208,18</t>
  </si>
  <si>
    <t>R$ 318,69</t>
  </si>
  <si>
    <t>R$ 29,47</t>
  </si>
  <si>
    <t>R$ 142,03</t>
  </si>
  <si>
    <t>R$ 170,27</t>
  </si>
  <si>
    <t>R$ 32,03</t>
  </si>
  <si>
    <t>R$ 48,86</t>
  </si>
  <si>
    <t>R$ 22,56</t>
  </si>
  <si>
    <t>R$ 752,76</t>
  </si>
  <si>
    <t>R$ 431,46</t>
  </si>
  <si>
    <t>R$ 241,18</t>
  </si>
  <si>
    <t>R$ 595,59</t>
  </si>
  <si>
    <t>R$ 19,44</t>
  </si>
  <si>
    <t>R$ 101,71</t>
  </si>
  <si>
    <t>R$ 137,07</t>
  </si>
  <si>
    <t>R$ 43,64</t>
  </si>
  <si>
    <t>R$ 31,36</t>
  </si>
  <si>
    <t>R$ 162,24</t>
  </si>
  <si>
    <t>R$ 4.175,10</t>
  </si>
  <si>
    <t>R$ 41,90</t>
  </si>
  <si>
    <t>R$ 67,43</t>
  </si>
  <si>
    <t>R$ 970,56</t>
  </si>
  <si>
    <t>R$ 106,88</t>
  </si>
  <si>
    <t>R$ 73,62</t>
  </si>
  <si>
    <t>R$ 122,38</t>
  </si>
  <si>
    <t>R$ 130,41</t>
  </si>
  <si>
    <t>R$ 1.270,17</t>
  </si>
  <si>
    <t>R$ 141,93</t>
  </si>
  <si>
    <t>R$ 150,32</t>
  </si>
  <si>
    <t>R$ 678,42</t>
  </si>
  <si>
    <t>R$ 134,92</t>
  </si>
  <si>
    <t>R$ 54,13</t>
  </si>
  <si>
    <t>R$ 405,06</t>
  </si>
  <si>
    <t>R$ 59,86</t>
  </si>
  <si>
    <t>R$ 34,74</t>
  </si>
  <si>
    <t>R$ 848,38</t>
  </si>
  <si>
    <t>R$ 636,16</t>
  </si>
  <si>
    <t>R$ 173,44</t>
  </si>
  <si>
    <t>R$ 76,59</t>
  </si>
  <si>
    <t>R$ 151,34</t>
  </si>
  <si>
    <t>R$ 368,68</t>
  </si>
  <si>
    <t>R$ 623,63</t>
  </si>
  <si>
    <t>R$ 240,01</t>
  </si>
  <si>
    <t>R$ 117,57</t>
  </si>
  <si>
    <t>R$ 538,03</t>
  </si>
  <si>
    <t>R$ 642,91</t>
  </si>
  <si>
    <t>R$ 884,81</t>
  </si>
  <si>
    <t>R$ 183,11</t>
  </si>
  <si>
    <t>R$ 457,19</t>
  </si>
  <si>
    <t>R$ 58,74</t>
  </si>
  <si>
    <t>R$ 246,96</t>
  </si>
  <si>
    <t>R$ 22,97</t>
  </si>
  <si>
    <t>R$ 34,02</t>
  </si>
  <si>
    <t>R$ 48,60</t>
  </si>
  <si>
    <t>R$ 36,58</t>
  </si>
  <si>
    <t>R$ 2,76</t>
  </si>
  <si>
    <t>R$ 446,50</t>
  </si>
  <si>
    <t>R$ 61,04</t>
  </si>
  <si>
    <t>R$ 393,19</t>
  </si>
  <si>
    <t>R$ 268,61</t>
  </si>
  <si>
    <t>R$ 64,16</t>
  </si>
  <si>
    <t>R$ 123,30</t>
  </si>
  <si>
    <t>R$ 459,19</t>
  </si>
  <si>
    <t>R$ 1.694,82</t>
  </si>
  <si>
    <t>R$ 204,75</t>
  </si>
  <si>
    <t>R$ 216,73</t>
  </si>
  <si>
    <t>R$ 208,85</t>
  </si>
  <si>
    <t>R$ 53,62</t>
  </si>
  <si>
    <t>R$ 234,68</t>
  </si>
  <si>
    <t>R$ 161,98</t>
  </si>
  <si>
    <t>R$ 103,14</t>
  </si>
  <si>
    <t>R$ 106,27</t>
  </si>
  <si>
    <t>R$ 424,40</t>
  </si>
  <si>
    <t>R$ 4.386,30</t>
  </si>
  <si>
    <t>R$ 139,37</t>
  </si>
  <si>
    <t>R$ 23,74</t>
  </si>
  <si>
    <t>R$ 289,94</t>
  </si>
  <si>
    <t>R$ 89,33</t>
  </si>
  <si>
    <t>R$ 129,95</t>
  </si>
  <si>
    <t>R$ 413,70</t>
  </si>
  <si>
    <t>R$ 34,64</t>
  </si>
  <si>
    <t>R$ 110,00</t>
  </si>
  <si>
    <t>R$ 129,54</t>
  </si>
  <si>
    <t>R$ 57,61</t>
  </si>
  <si>
    <t>R$ 48,30</t>
  </si>
  <si>
    <t>R$ 114,35</t>
  </si>
  <si>
    <t>R$ 263,23</t>
  </si>
  <si>
    <t>R$ 986,11</t>
  </si>
  <si>
    <t>R$ 72,80</t>
  </si>
  <si>
    <t>R$ 124,53</t>
  </si>
  <si>
    <t>R$ 99,05</t>
  </si>
  <si>
    <t>R$ 133,33</t>
  </si>
  <si>
    <t>R$ 127,24</t>
  </si>
  <si>
    <t>R$ 146,33</t>
  </si>
  <si>
    <t>R$ 60,47</t>
  </si>
  <si>
    <t>R$ 232,18</t>
  </si>
  <si>
    <t>R$ 51,37</t>
  </si>
  <si>
    <t>R$ 159,83</t>
  </si>
  <si>
    <t>R$ 563,82</t>
  </si>
  <si>
    <t>R$ 207,57</t>
  </si>
  <si>
    <t>R$ 145,92</t>
  </si>
  <si>
    <t>R$ 970,61</t>
  </si>
  <si>
    <t>R$ 848,08</t>
  </si>
  <si>
    <t>R$ 36,68</t>
  </si>
  <si>
    <t>R$ 252,49</t>
  </si>
  <si>
    <t>R$ 50,40</t>
  </si>
  <si>
    <t>R$ 94,60</t>
  </si>
  <si>
    <t>R$ 378,35</t>
  </si>
  <si>
    <t>R$ 113,58</t>
  </si>
  <si>
    <t>R$ 15,81</t>
  </si>
  <si>
    <t>R$ 194,27</t>
  </si>
  <si>
    <t>R$ 47,58</t>
  </si>
  <si>
    <t>R$ 240,06</t>
  </si>
  <si>
    <t>R$ 114,09</t>
  </si>
  <si>
    <t>R$ 219,28</t>
  </si>
  <si>
    <t>R$ 106,16</t>
  </si>
  <si>
    <t>R$ 143,61</t>
  </si>
  <si>
    <t>R$ 87,39</t>
  </si>
  <si>
    <t>R$ 116,96</t>
  </si>
  <si>
    <t>R$ 38,58</t>
  </si>
  <si>
    <t>R$ 119,77</t>
  </si>
  <si>
    <t>R$ 161,37</t>
  </si>
  <si>
    <t>R$ 91,38</t>
  </si>
  <si>
    <t>R$ 271,37</t>
  </si>
  <si>
    <t>R$ 54,34</t>
  </si>
  <si>
    <t>R$ 442,76</t>
  </si>
  <si>
    <t>R$ 79,92</t>
  </si>
  <si>
    <t>R$ 739,41</t>
  </si>
  <si>
    <t>R$ 50,60</t>
  </si>
  <si>
    <t>R$ 154,87</t>
  </si>
  <si>
    <t>R$ 68,05</t>
  </si>
  <si>
    <t>R$ 49,32</t>
  </si>
  <si>
    <t>R$ 187,00</t>
  </si>
  <si>
    <t>R$ 132,41</t>
  </si>
  <si>
    <t>R$ 68,71</t>
  </si>
  <si>
    <t>R$ 300,84</t>
  </si>
  <si>
    <t>R$ 49,47</t>
  </si>
  <si>
    <t>R$ 226,09</t>
  </si>
  <si>
    <t>R$ 241,74</t>
  </si>
  <si>
    <t>R$ 298,54</t>
  </si>
  <si>
    <t>R$ 858,21</t>
  </si>
  <si>
    <t>R$ 119,87</t>
  </si>
  <si>
    <t>R$ 361,72</t>
  </si>
  <si>
    <t>R$ 49,22</t>
  </si>
  <si>
    <t>R$ 385,77</t>
  </si>
  <si>
    <t>R$ 407,21</t>
  </si>
  <si>
    <t>R$ 51,98</t>
  </si>
  <si>
    <t>R$ 52,24</t>
  </si>
  <si>
    <t>R$ 36,79</t>
  </si>
  <si>
    <t>R$ 883,53</t>
  </si>
  <si>
    <t>R$ 61,50</t>
  </si>
  <si>
    <t>R$ 65,34</t>
  </si>
  <si>
    <t>R$ 265,18</t>
  </si>
  <si>
    <t>R$ 167,76</t>
  </si>
  <si>
    <t>R$ 64,82</t>
  </si>
  <si>
    <t>R$ 68,10</t>
  </si>
  <si>
    <t>R$ 1.171,32</t>
  </si>
  <si>
    <t>R$ 52,80</t>
  </si>
  <si>
    <t>R$ 44,10</t>
  </si>
  <si>
    <t>R$ 86,52</t>
  </si>
  <si>
    <t>R$ 97,21</t>
  </si>
  <si>
    <t>R$ 45,69</t>
  </si>
  <si>
    <t>R$ 744,17</t>
  </si>
  <si>
    <t>R$ 72,24</t>
  </si>
  <si>
    <t>R$ 90,92</t>
  </si>
  <si>
    <t>R$ 30,95</t>
  </si>
  <si>
    <t>R$ 211,41</t>
  </si>
  <si>
    <t>R$ 234,38</t>
  </si>
  <si>
    <t>R$ 463,89</t>
  </si>
  <si>
    <t>R$ 99,92</t>
  </si>
  <si>
    <t>R$ 202,20</t>
  </si>
  <si>
    <t>R$ 61,60</t>
  </si>
  <si>
    <t>R$ 75,62</t>
  </si>
  <si>
    <t>R$ 131,64</t>
  </si>
  <si>
    <t>R$ 19,19</t>
  </si>
  <si>
    <t>R$ 89,02</t>
  </si>
  <si>
    <t>R$ 294,14</t>
  </si>
  <si>
    <t>R$ 79,76</t>
  </si>
  <si>
    <t>R$ 138,14</t>
  </si>
  <si>
    <t>R$ 156,41</t>
  </si>
  <si>
    <t>R$ 137,22</t>
  </si>
  <si>
    <t>R$ 207,93</t>
  </si>
  <si>
    <t>R$ 146,07</t>
  </si>
  <si>
    <t>R$ 236,01</t>
  </si>
  <si>
    <t>R$ 188,18</t>
  </si>
  <si>
    <t>R$ 407,62</t>
  </si>
  <si>
    <t>R$ 19,08</t>
  </si>
  <si>
    <t>R$ 65,74</t>
  </si>
  <si>
    <t>R$ 23,23</t>
  </si>
  <si>
    <t>R$ 45,23</t>
  </si>
  <si>
    <t>R$ 42,77</t>
  </si>
  <si>
    <t>R$ 125,86</t>
  </si>
  <si>
    <t>R$ 517,92</t>
  </si>
  <si>
    <t>R$ 147,20</t>
  </si>
  <si>
    <t>R$ 618,76</t>
  </si>
  <si>
    <t>R$ 81,55</t>
  </si>
  <si>
    <t>R$ 25,07</t>
  </si>
  <si>
    <t>R$ 177,89</t>
  </si>
  <si>
    <t>R$ 51,73</t>
  </si>
  <si>
    <t>R$ 351,85</t>
  </si>
  <si>
    <t>R$ 55,61</t>
  </si>
  <si>
    <t>R$ 60,37</t>
  </si>
  <si>
    <t>R$ 130,52</t>
  </si>
  <si>
    <t>R$ 26,60</t>
  </si>
  <si>
    <t>R$ 62,16</t>
  </si>
  <si>
    <t>R$ 74,14</t>
  </si>
  <si>
    <t>R$ 405,93</t>
  </si>
  <si>
    <t>R$ 244,87</t>
  </si>
  <si>
    <t>R$ 199,33</t>
  </si>
  <si>
    <t>R$ 28,70</t>
  </si>
  <si>
    <t>R$ 223,79</t>
  </si>
  <si>
    <t>R$ 12,94</t>
  </si>
  <si>
    <t>R$ 19,95</t>
  </si>
  <si>
    <t>R$ 70,25</t>
  </si>
  <si>
    <t>R$ 175,13</t>
  </si>
  <si>
    <t>R$ 189,92</t>
  </si>
  <si>
    <t>R$ 174,52</t>
  </si>
  <si>
    <t>R$ 58,38</t>
  </si>
  <si>
    <t>R$ 116,45</t>
  </si>
  <si>
    <t>R$ 136,25</t>
  </si>
  <si>
    <t>R$ 12.862,01</t>
  </si>
  <si>
    <t>R$ 12.433,62</t>
  </si>
  <si>
    <t>R$ 27,73</t>
  </si>
  <si>
    <t>R$ 88,92</t>
  </si>
  <si>
    <t>R$ 172,01</t>
  </si>
  <si>
    <t>R$ 64,41</t>
  </si>
  <si>
    <t>R$ 117,83</t>
  </si>
  <si>
    <t>R$ 53,57</t>
  </si>
  <si>
    <t>R$ 95,67</t>
  </si>
  <si>
    <t>R$ 53,47</t>
  </si>
  <si>
    <t>R$ 740,64</t>
  </si>
  <si>
    <t>R$ 52,14</t>
  </si>
  <si>
    <t>R$ 31,82</t>
  </si>
  <si>
    <t>R$ 236,83</t>
  </si>
  <si>
    <t>R$ 54,64</t>
  </si>
  <si>
    <t>R$ 46,61</t>
  </si>
  <si>
    <t>R$ 723,03</t>
  </si>
  <si>
    <t>R$ 216,83</t>
  </si>
  <si>
    <t>R$ 285,54</t>
  </si>
  <si>
    <t>R$ 486,82</t>
  </si>
  <si>
    <t>R$ 30,49</t>
  </si>
  <si>
    <t>R$ 95,93</t>
  </si>
  <si>
    <t>R$ 92,09</t>
  </si>
  <si>
    <t>R$ 101,25</t>
  </si>
  <si>
    <t>R$ 21,33</t>
  </si>
  <si>
    <t>R$ 32,49</t>
  </si>
  <si>
    <t>R$ 9,82</t>
  </si>
  <si>
    <t>R$ 33,31</t>
  </si>
  <si>
    <t>R$ 67,94</t>
  </si>
  <si>
    <t>R$ 147,50</t>
  </si>
  <si>
    <t>R$ 213,04</t>
  </si>
  <si>
    <t>R$ 218,93</t>
  </si>
  <si>
    <t>R$ 8,49</t>
  </si>
  <si>
    <t>R$ 78,43</t>
  </si>
  <si>
    <t>R$ 498,69</t>
  </si>
  <si>
    <t>R$ 189,30</t>
  </si>
  <si>
    <t>R$ 74,03</t>
  </si>
  <si>
    <t>R$ 132,31</t>
  </si>
  <si>
    <t>R$ 129,85</t>
  </si>
  <si>
    <t>R$ 195,70</t>
  </si>
  <si>
    <t>R$ 39,09</t>
  </si>
  <si>
    <t>R$ 86,57</t>
  </si>
  <si>
    <t>R$ 93,17</t>
  </si>
  <si>
    <t>R$ 31,31</t>
  </si>
  <si>
    <t>R$ 91,53</t>
  </si>
  <si>
    <t>R$ 49,53</t>
  </si>
  <si>
    <t>R$ 294,24</t>
  </si>
  <si>
    <t>R$ 18,16</t>
  </si>
  <si>
    <t>R$ 51,27</t>
  </si>
  <si>
    <t>R$ 91,94</t>
  </si>
  <si>
    <t>R$ 156,30</t>
  </si>
  <si>
    <t>R$ 160,34</t>
  </si>
  <si>
    <t>R$ 190,43</t>
  </si>
  <si>
    <t>R$ 1.165,80</t>
  </si>
  <si>
    <t>R$ 10,95</t>
  </si>
  <si>
    <t>R$ 87,74</t>
  </si>
  <si>
    <t>R$ 108,01</t>
  </si>
  <si>
    <t>R$ 192,07</t>
  </si>
  <si>
    <t>R$ 426,70</t>
  </si>
  <si>
    <t>R$ 1.505,73</t>
  </si>
  <si>
    <t>R$ 72,86</t>
  </si>
  <si>
    <t>R$ 32,23</t>
  </si>
  <si>
    <t>R$ 371,70</t>
  </si>
  <si>
    <t>R$ 463,43</t>
  </si>
  <si>
    <t>R$ 50,55</t>
  </si>
  <si>
    <t>R$ 107,90</t>
  </si>
  <si>
    <t>R$ 221,33</t>
  </si>
  <si>
    <t>R$ 60,01</t>
  </si>
  <si>
    <t>R$ 47,89</t>
  </si>
  <si>
    <t>R$ 205,78</t>
  </si>
  <si>
    <t>R$ 23,28</t>
  </si>
  <si>
    <t>R$ 62,42</t>
  </si>
  <si>
    <t>R$ 324,32</t>
  </si>
  <si>
    <t>R$ 136,20</t>
  </si>
  <si>
    <t>R$ 1.152,09</t>
  </si>
  <si>
    <t>R$ 77,26</t>
  </si>
  <si>
    <t>R$ 8,13</t>
  </si>
  <si>
    <t>R$ 100,54</t>
  </si>
  <si>
    <t>R$ 104,68</t>
  </si>
  <si>
    <t>R$ 401,68</t>
  </si>
  <si>
    <t>R$ 163,67</t>
  </si>
  <si>
    <t>R$ 78,79</t>
  </si>
  <si>
    <t>R$ 90,66</t>
  </si>
  <si>
    <t>R$ 78,13</t>
  </si>
  <si>
    <t>R$ 403,68</t>
  </si>
  <si>
    <t>R$ 234,48</t>
  </si>
  <si>
    <t>R$ 1.055,08</t>
  </si>
  <si>
    <t>R$ 94,29</t>
  </si>
  <si>
    <t>R$ 91,63</t>
  </si>
  <si>
    <t>R$ 60,63</t>
  </si>
  <si>
    <t>R$ 290,71</t>
  </si>
  <si>
    <t>R$ 126,94</t>
  </si>
  <si>
    <t>R$ 91,12</t>
  </si>
  <si>
    <t>R$ 254,74</t>
  </si>
  <si>
    <t>R$ 78,89</t>
  </si>
  <si>
    <t>R$ 339,26</t>
  </si>
  <si>
    <t>R$ 25,27</t>
  </si>
  <si>
    <t>R$ 180,04</t>
  </si>
  <si>
    <t>R$ 270,14</t>
  </si>
  <si>
    <t>R$ 103,66</t>
  </si>
  <si>
    <t>R$ 121,92</t>
  </si>
  <si>
    <t>R$ 242,77</t>
  </si>
  <si>
    <t>R$ 145,66</t>
  </si>
  <si>
    <t>R$ 169,25</t>
  </si>
  <si>
    <t>R$ 282,88</t>
  </si>
  <si>
    <t>R$ 97,11</t>
  </si>
  <si>
    <t>R$ 477,30</t>
  </si>
  <si>
    <t>R$ 782,08</t>
  </si>
  <si>
    <t>R$ 360,29</t>
  </si>
  <si>
    <t>R$ 114,61</t>
  </si>
  <si>
    <t>R$ 103,91</t>
  </si>
  <si>
    <t>R$ 236,22</t>
  </si>
  <si>
    <t>R$ 396,36</t>
  </si>
  <si>
    <t>R$ 127,65</t>
  </si>
  <si>
    <t>R$ 483,18</t>
  </si>
  <si>
    <t>R$ 282,21</t>
  </si>
  <si>
    <t>R$ 56,18</t>
  </si>
  <si>
    <t>R$ 1.106,04</t>
  </si>
  <si>
    <t>R$ 16,01</t>
  </si>
  <si>
    <t>R$ 110,31</t>
  </si>
  <si>
    <t>R$ 1.048,33</t>
  </si>
  <si>
    <t>R$ 414,42</t>
  </si>
  <si>
    <t>R$ 6,70</t>
  </si>
  <si>
    <t>R$ 2.990,32</t>
  </si>
  <si>
    <t>R$ 62,88</t>
  </si>
  <si>
    <t>R$ 286,77</t>
  </si>
  <si>
    <t>R$ 45,28</t>
  </si>
  <si>
    <t>R$ 467,12</t>
  </si>
  <si>
    <t>R$ 126,73</t>
  </si>
  <si>
    <t>R$ 49,99</t>
  </si>
  <si>
    <t>R$ 164,90</t>
  </si>
  <si>
    <t>R$ 110,56</t>
  </si>
  <si>
    <t>R$ 358,65</t>
  </si>
  <si>
    <t>R$ 1.501,48</t>
  </si>
  <si>
    <t>R$ 2.318,55</t>
  </si>
  <si>
    <t>R$ 134,76</t>
  </si>
  <si>
    <t>R$ 367,45</t>
  </si>
  <si>
    <t>R$ 44,51</t>
  </si>
  <si>
    <t>R$ 321,66</t>
  </si>
  <si>
    <t>R$ 90,87</t>
  </si>
  <si>
    <t>R$ 175,74</t>
  </si>
  <si>
    <t>R$ 43,74</t>
  </si>
  <si>
    <t>R$ 23,79</t>
  </si>
  <si>
    <t>R$ 62,73</t>
  </si>
  <si>
    <t>R$ 54,80</t>
  </si>
  <si>
    <t>R$ 170,12</t>
  </si>
  <si>
    <t>R$ 132,97</t>
  </si>
  <si>
    <t>R$ 133,18</t>
  </si>
  <si>
    <t>R$ 124,84</t>
  </si>
  <si>
    <t>R$ 422,50</t>
  </si>
  <si>
    <t>R$ 343,82</t>
  </si>
  <si>
    <t>R$ 329,85</t>
  </si>
  <si>
    <t>R$ 471,01</t>
  </si>
  <si>
    <t>R$ 46,56</t>
  </si>
  <si>
    <t>R$ 37,04</t>
  </si>
  <si>
    <t>R$ 167,81</t>
  </si>
  <si>
    <t>R$ 153,80</t>
  </si>
  <si>
    <t>R$ 295,98</t>
  </si>
  <si>
    <t>R$ 2.415,71</t>
  </si>
  <si>
    <t>R$ 64,47</t>
  </si>
  <si>
    <t>R$ 80,33</t>
  </si>
  <si>
    <t>R$ 85,24</t>
  </si>
  <si>
    <t>R$ 504,01</t>
  </si>
  <si>
    <t>R$ 119,98</t>
  </si>
  <si>
    <t>R$ 1.041,68</t>
  </si>
  <si>
    <t>R$ 21,18</t>
  </si>
  <si>
    <t>R$ 134,05</t>
  </si>
  <si>
    <t>R$ 490,29</t>
  </si>
  <si>
    <t>R$ 58,43</t>
  </si>
  <si>
    <t>R$ 199,84</t>
  </si>
  <si>
    <t>R$ 147,30</t>
  </si>
  <si>
    <t>R$ 115,42</t>
  </si>
  <si>
    <t>R$ 326,93</t>
  </si>
  <si>
    <t>R$ 75,11</t>
  </si>
  <si>
    <t>R$ 32,18</t>
  </si>
  <si>
    <t>R$ 40,37</t>
  </si>
  <si>
    <t>R$ 4.421,86</t>
  </si>
  <si>
    <t>R$ 31,41</t>
  </si>
  <si>
    <t>R$ 213,25</t>
  </si>
  <si>
    <t>R$ 891,87</t>
  </si>
  <si>
    <t>R$ 102,84</t>
  </si>
  <si>
    <t>R$ 102,48</t>
  </si>
  <si>
    <t>R$ 505,03</t>
  </si>
  <si>
    <t>R$ 126,78</t>
  </si>
  <si>
    <t>R$ 80,17</t>
  </si>
  <si>
    <t>R$ 14,17</t>
  </si>
  <si>
    <t>R$ 609,50</t>
  </si>
  <si>
    <t>R$ 9,77</t>
  </si>
  <si>
    <t>R$ 162,75</t>
  </si>
  <si>
    <t>R$ 952,50</t>
  </si>
  <si>
    <t>R$ 845,47</t>
  </si>
  <si>
    <t>R$ 467,63</t>
  </si>
  <si>
    <t>R$ 660,41</t>
  </si>
  <si>
    <t>R$ 36,27</t>
  </si>
  <si>
    <t>R$ 364,23</t>
  </si>
  <si>
    <t>R$ 901,03</t>
  </si>
  <si>
    <t>R$ 831,76</t>
  </si>
  <si>
    <t>R$ 130,11</t>
  </si>
  <si>
    <t>R$ 36,17</t>
  </si>
  <si>
    <t>R$ 378,91</t>
  </si>
  <si>
    <t>R$ 634,93</t>
  </si>
  <si>
    <t>R$ 32,69</t>
  </si>
  <si>
    <t>R$ 183,16</t>
  </si>
  <si>
    <t>R$ 22,46</t>
  </si>
  <si>
    <t>R$ 31,67</t>
  </si>
  <si>
    <t>R$ 32,39</t>
  </si>
  <si>
    <t>R$ 686,10</t>
  </si>
  <si>
    <t>R$ 147,04</t>
  </si>
  <si>
    <t>R$ 71,63</t>
  </si>
  <si>
    <t>R$ 21,03</t>
  </si>
  <si>
    <t>R$ 85,70</t>
  </si>
  <si>
    <t>R$ 180,25</t>
  </si>
  <si>
    <t>R$ 128,78</t>
  </si>
  <si>
    <t>R$ 23,13</t>
  </si>
  <si>
    <t>R$ 36,38</t>
  </si>
  <si>
    <t>R$ 320,59</t>
  </si>
  <si>
    <t>R$ 222,15</t>
  </si>
  <si>
    <t>R$ 324,94</t>
  </si>
  <si>
    <t>R$ 32,54</t>
  </si>
  <si>
    <t>R$ 42,36</t>
  </si>
  <si>
    <t>R$ 121,61</t>
  </si>
  <si>
    <t>R$ 1.637,78</t>
  </si>
  <si>
    <t>R$ 34,53</t>
  </si>
  <si>
    <t>R$ 290,55</t>
  </si>
  <si>
    <t>R$ 48,55</t>
  </si>
  <si>
    <t>R$ 74,80</t>
  </si>
  <si>
    <t>R$ 76,03</t>
  </si>
  <si>
    <t>R$ 836,31</t>
  </si>
  <si>
    <t>R$ 125,14</t>
  </si>
  <si>
    <t>R$ 427,82</t>
  </si>
  <si>
    <t>R$ 15,50</t>
  </si>
  <si>
    <t>R$ 129,39</t>
  </si>
  <si>
    <t>R$ 618,15</t>
  </si>
  <si>
    <t>R$ 64,11</t>
  </si>
  <si>
    <t>R$ 135,53</t>
  </si>
  <si>
    <t>R$ 262,06</t>
  </si>
  <si>
    <t>R$ 695,56</t>
  </si>
  <si>
    <t>R$ 192,73</t>
  </si>
  <si>
    <t>R$ 332,82</t>
  </si>
  <si>
    <t>R$ 9,16</t>
  </si>
  <si>
    <t>R$ 114,71</t>
  </si>
  <si>
    <t>R$ 69,94</t>
  </si>
  <si>
    <t>R$ 258,63</t>
  </si>
  <si>
    <t>R$ 61,86</t>
  </si>
  <si>
    <t>R$ 118,34</t>
  </si>
  <si>
    <t>R$ 549,08</t>
  </si>
  <si>
    <t>R$ 1.008,47</t>
  </si>
  <si>
    <t>R$ 127,04</t>
  </si>
  <si>
    <t>R$ 131,23</t>
  </si>
  <si>
    <t>R$ 132,61</t>
  </si>
  <si>
    <t>R$ 136,76</t>
  </si>
  <si>
    <t>R$ 143,67</t>
  </si>
  <si>
    <t>R$ 78,94</t>
  </si>
  <si>
    <t>R$ 304,93</t>
  </si>
  <si>
    <t>R$ 120,59</t>
  </si>
  <si>
    <t>R$ 119,52</t>
  </si>
  <si>
    <t>R$ 61,55</t>
  </si>
  <si>
    <t>R$ 810,42</t>
  </si>
  <si>
    <t>R$ 829,71</t>
  </si>
  <si>
    <t>R$ 142,74</t>
  </si>
  <si>
    <t>R$ 142,23</t>
  </si>
  <si>
    <t>R$ 50,45</t>
  </si>
  <si>
    <t>R$ 88,41</t>
  </si>
  <si>
    <t>R$ 85,03</t>
  </si>
  <si>
    <t>R$ 59,60</t>
  </si>
  <si>
    <t>R$ 64,26</t>
  </si>
  <si>
    <t>R$ 176,72</t>
  </si>
  <si>
    <t>R$ 659,44</t>
  </si>
  <si>
    <t>R$ 154,00</t>
  </si>
  <si>
    <t>R$ 97,16</t>
  </si>
  <si>
    <t>R$ 204,14</t>
  </si>
  <si>
    <t>R$ 59,55</t>
  </si>
  <si>
    <t>R$ 138,55</t>
  </si>
  <si>
    <t>R$ 143,87</t>
  </si>
  <si>
    <t>R$ 139,42</t>
  </si>
  <si>
    <t>R$ 33,51</t>
  </si>
  <si>
    <t>R$ 68,87</t>
  </si>
  <si>
    <t>R$ 50,04</t>
  </si>
  <si>
    <t>R$ 1.333,61</t>
  </si>
  <si>
    <t>R$ 43,59</t>
  </si>
  <si>
    <t>R$ 800,44</t>
  </si>
  <si>
    <t>R$ 632,53</t>
  </si>
  <si>
    <t>R$ 1.045,00</t>
  </si>
  <si>
    <t>R$ 70,96</t>
  </si>
  <si>
    <t>R$ 89,89</t>
  </si>
  <si>
    <t>R$ 37,50</t>
  </si>
  <si>
    <t>R$ 413,35</t>
  </si>
  <si>
    <t>R$ 318,85</t>
  </si>
  <si>
    <t>R$ 418,46</t>
  </si>
  <si>
    <t>R$ 24,61</t>
  </si>
  <si>
    <t>R$ 15,04</t>
  </si>
  <si>
    <t>R$ 34,94</t>
  </si>
  <si>
    <t>R$ 26,20</t>
  </si>
  <si>
    <t>R$ 306,11</t>
  </si>
  <si>
    <t>R$ 253,41</t>
  </si>
  <si>
    <t>R$ 16,32</t>
  </si>
  <si>
    <t>R$ 54,44</t>
  </si>
  <si>
    <t>R$ 288,61</t>
  </si>
  <si>
    <t>R$ 188,54</t>
  </si>
  <si>
    <t>R$ 78,18</t>
  </si>
  <si>
    <t>R$ 67,59</t>
  </si>
  <si>
    <t>R$ 132,77</t>
  </si>
  <si>
    <t>R$ 129,90</t>
  </si>
  <si>
    <t>R$ 130,01</t>
  </si>
  <si>
    <t>R$ 83,60</t>
  </si>
  <si>
    <t>R$ 61,70</t>
  </si>
  <si>
    <t>R$ 299,71</t>
  </si>
  <si>
    <t>R$ 124,33</t>
  </si>
  <si>
    <t>R$ 294,80</t>
  </si>
  <si>
    <t>R$ 87,59</t>
  </si>
  <si>
    <t>R$ 23,48</t>
  </si>
  <si>
    <t>R$ 656,11</t>
  </si>
  <si>
    <t>R$ 478,63</t>
  </si>
  <si>
    <t>R$ 186,90</t>
  </si>
  <si>
    <t>R$ 467,58</t>
  </si>
  <si>
    <t>R$ 711,27</t>
  </si>
  <si>
    <t>R$ 195,39</t>
  </si>
  <si>
    <t>R$ 302,12</t>
  </si>
  <si>
    <t>R$ 117,11</t>
  </si>
  <si>
    <t>R$ 3.285,22</t>
  </si>
  <si>
    <t>R$ 42,62</t>
  </si>
  <si>
    <t>R$ 263,03</t>
  </si>
  <si>
    <t>R$ 45,54</t>
  </si>
  <si>
    <t>R$ 822,96</t>
  </si>
  <si>
    <t>R$ 223,12</t>
  </si>
  <si>
    <t>R$ 233,61</t>
  </si>
  <si>
    <t>R$ 33,46</t>
  </si>
  <si>
    <t>R$ 164,23</t>
  </si>
  <si>
    <t>R$ 1.730,84</t>
  </si>
  <si>
    <t>R$ 27,63</t>
  </si>
  <si>
    <t>R$ 62,52</t>
  </si>
  <si>
    <t>R$ 43,49</t>
  </si>
  <si>
    <t>R$ 24,92</t>
  </si>
  <si>
    <t>R$ 287,08</t>
  </si>
  <si>
    <t>R$ 47,02</t>
  </si>
  <si>
    <t>R$ 739,05</t>
  </si>
  <si>
    <t>R$ 457,65</t>
  </si>
  <si>
    <t>R$ 734,09</t>
  </si>
  <si>
    <t>R$ 135,84</t>
  </si>
  <si>
    <t>R$ 1.135,82</t>
  </si>
  <si>
    <t>R$ 208,74</t>
  </si>
  <si>
    <t>R$ 107,44</t>
  </si>
  <si>
    <t>R$ 199,02</t>
  </si>
  <si>
    <t>R$ 99,36</t>
  </si>
  <si>
    <t>R$ 121,26</t>
  </si>
  <si>
    <t>R$ 212,33</t>
  </si>
  <si>
    <t>R$ 137,99</t>
  </si>
  <si>
    <t>R$ 19,39</t>
  </si>
  <si>
    <t>R$ 134,66</t>
  </si>
  <si>
    <t>R$ 38,47</t>
  </si>
  <si>
    <t>R$ 373,13</t>
  </si>
  <si>
    <t>R$ 93,32</t>
  </si>
  <si>
    <t>R$ 145,30</t>
  </si>
  <si>
    <t>R$ 132,46</t>
  </si>
  <si>
    <t>R$ 788,37</t>
  </si>
  <si>
    <t>R$ 105,09</t>
  </si>
  <si>
    <t>R$ 365,76</t>
  </si>
  <si>
    <t>R$ 1.709,35</t>
  </si>
  <si>
    <t>R$ 28,55</t>
  </si>
  <si>
    <t>R$ 552,25</t>
  </si>
  <si>
    <t>R$ 34,07</t>
  </si>
  <si>
    <t>R$ 122,69</t>
  </si>
  <si>
    <t>R$ 92,50</t>
  </si>
  <si>
    <t>R$ 214,88</t>
  </si>
  <si>
    <t>R$ 56,43</t>
  </si>
  <si>
    <t>R$ 896,17</t>
  </si>
  <si>
    <t>R$ 7.125,72</t>
  </si>
  <si>
    <t>R$ 186,64</t>
  </si>
  <si>
    <t>R$ 48,14</t>
  </si>
  <si>
    <t>R$ 106,57</t>
  </si>
  <si>
    <t>R$ 392,57</t>
  </si>
  <si>
    <t>R$ 79,81</t>
  </si>
  <si>
    <t>R$ 482,21</t>
  </si>
  <si>
    <t>R$ 109,13</t>
  </si>
  <si>
    <t>R$ 384,80</t>
  </si>
  <si>
    <t>R$ 76,23</t>
  </si>
  <si>
    <t>R$ 11,87</t>
  </si>
  <si>
    <t>R$ 866,80</t>
  </si>
  <si>
    <t>R$ 10,85</t>
  </si>
  <si>
    <t>R$ 89,18</t>
  </si>
  <si>
    <t>R$ 96,24</t>
  </si>
  <si>
    <t>R$ 908,45</t>
  </si>
  <si>
    <t>R$ 2.255,57</t>
  </si>
  <si>
    <t>R$ 1.351,93</t>
  </si>
  <si>
    <t>R$ 89,43</t>
  </si>
  <si>
    <t>R$ 255,25</t>
  </si>
  <si>
    <t>R$ 95,57</t>
  </si>
  <si>
    <t>R$ 138,81</t>
  </si>
  <si>
    <t>R$ 317,21</t>
  </si>
  <si>
    <t>R$ 16,47</t>
  </si>
  <si>
    <t>R$ 115,22</t>
  </si>
  <si>
    <t>R$ 136,71</t>
  </si>
  <si>
    <t>R$ 478,37</t>
  </si>
  <si>
    <t>R$ 825,46</t>
  </si>
  <si>
    <t>R$ 155,18</t>
  </si>
  <si>
    <t>R$ 80,74</t>
  </si>
  <si>
    <t>R$ 104,78</t>
  </si>
  <si>
    <t>R$ 323,15</t>
  </si>
  <si>
    <t>R$ 1.206,52</t>
  </si>
  <si>
    <t>R$ 5,73</t>
  </si>
  <si>
    <t>R$ 75,72</t>
  </si>
  <si>
    <t>R$ 119,21</t>
  </si>
  <si>
    <t>R$ 147,25</t>
  </si>
  <si>
    <t>R$ 1.776,17</t>
  </si>
  <si>
    <t>R$ 138,19</t>
  </si>
  <si>
    <t>R$ 58,58</t>
  </si>
  <si>
    <t>R$ 342,69</t>
  </si>
  <si>
    <t>R$ 17,14</t>
  </si>
  <si>
    <t>R$ 117,16</t>
  </si>
  <si>
    <t>R$ 1.119,70</t>
  </si>
  <si>
    <t>R$ 95,62</t>
  </si>
  <si>
    <t>R$ 86,72</t>
  </si>
  <si>
    <t>R$ 880,21</t>
  </si>
  <si>
    <t>R$ 118,39</t>
  </si>
  <si>
    <t>R$ 228,80</t>
  </si>
  <si>
    <t>R$ 266,56</t>
  </si>
  <si>
    <t>R$ 138,40</t>
  </si>
  <si>
    <t>R$ 1.319,44</t>
  </si>
  <si>
    <t>R$ 116,70</t>
  </si>
  <si>
    <t>R$ 2.642,26</t>
  </si>
  <si>
    <t>R$ 78,33</t>
  </si>
  <si>
    <t>R$ 45,94</t>
  </si>
  <si>
    <t>R$ 724,31</t>
  </si>
  <si>
    <t>R$ 131,80</t>
  </si>
  <si>
    <t>R$ 306,47</t>
  </si>
  <si>
    <t>R$ 71,83</t>
  </si>
  <si>
    <t>R$ 215,65</t>
  </si>
  <si>
    <t>R$ 530,20</t>
  </si>
  <si>
    <t>R$ 136,09</t>
  </si>
  <si>
    <t>R$ 152,11</t>
  </si>
  <si>
    <t>R$ 460,57</t>
  </si>
  <si>
    <t>R$ 70,86</t>
  </si>
  <si>
    <t>R$ 467,48</t>
  </si>
  <si>
    <t>R$ 216,16</t>
  </si>
  <si>
    <t>R$ 102,22</t>
  </si>
  <si>
    <t>R$ 99,31</t>
  </si>
  <si>
    <t>R$ 504,52</t>
  </si>
  <si>
    <t>R$ 153,13</t>
  </si>
  <si>
    <t>R$ 193,91</t>
  </si>
  <si>
    <t>R$ 79,87</t>
  </si>
  <si>
    <t>R$ 385,10</t>
  </si>
  <si>
    <t>R$ 26,66</t>
  </si>
  <si>
    <t>R$ 327,14</t>
  </si>
  <si>
    <t>R$ 156,20</t>
  </si>
  <si>
    <t>R$ 99,10</t>
  </si>
  <si>
    <t>R$ 884,86</t>
  </si>
  <si>
    <t>R$ 64,36</t>
  </si>
  <si>
    <t>R$ 1.137,86</t>
  </si>
  <si>
    <t>R$ 220,51</t>
  </si>
  <si>
    <t>R$ 232,89</t>
  </si>
  <si>
    <t>R$ 17,75</t>
  </si>
  <si>
    <t>R$ 192,48</t>
  </si>
  <si>
    <t>R$ 132,56</t>
  </si>
  <si>
    <t>R$ 199,48</t>
  </si>
  <si>
    <t>R$ 2.500,69</t>
  </si>
  <si>
    <t>R$ 93,63</t>
  </si>
  <si>
    <t>R$ 361,21</t>
  </si>
  <si>
    <t>R$ 62,93</t>
  </si>
  <si>
    <t>R$ 90,10</t>
  </si>
  <si>
    <t>R$ 146,27</t>
  </si>
  <si>
    <t>R$ 53,21</t>
  </si>
  <si>
    <t>R$ 126,83</t>
  </si>
  <si>
    <t>R$ 66,82</t>
  </si>
  <si>
    <t>R$ 7,47</t>
  </si>
  <si>
    <t>R$ 102,53</t>
  </si>
  <si>
    <t>R$ 690,75</t>
  </si>
  <si>
    <t>R$ 15,91</t>
  </si>
  <si>
    <t>R$ 227,11</t>
  </si>
  <si>
    <t>R$ 227,68</t>
  </si>
  <si>
    <t>R$ 148,12</t>
  </si>
  <si>
    <t>R$ 546,16</t>
  </si>
  <si>
    <t>R$ 30,44</t>
  </si>
  <si>
    <t>R$ 175,44</t>
  </si>
  <si>
    <t>R$ 303,45</t>
  </si>
  <si>
    <t>R$ 38,73</t>
  </si>
  <si>
    <t>R$ 426,55</t>
  </si>
  <si>
    <t>R$ 157,94</t>
  </si>
  <si>
    <t>R$ 19,85</t>
  </si>
  <si>
    <t>R$ 578,60</t>
  </si>
  <si>
    <t>R$ 209,72</t>
  </si>
  <si>
    <t>R$ 436,37</t>
  </si>
  <si>
    <t>R$ 178,76</t>
  </si>
  <si>
    <t>R$ 531,48</t>
  </si>
  <si>
    <t>R$ 601,63</t>
  </si>
  <si>
    <t>R$ 140,44</t>
  </si>
  <si>
    <t>R$ 140,65</t>
  </si>
  <si>
    <t>R$ 281,04</t>
  </si>
  <si>
    <t>R$ 16,93</t>
  </si>
  <si>
    <t>R$ 333,84</t>
  </si>
  <si>
    <t>R$ 1.072,78</t>
  </si>
  <si>
    <t>R$ 1.106,55</t>
  </si>
  <si>
    <t>R$ 3.647,97</t>
  </si>
  <si>
    <t>R$ 352,46</t>
  </si>
  <si>
    <t>R$ 454,89</t>
  </si>
  <si>
    <t>R$ 3,99</t>
  </si>
  <si>
    <t>R$ 518,08</t>
  </si>
  <si>
    <t>R$ 72,34</t>
  </si>
  <si>
    <t>R$ 333,12</t>
  </si>
  <si>
    <t>R$ 131,69</t>
  </si>
  <si>
    <t>R$ 143,46</t>
  </si>
  <si>
    <t>R$ 1.171,17</t>
  </si>
  <si>
    <t>R$ 154,56</t>
  </si>
  <si>
    <t>R$ 137,32</t>
  </si>
  <si>
    <t>R$ 1.029,04</t>
  </si>
  <si>
    <t>R$ 751,23</t>
  </si>
  <si>
    <t>R$ 130,67</t>
  </si>
  <si>
    <t>R$ 130,21</t>
  </si>
  <si>
    <t>R$ 128,37</t>
  </si>
  <si>
    <t>R$ 127,55</t>
  </si>
  <si>
    <t>R$ 485,54</t>
  </si>
  <si>
    <t>R$ 66,10</t>
  </si>
  <si>
    <t>R$ 227,01</t>
  </si>
  <si>
    <t>R$ 74,54</t>
  </si>
  <si>
    <t>R$ 128,93</t>
  </si>
  <si>
    <t>R$ 112,97</t>
  </si>
  <si>
    <t>R$ 111,69</t>
  </si>
  <si>
    <t>R$ 27,53</t>
  </si>
  <si>
    <t>R$ 73,93</t>
  </si>
  <si>
    <t>R$ 1.284,34</t>
  </si>
  <si>
    <t>R$ 256,17</t>
  </si>
  <si>
    <t>R$ 131,44</t>
  </si>
  <si>
    <t>R$ 216,68</t>
  </si>
  <si>
    <t>R$ 717,66</t>
  </si>
  <si>
    <t>R$ 36,94</t>
  </si>
  <si>
    <t>R$ 1.158,23</t>
  </si>
  <si>
    <t>R$ 28,09</t>
  </si>
  <si>
    <t>R$ 1.134,54</t>
  </si>
  <si>
    <t>R$ 447,27</t>
  </si>
  <si>
    <t>R$ 251,31</t>
  </si>
  <si>
    <t>R$ 269,22</t>
  </si>
  <si>
    <t>R$ 711,32</t>
  </si>
  <si>
    <t>R$ 80,89</t>
  </si>
  <si>
    <t>R$ 150,47</t>
  </si>
  <si>
    <t>R$ 95,06</t>
  </si>
  <si>
    <t>R$ 88,51</t>
  </si>
  <si>
    <t>R$ 226,55</t>
  </si>
  <si>
    <t>R$ 43,95</t>
  </si>
  <si>
    <t>R$ 107,49</t>
  </si>
  <si>
    <t>R$ 158,20</t>
  </si>
  <si>
    <t>R$ 128,16</t>
  </si>
  <si>
    <t>R$ 120,23</t>
  </si>
  <si>
    <t>R$ 106,78</t>
  </si>
  <si>
    <t>R$ 257,40</t>
  </si>
  <si>
    <t>R$ 99,87</t>
  </si>
  <si>
    <t>R$ 2.735,99</t>
  </si>
  <si>
    <t>R$ 72,50</t>
  </si>
  <si>
    <t>R$ 47,74</t>
  </si>
  <si>
    <t>R$ 69,38</t>
  </si>
  <si>
    <t>R$ 502,47</t>
  </si>
  <si>
    <t>R$ 24,15</t>
  </si>
  <si>
    <t>R$ 134,35</t>
  </si>
  <si>
    <t>R$ 30,54</t>
  </si>
  <si>
    <t>R$ 461,29</t>
  </si>
  <si>
    <t>R$ 49,37</t>
  </si>
  <si>
    <t>R$ 254,43</t>
  </si>
  <si>
    <t>R$ 157,89</t>
  </si>
  <si>
    <t>R$ 126,63</t>
  </si>
  <si>
    <t>R$ 95,27</t>
  </si>
  <si>
    <t>R$ 38,01</t>
  </si>
  <si>
    <t>R$ 128,98</t>
  </si>
  <si>
    <t>R$ 25,94</t>
  </si>
  <si>
    <t>R$ 132,26</t>
  </si>
  <si>
    <t>R$ 96,49</t>
  </si>
  <si>
    <t>R$ 218,82</t>
  </si>
  <si>
    <t>R$ 293,52</t>
  </si>
  <si>
    <t>R$ 161,27</t>
  </si>
  <si>
    <t>R$ 149,50</t>
  </si>
  <si>
    <t>R$ 65,08</t>
  </si>
  <si>
    <t>R$ 152,98</t>
  </si>
  <si>
    <t>R$ 21,74</t>
  </si>
  <si>
    <t>R$ 72,19</t>
  </si>
  <si>
    <t>R$ 413,91</t>
  </si>
  <si>
    <t>R$ 30,13</t>
  </si>
  <si>
    <t>R$ 91,58</t>
  </si>
  <si>
    <t>R$ 537,21</t>
  </si>
  <si>
    <t>R$ 93,58</t>
  </si>
  <si>
    <t>R$ 71,53</t>
  </si>
  <si>
    <t>R$ 40,88</t>
  </si>
  <si>
    <t>R$ 7,67</t>
  </si>
  <si>
    <t>R$ 58,07</t>
  </si>
  <si>
    <t>R$ 472,59</t>
  </si>
  <si>
    <t>R$ 82,47</t>
  </si>
  <si>
    <t>R$ 278,99</t>
  </si>
  <si>
    <t>R$ 87,95</t>
  </si>
  <si>
    <t>R$ 309,64</t>
  </si>
  <si>
    <t>R$ 96,44</t>
  </si>
  <si>
    <t>R$ 902,41</t>
  </si>
  <si>
    <t>R$ 112,61</t>
  </si>
  <si>
    <t>R$ 244,71</t>
  </si>
  <si>
    <t>R$ 624,03</t>
  </si>
  <si>
    <t>R$ 165,41</t>
  </si>
  <si>
    <t>R$ 70,50</t>
  </si>
  <si>
    <t>R$ 160,91</t>
  </si>
  <si>
    <t>R$ 671,72</t>
  </si>
  <si>
    <t>R$ 428,95</t>
  </si>
  <si>
    <t>R$ 755,63</t>
  </si>
  <si>
    <t>R$ 167,92</t>
  </si>
  <si>
    <t>R$ 342,33</t>
  </si>
  <si>
    <t>R$ 331,89</t>
  </si>
  <si>
    <t>R$ 92,35</t>
  </si>
  <si>
    <t>R$ 34,84</t>
  </si>
  <si>
    <t>R$ 225,73</t>
  </si>
  <si>
    <t>R$ 66,61</t>
  </si>
  <si>
    <t>R$ 887,98</t>
  </si>
  <si>
    <t>R$ 40,52</t>
  </si>
  <si>
    <t>R$ 214,01</t>
  </si>
  <si>
    <t>R$ 327,34</t>
  </si>
  <si>
    <t>R$ 61,91</t>
  </si>
  <si>
    <t>R$ 18,93</t>
  </si>
  <si>
    <t>R$ 177,59</t>
  </si>
  <si>
    <t>R$ 22,61</t>
  </si>
  <si>
    <t>R$ 104,27</t>
  </si>
  <si>
    <t>R$ 17,80</t>
  </si>
  <si>
    <t>R$ 14,43</t>
  </si>
  <si>
    <t>R$ 104,53</t>
  </si>
  <si>
    <t>R$ 183,78</t>
  </si>
  <si>
    <t>R$ 158,61</t>
  </si>
  <si>
    <t>R$ 221,89</t>
  </si>
  <si>
    <t>R$ 497,56</t>
  </si>
  <si>
    <t>R$ 375,08</t>
  </si>
  <si>
    <t>R$ 390,48</t>
  </si>
  <si>
    <t>R$ 406,23</t>
  </si>
  <si>
    <t>R$ 131,74</t>
  </si>
  <si>
    <t>R$ 162,95</t>
  </si>
  <si>
    <t>R$ 468,35</t>
  </si>
  <si>
    <t>R$ 469,93</t>
  </si>
  <si>
    <t>R$ 39,19</t>
  </si>
  <si>
    <t>R$ 46,05</t>
  </si>
  <si>
    <t>R$ 42,82</t>
  </si>
  <si>
    <t>R$ 176,00</t>
  </si>
  <si>
    <t>R$ 455,76</t>
  </si>
  <si>
    <t>R$ 35,61</t>
  </si>
  <si>
    <t>R$ 239,44</t>
  </si>
  <si>
    <t>R$ 196,67</t>
  </si>
  <si>
    <t>R$ 1.445,10</t>
  </si>
  <si>
    <t>R$ 2.208,30</t>
  </si>
  <si>
    <t>R$ 236,48</t>
  </si>
  <si>
    <t>R$ 412,99</t>
  </si>
  <si>
    <t>R$ 233,51</t>
  </si>
  <si>
    <t>R$ 25,73</t>
  </si>
  <si>
    <t>R$ 238,32</t>
  </si>
  <si>
    <t>R$ 36,84</t>
  </si>
  <si>
    <t>R$ 44,05</t>
  </si>
  <si>
    <t>R$ 205,88</t>
  </si>
  <si>
    <t>R$ 102,68</t>
  </si>
  <si>
    <t>R$ 99,00</t>
  </si>
  <si>
    <t>R$ 65,23</t>
  </si>
  <si>
    <t>R$ 393,75</t>
  </si>
  <si>
    <t>R$ 246,35</t>
  </si>
  <si>
    <t>R$ 166,38</t>
  </si>
  <si>
    <t>R$ 96,03</t>
  </si>
  <si>
    <t>R$ 147,66</t>
  </si>
  <si>
    <t>R$ 230,69</t>
  </si>
  <si>
    <t>R$ 295,52</t>
  </si>
  <si>
    <t>R$ 41,75</t>
  </si>
  <si>
    <t>R$ 70,20</t>
  </si>
  <si>
    <t>R$ 479,81</t>
  </si>
  <si>
    <t>R$ 116,65</t>
  </si>
  <si>
    <t>R$ 48,45</t>
  </si>
  <si>
    <t>R$ 697,97</t>
  </si>
  <si>
    <t>R$ 219,74</t>
  </si>
  <si>
    <t>R$ 202,81</t>
  </si>
  <si>
    <t>R$ 578,76</t>
  </si>
  <si>
    <t>R$ 300,07</t>
  </si>
  <si>
    <t>R$ 78,38</t>
  </si>
  <si>
    <t>R$ 167,05</t>
  </si>
  <si>
    <t>R$ 125,35</t>
  </si>
  <si>
    <t>R$ 35,25</t>
  </si>
  <si>
    <t>R$ 126,42</t>
  </si>
  <si>
    <t>R$ 47,48</t>
  </si>
  <si>
    <t>R$ 1.388,82</t>
  </si>
  <si>
    <t>R$ 524,83</t>
  </si>
  <si>
    <t>R$ 404,19</t>
  </si>
  <si>
    <t>R$ 259,70</t>
  </si>
  <si>
    <t>R$ 688,76</t>
  </si>
  <si>
    <t>R$ 240,98</t>
  </si>
  <si>
    <t>R$ 587,20</t>
  </si>
  <si>
    <t>R$ 206,44</t>
  </si>
  <si>
    <t>R$ 11,46</t>
  </si>
  <si>
    <t>R$ 526,31</t>
  </si>
  <si>
    <t>R$ 151,29</t>
  </si>
  <si>
    <t>R$ 30,08</t>
  </si>
  <si>
    <t>R$ 70,09</t>
  </si>
  <si>
    <t>R$ 69,99</t>
  </si>
  <si>
    <t>R$ 556,35</t>
  </si>
  <si>
    <t>R$ 937,87</t>
  </si>
  <si>
    <t>R$ 340,34</t>
  </si>
  <si>
    <t>R$ 184,49</t>
  </si>
  <si>
    <t>R$ 79,20</t>
  </si>
  <si>
    <t>R$ 95,01</t>
  </si>
  <si>
    <t>R$ 520,38</t>
  </si>
  <si>
    <t>R$ 222,41</t>
  </si>
  <si>
    <t>R$ 122,79</t>
  </si>
  <si>
    <t>R$ 41,34</t>
  </si>
  <si>
    <t>R$ 243,02</t>
  </si>
  <si>
    <t>R$ 149,19</t>
  </si>
  <si>
    <t>R$ 96,90</t>
  </si>
  <si>
    <t>R$ 50,29</t>
  </si>
  <si>
    <t>R$ 325,35</t>
  </si>
  <si>
    <t>R$ 236,27</t>
  </si>
  <si>
    <t>R$ 112,87</t>
  </si>
  <si>
    <t>R$ 19,49</t>
  </si>
  <si>
    <t>R$ 311,94</t>
  </si>
  <si>
    <t>R$ 37,45</t>
  </si>
  <si>
    <t>R$ 108,47</t>
  </si>
  <si>
    <t>R$ 159,99</t>
  </si>
  <si>
    <t>R$ 153,34</t>
  </si>
  <si>
    <t>R$ 104,07</t>
  </si>
  <si>
    <t>R$ 12,48</t>
  </si>
  <si>
    <t>R$ 348,93</t>
  </si>
  <si>
    <t>R$ 341,82</t>
  </si>
  <si>
    <t>R$ 2.688,87</t>
  </si>
  <si>
    <t>R$ 45,13</t>
  </si>
  <si>
    <t>R$ 746,83</t>
  </si>
  <si>
    <t>R$ 156,87</t>
  </si>
  <si>
    <t>R$ 979,87</t>
  </si>
  <si>
    <t>R$ 628,59</t>
  </si>
  <si>
    <t>R$ 355,94</t>
  </si>
  <si>
    <t>R$ 20,57</t>
  </si>
  <si>
    <t>R$ 335,02</t>
  </si>
  <si>
    <t>R$ 131,59</t>
  </si>
  <si>
    <t>R$ 133,48</t>
  </si>
  <si>
    <t>R$ 136,86</t>
  </si>
  <si>
    <t>R$ 131,08</t>
  </si>
  <si>
    <t>R$ 158,76</t>
  </si>
  <si>
    <t>R$ 175,08</t>
  </si>
  <si>
    <t>R$ 159,32</t>
  </si>
  <si>
    <t>R$ 101,81</t>
  </si>
  <si>
    <t>R$ 37,71</t>
  </si>
  <si>
    <t>R$ 212,84</t>
  </si>
  <si>
    <t>R$ 61,09</t>
  </si>
  <si>
    <t>R$ 109,44</t>
  </si>
  <si>
    <t>R$ 171,60</t>
  </si>
  <si>
    <t>R$ 217,75</t>
  </si>
  <si>
    <t>R$ 168,58</t>
  </si>
  <si>
    <t>R$ 390,22</t>
  </si>
  <si>
    <t>R$ 95,21</t>
  </si>
  <si>
    <t>R$ 1.775,25</t>
  </si>
  <si>
    <t>R$ 1.021,42</t>
  </si>
  <si>
    <t>R$ 61,34</t>
  </si>
  <si>
    <t>R$ 614,36</t>
  </si>
  <si>
    <t>R$ 122,84</t>
  </si>
  <si>
    <t>R$ 454,74</t>
  </si>
  <si>
    <t>R$ 229,72</t>
  </si>
  <si>
    <t>R$ 272,19</t>
  </si>
  <si>
    <t>R$ 166,33</t>
  </si>
  <si>
    <t>R$ 228,70</t>
  </si>
  <si>
    <t>R$ 123,81</t>
  </si>
  <si>
    <t>R$ 59,96</t>
  </si>
  <si>
    <t>R$ 141,21</t>
  </si>
  <si>
    <t>R$ 230,03</t>
  </si>
  <si>
    <t>R$ 238,42</t>
  </si>
  <si>
    <t>R$ 211,97</t>
  </si>
  <si>
    <t>R$ 125,04</t>
  </si>
  <si>
    <t>R$ 175,34</t>
  </si>
  <si>
    <t>R$ 34,69</t>
  </si>
  <si>
    <t>R$ 581,62</t>
  </si>
  <si>
    <t>R$ 97,62</t>
  </si>
  <si>
    <t>R$ 922,31</t>
  </si>
  <si>
    <t>R$ 851,61</t>
  </si>
  <si>
    <t>R$ 412,63</t>
  </si>
  <si>
    <t>R$ 404,75</t>
  </si>
  <si>
    <t>R$ 1.052,22</t>
  </si>
  <si>
    <t>R$ 242,92</t>
  </si>
  <si>
    <t>R$ 82,58</t>
  </si>
  <si>
    <t>R$ 214,99</t>
  </si>
  <si>
    <t>R$ 235,45</t>
  </si>
  <si>
    <t>R$ 1.623,61</t>
  </si>
  <si>
    <t>R$ 164,49</t>
  </si>
  <si>
    <t>R$ 115,37</t>
  </si>
  <si>
    <t>R$ 1.270,53</t>
  </si>
  <si>
    <t>R$ 134,15</t>
  </si>
  <si>
    <t>R$ 216,06</t>
  </si>
  <si>
    <t>R$ 170,01</t>
  </si>
  <si>
    <t>R$ 575,89</t>
  </si>
  <si>
    <t>R$ 202,55</t>
  </si>
  <si>
    <t>R$ 285,95</t>
  </si>
  <si>
    <t>R$ 34,28</t>
  </si>
  <si>
    <t>R$ 110,05</t>
  </si>
  <si>
    <t>R$ 156,97</t>
  </si>
  <si>
    <t>R$ 347,45</t>
  </si>
  <si>
    <t>R$ 97,06</t>
  </si>
  <si>
    <t>R$ 41,54</t>
  </si>
  <si>
    <t>R$ 396,56</t>
  </si>
  <si>
    <t>R$ 1.244,13</t>
  </si>
  <si>
    <t>R$ 52,75</t>
  </si>
  <si>
    <t>R$ 247,27</t>
  </si>
  <si>
    <t>R$ 255,81</t>
  </si>
  <si>
    <t>R$ 358,81</t>
  </si>
  <si>
    <t>R$ 8,03</t>
  </si>
  <si>
    <t>R$ 327,90</t>
  </si>
  <si>
    <t>R$ 156,61</t>
  </si>
  <si>
    <t>R$ 272,39</t>
  </si>
  <si>
    <t>R$ 42,87</t>
  </si>
  <si>
    <t>R$ 801,11</t>
  </si>
  <si>
    <t>R$ 242,82</t>
  </si>
  <si>
    <t>R$ 387,56</t>
  </si>
  <si>
    <t>R$ 335,32</t>
  </si>
  <si>
    <t>R$ 125,96</t>
  </si>
  <si>
    <t>R$ 254,89</t>
  </si>
  <si>
    <t>R$ 156,76</t>
  </si>
  <si>
    <t>R$ 228,19</t>
  </si>
  <si>
    <t>R$ 70,76</t>
  </si>
  <si>
    <t>R$ 210,28</t>
  </si>
  <si>
    <t>R$ 394,52</t>
  </si>
  <si>
    <t>R$ 219,44</t>
  </si>
  <si>
    <t>R$ 241,85</t>
  </si>
  <si>
    <t>R$ 330,21</t>
  </si>
  <si>
    <t>R$ 34,48</t>
  </si>
  <si>
    <t>R$ 575,33</t>
  </si>
  <si>
    <t>R$ 2.874,28</t>
  </si>
  <si>
    <t>R$ 40,01</t>
  </si>
  <si>
    <t>R$ 710,60</t>
  </si>
  <si>
    <t>R$ 217,80</t>
  </si>
  <si>
    <t>R$ 302,42</t>
  </si>
  <si>
    <t>R$ 144,84</t>
  </si>
  <si>
    <t>R$ 279,76</t>
  </si>
  <si>
    <t>R$ 100,02</t>
  </si>
  <si>
    <t>R$ 5,99</t>
  </si>
  <si>
    <t>R$ 234,94</t>
  </si>
  <si>
    <t>R$ 125,50</t>
  </si>
  <si>
    <t>R$ 104,37</t>
  </si>
  <si>
    <t>R$ 34,89</t>
  </si>
  <si>
    <t>R$ 339,21</t>
  </si>
  <si>
    <t>R$ 603,01</t>
  </si>
  <si>
    <t>R$ 95,98</t>
  </si>
  <si>
    <t>R$ 341,87</t>
  </si>
  <si>
    <t>R$ 41,19</t>
  </si>
  <si>
    <t>R$ 40,47</t>
  </si>
  <si>
    <t>R$ 1.345,94</t>
  </si>
  <si>
    <t>R$ 51,57</t>
  </si>
  <si>
    <t>R$ 275,26</t>
  </si>
  <si>
    <t>R$ 109,90</t>
  </si>
  <si>
    <t>R$ 109,03</t>
  </si>
  <si>
    <t>R$ 114,45</t>
  </si>
  <si>
    <t>R$ 180,76</t>
  </si>
  <si>
    <t>R$ 123,56</t>
  </si>
  <si>
    <t>R$ 141,11</t>
  </si>
  <si>
    <t>R$ 59,50</t>
  </si>
  <si>
    <t>R$ 500,37</t>
  </si>
  <si>
    <t>R$ 399,22</t>
  </si>
  <si>
    <t>R$ 20,36</t>
  </si>
  <si>
    <t>R$ 65,85</t>
  </si>
  <si>
    <t>R$ 78,84</t>
  </si>
  <si>
    <t>R$ 251,36</t>
  </si>
  <si>
    <t>R$ 380,40</t>
  </si>
  <si>
    <t>R$ 269,32</t>
  </si>
  <si>
    <t>R$ 45,38</t>
  </si>
  <si>
    <t>R$ 440,00</t>
  </si>
  <si>
    <t>R$ 94,70</t>
  </si>
  <si>
    <t>R$ 161,88</t>
  </si>
  <si>
    <t>R$ 441,23</t>
  </si>
  <si>
    <t>R$ 39,04</t>
  </si>
  <si>
    <t>R$ 98,49</t>
  </si>
  <si>
    <t>R$ 117,62</t>
  </si>
  <si>
    <t>R$ 70,04</t>
  </si>
  <si>
    <t>R$ 198,00</t>
  </si>
  <si>
    <t>R$ 752,15</t>
  </si>
  <si>
    <t>R$ 170,83</t>
  </si>
  <si>
    <t>R$ 162,49</t>
  </si>
  <si>
    <t>R$ 91,84</t>
  </si>
  <si>
    <t>R$ 67,79</t>
  </si>
  <si>
    <t>R$ 332,61</t>
  </si>
  <si>
    <t>R$ 1.017,73</t>
  </si>
  <si>
    <t>R$ 323,96</t>
  </si>
  <si>
    <t>R$ 192,94</t>
  </si>
  <si>
    <t>R$ 406,44</t>
  </si>
  <si>
    <t>R$ 124,02</t>
  </si>
  <si>
    <t>R$ 123,05</t>
  </si>
  <si>
    <t>R$ 254,84</t>
  </si>
  <si>
    <t>R$ 495,10</t>
  </si>
  <si>
    <t>R$ 111,84</t>
  </si>
  <si>
    <t>R$ 66,56</t>
  </si>
  <si>
    <t>R$ 80,07</t>
  </si>
  <si>
    <t>R$ 108,93</t>
  </si>
  <si>
    <t>R$ 9,36</t>
  </si>
  <si>
    <t>R$ 915,61</t>
  </si>
  <si>
    <t>R$ 875,50</t>
  </si>
  <si>
    <t>R$ 264,82</t>
  </si>
  <si>
    <t>R$ 213,81</t>
  </si>
  <si>
    <t>R$ 722,52</t>
  </si>
  <si>
    <t>R$ 428,34</t>
  </si>
  <si>
    <t>R$ 42,21</t>
  </si>
  <si>
    <t>R$ 152,72</t>
  </si>
  <si>
    <t>R$ 67,54</t>
  </si>
  <si>
    <t>R$ 129,75</t>
  </si>
  <si>
    <t>R$ 418,72</t>
  </si>
  <si>
    <t>R$ 133,07</t>
  </si>
  <si>
    <t>R$ 348,47</t>
  </si>
  <si>
    <t>R$ 265,38</t>
  </si>
  <si>
    <t>R$ 191,96</t>
  </si>
  <si>
    <t>R$ 33,36</t>
  </si>
  <si>
    <t>R$ 75,98</t>
  </si>
  <si>
    <t>R$ 89,69</t>
  </si>
  <si>
    <t>R$ 75,00</t>
  </si>
  <si>
    <t>R$ 1.248,84</t>
  </si>
  <si>
    <t>R$ 2.271,33</t>
  </si>
  <si>
    <t>R$ 50,34</t>
  </si>
  <si>
    <t>R$ 65,28</t>
  </si>
  <si>
    <t>R$ 654,78</t>
  </si>
  <si>
    <t>R$ 89,13</t>
  </si>
  <si>
    <t>R$ 61,45</t>
  </si>
  <si>
    <t>R$ 116,19</t>
  </si>
  <si>
    <t>R$ 193,24</t>
  </si>
  <si>
    <t>R$ 21,13</t>
  </si>
  <si>
    <t>R$ 69,02</t>
  </si>
  <si>
    <t>R$ 84,21</t>
  </si>
  <si>
    <t>R$ 372,16</t>
  </si>
  <si>
    <t>R$ 155,07</t>
  </si>
  <si>
    <t>R$ 18,11</t>
  </si>
  <si>
    <t>R$ 221,13</t>
  </si>
  <si>
    <t>R$ 146,12</t>
  </si>
  <si>
    <t>R$ 83,86</t>
  </si>
  <si>
    <t>R$ 36,43</t>
  </si>
  <si>
    <t>R$ 163,57</t>
  </si>
  <si>
    <t>R$ 334,35</t>
  </si>
  <si>
    <t>R$ 101,76</t>
  </si>
  <si>
    <t>R$ 182,50</t>
  </si>
  <si>
    <t>R$ 743,65</t>
  </si>
  <si>
    <t>R$ 471,52</t>
  </si>
  <si>
    <t>R$ 161,52</t>
  </si>
  <si>
    <t>R$ 226,29</t>
  </si>
  <si>
    <t>R$ 383,36</t>
  </si>
  <si>
    <t>R$ 1.086,70</t>
  </si>
  <si>
    <t>R$ 75,16</t>
  </si>
  <si>
    <t>R$ 220,10</t>
  </si>
  <si>
    <t>R$ 402,19</t>
  </si>
  <si>
    <t>R$ 45,43</t>
  </si>
  <si>
    <t>R$ 168,74</t>
  </si>
  <si>
    <t>R$ 278,22</t>
  </si>
  <si>
    <t>R$ 992,31</t>
  </si>
  <si>
    <t>R$ 488,86</t>
  </si>
  <si>
    <t>R$ 19,54</t>
  </si>
  <si>
    <t>R$ 147,35</t>
  </si>
  <si>
    <t>R$ 118,60</t>
  </si>
  <si>
    <t>R$ 135,12</t>
  </si>
  <si>
    <t>R$ 942,37</t>
  </si>
  <si>
    <t>R$ 125,40</t>
  </si>
  <si>
    <t>R$ 3.120,38</t>
  </si>
  <si>
    <t>R$ 113,68</t>
  </si>
  <si>
    <t>R$ 3.068,81</t>
  </si>
  <si>
    <t>R$ 524,52</t>
  </si>
  <si>
    <t>R$ 640,25</t>
  </si>
  <si>
    <t>R$ 351,59</t>
  </si>
  <si>
    <t>R$ 953,78</t>
  </si>
  <si>
    <t>R$ 53,36</t>
  </si>
  <si>
    <t>R$ 427,62</t>
  </si>
  <si>
    <t>R$ 71,68</t>
  </si>
  <si>
    <t>R$ 202,66</t>
  </si>
  <si>
    <t>R$ 586,48</t>
  </si>
  <si>
    <t>R$ 990,05</t>
  </si>
  <si>
    <t>R$ 965,29</t>
  </si>
  <si>
    <t>R$ 504,57</t>
  </si>
  <si>
    <t>R$ 35,97</t>
  </si>
  <si>
    <t>R$ 289,17</t>
  </si>
  <si>
    <t>R$ 77,05</t>
  </si>
  <si>
    <t>R$ 161,32</t>
  </si>
  <si>
    <t>R$ 193,81</t>
  </si>
  <si>
    <t>R$ 173,19</t>
  </si>
  <si>
    <t>R$ 141,62</t>
  </si>
  <si>
    <t>R$ 293,78</t>
  </si>
  <si>
    <t>R$ 250,29</t>
  </si>
  <si>
    <t>R$ 149,60</t>
  </si>
  <si>
    <t>R$ 379,68</t>
  </si>
  <si>
    <t>R$ 293,62</t>
  </si>
  <si>
    <t>R$ 81,45</t>
  </si>
  <si>
    <t>R$ 11,56</t>
  </si>
  <si>
    <t>R$ 126,37</t>
  </si>
  <si>
    <t>R$ 1.731,66</t>
  </si>
  <si>
    <t>R$ 481,39</t>
  </si>
  <si>
    <t>R$ 96,60</t>
  </si>
  <si>
    <t>R$ 176,77</t>
  </si>
  <si>
    <t>R$ 105,29</t>
  </si>
  <si>
    <t>R$ 214,94</t>
  </si>
  <si>
    <t>R$ 642,15</t>
  </si>
  <si>
    <t>R$ 258,88</t>
  </si>
  <si>
    <t>R$ 88,56</t>
  </si>
  <si>
    <t>R$ 84,16</t>
  </si>
  <si>
    <t>R$ 381,52</t>
  </si>
  <si>
    <t>R$ 33,05</t>
  </si>
  <si>
    <t>R$ 725,39</t>
  </si>
  <si>
    <t>R$ 916,43</t>
  </si>
  <si>
    <t>R$ 426,19</t>
  </si>
  <si>
    <t>R$ 143,31</t>
  </si>
  <si>
    <t>R$ 169,35</t>
  </si>
  <si>
    <t>R$ 244,35</t>
  </si>
  <si>
    <t>R$ 20,16</t>
  </si>
  <si>
    <t>R$ 185,31</t>
  </si>
  <si>
    <t>R$ 650,08</t>
  </si>
  <si>
    <t>R$ 294,60</t>
  </si>
  <si>
    <t>R$ 154,51</t>
  </si>
  <si>
    <t>R$ 129,49</t>
  </si>
  <si>
    <t>R$ 110,87</t>
  </si>
  <si>
    <t>R$ 45,48</t>
  </si>
  <si>
    <t>R$ 97,87</t>
  </si>
  <si>
    <t>R$ 45,33</t>
  </si>
  <si>
    <t>R$ 75,31</t>
  </si>
  <si>
    <t>R$ 239,75</t>
  </si>
  <si>
    <t>R$ 90,30</t>
  </si>
  <si>
    <t>R$ 475,71</t>
  </si>
  <si>
    <t>R$ 68,20</t>
  </si>
  <si>
    <t>R$ 78,74</t>
  </si>
  <si>
    <t>R$ 232,94</t>
  </si>
  <si>
    <t>R$ 148,68</t>
  </si>
  <si>
    <t>R$ 60,78</t>
  </si>
  <si>
    <t>R$ 110,77</t>
  </si>
  <si>
    <t>R$ 105,65</t>
  </si>
  <si>
    <t>R$ 56,64</t>
  </si>
  <si>
    <t>R$ 124,58</t>
  </si>
  <si>
    <t>R$ 133,94</t>
  </si>
  <si>
    <t>R$ 149,09</t>
  </si>
  <si>
    <t>R$ 38,42</t>
  </si>
  <si>
    <t>R$ 98,13</t>
  </si>
  <si>
    <t>R$ 95,11</t>
  </si>
  <si>
    <t>R$ 108,82</t>
  </si>
  <si>
    <t>R$ 77,72</t>
  </si>
  <si>
    <t>R$ 132,10</t>
  </si>
  <si>
    <t>R$ 226,34</t>
  </si>
  <si>
    <t>R$ 37,25</t>
  </si>
  <si>
    <t>R$ 270,81</t>
  </si>
  <si>
    <t>R$ 237,04</t>
  </si>
  <si>
    <t>R$ 75,26</t>
  </si>
  <si>
    <t>R$ 881,03</t>
  </si>
  <si>
    <t>R$ 1.130,70</t>
  </si>
  <si>
    <t>R$ 1.502,86</t>
  </si>
  <si>
    <t>R$ 987,55</t>
  </si>
  <si>
    <t>R$ 33,10</t>
  </si>
  <si>
    <t>R$ 263,80</t>
  </si>
  <si>
    <t>R$ 259,75</t>
  </si>
  <si>
    <t>R$ 40,78</t>
  </si>
  <si>
    <t>R$ 80,48</t>
  </si>
  <si>
    <t>R$ 84,42</t>
  </si>
  <si>
    <t>R$ 38,37</t>
  </si>
  <si>
    <t>R$ 44,72</t>
  </si>
  <si>
    <t>R$ 20,41</t>
  </si>
  <si>
    <t>R$ 312,30</t>
  </si>
  <si>
    <t>R$ 169,09</t>
  </si>
  <si>
    <t>R$ 277,30</t>
  </si>
  <si>
    <t>R$ 282,98</t>
  </si>
  <si>
    <t>R$ 1.177,21</t>
  </si>
  <si>
    <t>R$ 382,60</t>
  </si>
  <si>
    <t>R$ 1.295,09</t>
  </si>
  <si>
    <t>R$ 123,51</t>
  </si>
  <si>
    <t>R$ 231,92</t>
  </si>
  <si>
    <t>R$ 35,71</t>
  </si>
  <si>
    <t>R$ 111,28</t>
  </si>
  <si>
    <t>R$ 26,81</t>
  </si>
  <si>
    <t>R$ 93,53</t>
  </si>
  <si>
    <t>R$ 114,96</t>
  </si>
  <si>
    <t>R$ 1.015,07</t>
  </si>
  <si>
    <t>R$ 764,99</t>
  </si>
  <si>
    <t>R$ 421,28</t>
  </si>
  <si>
    <t>R$ 1.433,43</t>
  </si>
  <si>
    <t>R$ 42,98</t>
  </si>
  <si>
    <t>R$ 79,46</t>
  </si>
  <si>
    <t>R$ 200,05</t>
  </si>
  <si>
    <t>R$ 234,22</t>
  </si>
  <si>
    <t>R$ 1.317,40</t>
  </si>
  <si>
    <t>R$ 178,97</t>
  </si>
  <si>
    <t>R$ 43,54</t>
  </si>
  <si>
    <t>R$ 121,77</t>
  </si>
  <si>
    <t>R$ 829,35</t>
  </si>
  <si>
    <t>R$ 150,88</t>
  </si>
  <si>
    <t>R$ 266,35</t>
  </si>
  <si>
    <t>R$ 145,56</t>
  </si>
  <si>
    <t>R$ 413,29</t>
  </si>
  <si>
    <t>R$ 144,48</t>
  </si>
  <si>
    <t>R$ 145,25</t>
  </si>
  <si>
    <t>R$ 11,72</t>
  </si>
  <si>
    <t>R$ 70,60</t>
  </si>
  <si>
    <t>R$ 630,28</t>
  </si>
  <si>
    <t>R$ 650,64</t>
  </si>
  <si>
    <t>R$ 28,19</t>
  </si>
  <si>
    <t>R$ 86,77</t>
  </si>
  <si>
    <t>R$ 355,79</t>
  </si>
  <si>
    <t>R$ 84,62</t>
  </si>
  <si>
    <t>R$ 76,64</t>
  </si>
  <si>
    <t>R$ 657,44</t>
  </si>
  <si>
    <t>R$ 682,72</t>
  </si>
  <si>
    <t>R$ 189,97</t>
  </si>
  <si>
    <t>R$ 190,79</t>
  </si>
  <si>
    <t>R$ 298,48</t>
  </si>
  <si>
    <t>R$ 109,39</t>
  </si>
  <si>
    <t>R$ 461,54</t>
  </si>
  <si>
    <t>R$ 335,48</t>
  </si>
  <si>
    <t>R$ 47,63</t>
  </si>
  <si>
    <t>R$ 82,83</t>
  </si>
  <si>
    <t>R$ 359,47</t>
  </si>
  <si>
    <t>R$ 268,45</t>
  </si>
  <si>
    <t>R$ 23,33</t>
  </si>
  <si>
    <t>R$ 46,76</t>
  </si>
  <si>
    <t>R$ 11,77</t>
  </si>
  <si>
    <t>R$ 372,98</t>
  </si>
  <si>
    <t>R$ 567,09</t>
  </si>
  <si>
    <t>R$ 2.601,53</t>
  </si>
  <si>
    <t>R$ 163,93</t>
  </si>
  <si>
    <t>R$ 179,68</t>
  </si>
  <si>
    <t>R$ 580,55</t>
  </si>
  <si>
    <t>R$ 282,78</t>
  </si>
  <si>
    <t>R$ 867,88</t>
  </si>
  <si>
    <t>R$ 1.874,61</t>
  </si>
  <si>
    <t>R$ 287,33</t>
  </si>
  <si>
    <t>R$ 1.063,12</t>
  </si>
  <si>
    <t>R$ 240,16</t>
  </si>
  <si>
    <t>R$ 0,038161904</t>
  </si>
  <si>
    <t>R$ 0,007969308</t>
  </si>
  <si>
    <t>R$ 3,943640956</t>
  </si>
  <si>
    <t>R$ 13,574858400</t>
  </si>
  <si>
    <t>R$ 0,060298823</t>
  </si>
  <si>
    <t>R$ 2,061602263</t>
  </si>
  <si>
    <t>R$ 0,001253226</t>
  </si>
  <si>
    <t>R$ 0,009469747</t>
  </si>
  <si>
    <t>R$ 4,208905043</t>
  </si>
  <si>
    <t>R$ 0,007086285</t>
  </si>
  <si>
    <t>R$ 0,001414087</t>
  </si>
  <si>
    <t>R$ 0,008260372</t>
  </si>
  <si>
    <t>R$ 0,009501014</t>
  </si>
  <si>
    <t>R$ 0,243982265</t>
  </si>
  <si>
    <t>R$ 0,833044319</t>
  </si>
  <si>
    <t>R$ 0,089657337</t>
  </si>
  <si>
    <t>R$ 5,116296000</t>
  </si>
  <si>
    <t>R$ 0,327152952</t>
  </si>
  <si>
    <t>R$ 0,118022972</t>
  </si>
  <si>
    <t>R$ 1,619080980</t>
  </si>
  <si>
    <t>R$ 0,884407224</t>
  </si>
  <si>
    <t>R$ 0,661629166</t>
  </si>
  <si>
    <t>R$ 0,659206907</t>
  </si>
  <si>
    <t>R$ 0,017793491</t>
  </si>
  <si>
    <t>R$ 0,069864403</t>
  </si>
  <si>
    <t>R$ 0,000359695</t>
  </si>
  <si>
    <t>R$ 6,195297244</t>
  </si>
  <si>
    <t>R$ 1,572599738</t>
  </si>
  <si>
    <t>R$ 0,046647271</t>
  </si>
  <si>
    <t>R$ 7,216305274</t>
  </si>
  <si>
    <t>R$ 0,011973565</t>
  </si>
  <si>
    <t>R$ 0,047461002</t>
  </si>
  <si>
    <t>R$ 17,018775380</t>
  </si>
  <si>
    <t>R$ 0,003348361</t>
  </si>
  <si>
    <t>R$ 0,001353517</t>
  </si>
  <si>
    <t>R$ 1,245447144</t>
  </si>
  <si>
    <t>R$ 0,125716259</t>
  </si>
  <si>
    <t>R$ 0,257465148</t>
  </si>
  <si>
    <t>R$ 0,578799250</t>
  </si>
  <si>
    <t>R$ 0,082363207</t>
  </si>
  <si>
    <t>R$ 0,003106139</t>
  </si>
  <si>
    <t>R$ 0,043732221</t>
  </si>
  <si>
    <t>R$ 3,646602215</t>
  </si>
  <si>
    <t>R$ 0,145143147</t>
  </si>
  <si>
    <t>R$ 0,012418194</t>
  </si>
  <si>
    <t>R$ 0,612491236</t>
  </si>
  <si>
    <t>R$ 13,289348620</t>
  </si>
  <si>
    <t>R$ 0,032817806</t>
  </si>
  <si>
    <t>R$ 5,114334412</t>
  </si>
  <si>
    <t>R$ 0,000761788</t>
  </si>
  <si>
    <t>R$ 1,313892133</t>
  </si>
  <si>
    <t>R$ 0,107088731</t>
  </si>
  <si>
    <t>R$ 1,376217726</t>
  </si>
  <si>
    <t>R$ 1,259489330</t>
  </si>
  <si>
    <t>R$ 0,071109935</t>
  </si>
  <si>
    <t>R$ 1,364213514</t>
  </si>
  <si>
    <t>R$ 3,859112788</t>
  </si>
  <si>
    <t>R$ 0,373154010</t>
  </si>
  <si>
    <t>R$ 0,004582236</t>
  </si>
  <si>
    <t>R$ 0,025824074</t>
  </si>
  <si>
    <t>R$ 0,615615707</t>
  </si>
  <si>
    <t>R$ 5,695537451</t>
  </si>
  <si>
    <t>R$ 0,184997681</t>
  </si>
  <si>
    <t>R$ 0,002204907</t>
  </si>
  <si>
    <t>R$ 0,164557270</t>
  </si>
  <si>
    <t>R$ 1,862165464</t>
  </si>
  <si>
    <t>R$ 0,610041554</t>
  </si>
  <si>
    <t>R$ 0,001451653</t>
  </si>
  <si>
    <t>R$ 0,189206612</t>
  </si>
  <si>
    <t>R$ 1,392909539</t>
  </si>
  <si>
    <t>R$ 7,217814582</t>
  </si>
  <si>
    <t>R$ 0,117342249</t>
  </si>
  <si>
    <t>R$ 0,000483034</t>
  </si>
  <si>
    <t>R$ 0,000222243</t>
  </si>
  <si>
    <t>R$ 0,226520086</t>
  </si>
  <si>
    <t>R$ 0,053776410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</si>
</sst>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%"/>
    <numFmt numFmtId="165" formatCode="d/m/yy\ h:mm;@"/>
    <numFmt numFmtId="166" formatCode="_-&quot;R$&quot;\ * #,##0.0000_-;\-&quot;R$&quot;\ * #,##0.0000_-;_-&quot;R$&quot;\ * &quot;-&quot;??_-;_-@_-"/>
    <numFmt numFmtId="167" formatCode="_-&quot;R$&quot;\ * #,##0.000000_-;\-&quot;R$&quot;\ * #,##0.000000_-;_-&quot;R$&quot;\ * &quot;-&quot;??_-;_-@_-"/>
    <numFmt numFmtId="168" formatCode="_-[$BRL]\ * #,##0.00_-;\-[$BRL]\ * #,##0.00_-;_-[$BRL]\ * &quot;-&quot;??_-;_-@_-"/>
    <numFmt numFmtId="169" formatCode="_-[$R$-416]\ * #,##0.00_-;\-[$R$-416]\ * #,##0.00_-;_-[$R$-416]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8"/>
      <name val="Calibri"/>
      <family val="2"/>
      <scheme val="minor"/>
    </font>
    <font>
      <b/>
      <i/>
      <sz val="36"/>
      <color rgb="FF00B050"/>
      <name val="Calibri"/>
      <family val="2"/>
      <scheme val="minor"/>
    </font>
    <font>
      <b/>
      <i/>
      <sz val="24"/>
      <color rgb="FF00B050"/>
      <name val="Calibri"/>
      <family val="2"/>
      <scheme val="minor"/>
    </font>
    <font>
      <sz val="20"/>
      <color rgb="FF00B05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B050"/>
      <name val="Calibri"/>
      <family val="2"/>
    </font>
    <font>
      <b/>
      <sz val="15"/>
      <color rgb="FF00B050"/>
      <name val="Calibri"/>
      <family val="2"/>
      <scheme val="minor"/>
    </font>
    <font>
      <sz val="17"/>
      <color rgb="FF92D050"/>
      <name val="Calibri"/>
      <family val="2"/>
      <scheme val="minor"/>
    </font>
    <font>
      <sz val="17"/>
      <color rgb="FF00B05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7"/>
      <color rgb="FF00B050"/>
      <name val="Calibri"/>
      <family val="2"/>
      <scheme val="minor"/>
    </font>
    <font>
      <sz val="48"/>
      <color rgb="FF92D050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 style="medium">
        <color rgb="FF00B050"/>
      </right>
      <top/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/>
      <right style="thin">
        <color indexed="64"/>
      </right>
      <top style="medium">
        <color rgb="FF00B050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5" tint="0.39997558519241921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NumberFormat="1"/>
    <xf numFmtId="0" fontId="2" fillId="2" borderId="0" xfId="0" applyFont="1" applyFill="1" applyBorder="1"/>
    <xf numFmtId="14" fontId="2" fillId="2" borderId="0" xfId="0" applyNumberFormat="1" applyFont="1" applyFill="1" applyBorder="1"/>
    <xf numFmtId="21" fontId="3" fillId="2" borderId="0" xfId="0" applyNumberFormat="1" applyFont="1" applyFill="1" applyBorder="1" applyAlignment="1">
      <alignment horizontal="left"/>
    </xf>
    <xf numFmtId="1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/>
    <xf numFmtId="166" fontId="0" fillId="0" borderId="0" xfId="1" applyNumberFormat="1" applyFont="1"/>
    <xf numFmtId="167" fontId="0" fillId="0" borderId="0" xfId="1" applyNumberFormat="1" applyFont="1"/>
    <xf numFmtId="14" fontId="4" fillId="2" borderId="3" xfId="0" applyNumberFormat="1" applyFont="1" applyFill="1" applyBorder="1" applyAlignment="1">
      <alignment horizontal="center" vertical="center"/>
    </xf>
    <xf numFmtId="7" fontId="4" fillId="2" borderId="1" xfId="1" applyNumberFormat="1" applyFont="1" applyFill="1" applyBorder="1" applyAlignment="1">
      <alignment horizontal="center" vertical="center"/>
    </xf>
    <xf numFmtId="14" fontId="4" fillId="2" borderId="11" xfId="0" applyNumberFormat="1" applyFont="1" applyFill="1" applyBorder="1" applyAlignment="1">
      <alignment horizontal="center" vertical="center"/>
    </xf>
    <xf numFmtId="0" fontId="0" fillId="2" borderId="0" xfId="0" applyFill="1"/>
    <xf numFmtId="0" fontId="2" fillId="2" borderId="0" xfId="0" applyFont="1" applyFill="1" applyBorder="1" applyAlignment="1">
      <alignment vertical="center"/>
    </xf>
    <xf numFmtId="165" fontId="3" fillId="2" borderId="0" xfId="0" applyNumberFormat="1" applyFont="1" applyFill="1" applyBorder="1" applyAlignment="1">
      <alignment vertical="center"/>
    </xf>
    <xf numFmtId="14" fontId="0" fillId="2" borderId="0" xfId="0" applyNumberFormat="1" applyFill="1" applyAlignment="1">
      <alignment vertical="center"/>
    </xf>
    <xf numFmtId="7" fontId="2" fillId="2" borderId="0" xfId="0" applyNumberFormat="1" applyFont="1" applyFill="1" applyBorder="1" applyAlignment="1">
      <alignment vertical="center"/>
    </xf>
    <xf numFmtId="7" fontId="3" fillId="2" borderId="0" xfId="0" applyNumberFormat="1" applyFont="1" applyFill="1" applyBorder="1" applyAlignment="1">
      <alignment horizontal="right" vertical="center"/>
    </xf>
    <xf numFmtId="7" fontId="3" fillId="2" borderId="0" xfId="0" applyNumberFormat="1" applyFont="1" applyFill="1" applyBorder="1" applyAlignment="1">
      <alignment horizontal="left" vertical="center"/>
    </xf>
    <xf numFmtId="0" fontId="0" fillId="2" borderId="0" xfId="0" applyNumberFormat="1" applyFill="1"/>
    <xf numFmtId="0" fontId="2" fillId="2" borderId="0" xfId="0" applyNumberFormat="1" applyFont="1" applyFill="1" applyBorder="1"/>
    <xf numFmtId="0" fontId="3" fillId="2" borderId="0" xfId="0" applyNumberFormat="1" applyFont="1" applyFill="1" applyBorder="1" applyAlignment="1">
      <alignment horizontal="right"/>
    </xf>
    <xf numFmtId="0" fontId="3" fillId="2" borderId="0" xfId="0" applyNumberFormat="1" applyFont="1" applyFill="1" applyBorder="1"/>
    <xf numFmtId="0" fontId="3" fillId="2" borderId="0" xfId="0" applyNumberFormat="1" applyFont="1" applyFill="1" applyBorder="1" applyAlignment="1">
      <alignment horizontal="left"/>
    </xf>
    <xf numFmtId="0" fontId="0" fillId="2" borderId="0" xfId="0" applyNumberFormat="1" applyFill="1" applyAlignment="1">
      <alignment vertical="center"/>
    </xf>
    <xf numFmtId="0" fontId="2" fillId="2" borderId="0" xfId="0" applyNumberFormat="1" applyFont="1" applyFill="1" applyBorder="1" applyAlignment="1">
      <alignment vertical="center"/>
    </xf>
    <xf numFmtId="0" fontId="3" fillId="2" borderId="0" xfId="0" applyNumberFormat="1" applyFont="1" applyFill="1" applyBorder="1" applyAlignment="1">
      <alignment horizontal="right" vertical="center"/>
    </xf>
    <xf numFmtId="0" fontId="3" fillId="2" borderId="0" xfId="0" applyNumberFormat="1" applyFont="1" applyFill="1" applyBorder="1" applyAlignment="1">
      <alignment vertical="center"/>
    </xf>
    <xf numFmtId="0" fontId="3" fillId="2" borderId="0" xfId="0" applyNumberFormat="1" applyFont="1" applyFill="1" applyBorder="1" applyAlignment="1">
      <alignment horizontal="left" vertical="center"/>
    </xf>
    <xf numFmtId="0" fontId="8" fillId="2" borderId="12" xfId="2" applyNumberFormat="1" applyFont="1" applyFill="1" applyBorder="1" applyAlignment="1" applyProtection="1">
      <alignment horizontal="center" vertical="center"/>
      <protection hidden="1"/>
    </xf>
    <xf numFmtId="0" fontId="8" fillId="2" borderId="8" xfId="2" applyNumberFormat="1" applyFont="1" applyFill="1" applyBorder="1" applyAlignment="1" applyProtection="1">
      <alignment horizontal="center" vertical="center"/>
      <protection hidden="1"/>
    </xf>
    <xf numFmtId="44" fontId="8" fillId="2" borderId="12" xfId="1" applyFont="1" applyFill="1" applyBorder="1" applyAlignment="1" applyProtection="1">
      <alignment horizontal="center" vertical="center"/>
      <protection hidden="1"/>
    </xf>
    <xf numFmtId="44" fontId="8" fillId="2" borderId="14" xfId="1" applyFont="1" applyFill="1" applyBorder="1" applyAlignment="1" applyProtection="1">
      <alignment horizontal="center" vertical="center"/>
      <protection hidden="1"/>
    </xf>
    <xf numFmtId="44" fontId="8" fillId="2" borderId="4" xfId="1" applyFont="1" applyFill="1" applyBorder="1" applyAlignment="1" applyProtection="1">
      <alignment horizontal="center" vertical="center"/>
      <protection hidden="1"/>
    </xf>
    <xf numFmtId="0" fontId="8" fillId="2" borderId="12" xfId="2" applyNumberFormat="1" applyFont="1" applyFill="1" applyBorder="1" applyAlignment="1" applyProtection="1">
      <alignment horizontal="left" vertical="center"/>
      <protection hidden="1"/>
    </xf>
    <xf numFmtId="0" fontId="8" fillId="2" borderId="14" xfId="2" applyNumberFormat="1" applyFont="1" applyFill="1" applyBorder="1" applyAlignment="1" applyProtection="1">
      <alignment horizontal="left" vertical="center"/>
      <protection hidden="1"/>
    </xf>
    <xf numFmtId="0" fontId="8" fillId="2" borderId="4" xfId="2" applyNumberFormat="1" applyFont="1" applyFill="1" applyBorder="1" applyAlignment="1" applyProtection="1">
      <alignment horizontal="left" vertical="center"/>
      <protection hidden="1"/>
    </xf>
    <xf numFmtId="164" fontId="9" fillId="4" borderId="8" xfId="2" applyNumberFormat="1" applyFont="1" applyFill="1" applyBorder="1" applyAlignment="1" applyProtection="1">
      <alignment horizontal="center" vertical="center"/>
      <protection hidden="1"/>
    </xf>
    <xf numFmtId="164" fontId="9" fillId="5" borderId="8" xfId="2" applyNumberFormat="1" applyFont="1" applyFill="1" applyBorder="1" applyAlignment="1" applyProtection="1">
      <alignment horizontal="center" vertical="center"/>
      <protection hidden="1"/>
    </xf>
    <xf numFmtId="164" fontId="9" fillId="6" borderId="12" xfId="2" applyNumberFormat="1" applyFont="1" applyFill="1" applyBorder="1" applyAlignment="1" applyProtection="1">
      <alignment horizontal="center" vertical="center"/>
      <protection hidden="1"/>
    </xf>
    <xf numFmtId="164" fontId="9" fillId="7" borderId="10" xfId="2" applyNumberFormat="1" applyFont="1" applyFill="1" applyBorder="1" applyAlignment="1" applyProtection="1">
      <alignment horizontal="center" vertical="center"/>
      <protection hidden="1"/>
    </xf>
    <xf numFmtId="164" fontId="10" fillId="3" borderId="5" xfId="2" applyNumberFormat="1" applyFont="1" applyFill="1" applyBorder="1" applyAlignment="1" applyProtection="1">
      <alignment horizontal="center" vertical="center"/>
      <protection hidden="1"/>
    </xf>
    <xf numFmtId="0" fontId="13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4" fontId="15" fillId="2" borderId="0" xfId="0" applyNumberFormat="1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164" fontId="4" fillId="2" borderId="1" xfId="2" applyNumberFormat="1" applyFont="1" applyFill="1" applyBorder="1" applyAlignment="1">
      <alignment horizontal="center" vertical="center"/>
    </xf>
    <xf numFmtId="164" fontId="11" fillId="8" borderId="17" xfId="2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9" fontId="4" fillId="2" borderId="16" xfId="2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7" fontId="4" fillId="2" borderId="16" xfId="1" applyNumberFormat="1" applyFont="1" applyFill="1" applyBorder="1" applyAlignment="1">
      <alignment horizontal="center" vertical="center"/>
    </xf>
    <xf numFmtId="164" fontId="4" fillId="2" borderId="16" xfId="2" applyNumberFormat="1" applyFont="1" applyFill="1" applyBorder="1" applyAlignment="1">
      <alignment horizontal="center" vertical="center"/>
    </xf>
    <xf numFmtId="0" fontId="14" fillId="2" borderId="1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7" fontId="2" fillId="2" borderId="0" xfId="0" applyNumberFormat="1" applyFont="1" applyFill="1" applyBorder="1" applyAlignment="1">
      <alignment horizontal="center" vertical="center"/>
    </xf>
    <xf numFmtId="7" fontId="3" fillId="2" borderId="0" xfId="0" applyNumberFormat="1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center" vertical="center"/>
    </xf>
    <xf numFmtId="0" fontId="0" fillId="0" borderId="0" xfId="1" applyNumberFormat="1" applyFont="1"/>
    <xf numFmtId="49" fontId="4" fillId="2" borderId="19" xfId="0" applyNumberFormat="1" applyFont="1" applyFill="1" applyBorder="1" applyAlignment="1">
      <alignment horizontal="center" vertical="center"/>
    </xf>
    <xf numFmtId="49" fontId="4" fillId="2" borderId="1" xfId="1" applyNumberFormat="1" applyFont="1" applyFill="1" applyBorder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69" fontId="0" fillId="0" borderId="0" xfId="0" applyNumberFormat="1"/>
    <xf numFmtId="49" fontId="2" fillId="2" borderId="0" xfId="0" applyNumberFormat="1" applyFont="1" applyFill="1" applyBorder="1"/>
    <xf numFmtId="14" fontId="4" fillId="2" borderId="2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10" fontId="4" fillId="2" borderId="1" xfId="2" applyNumberFormat="1" applyFont="1" applyFill="1" applyBorder="1" applyAlignment="1">
      <alignment horizontal="center" vertical="center"/>
    </xf>
    <xf numFmtId="44" fontId="4" fillId="2" borderId="1" xfId="1" applyFont="1" applyFill="1" applyBorder="1" applyAlignment="1">
      <alignment horizontal="center" vertical="center"/>
    </xf>
    <xf numFmtId="169" fontId="4" fillId="2" borderId="1" xfId="1" applyNumberFormat="1" applyFont="1" applyFill="1" applyBorder="1" applyAlignment="1">
      <alignment horizontal="center" vertical="center"/>
    </xf>
    <xf numFmtId="0" fontId="4" fillId="2" borderId="18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9" fontId="4" fillId="2" borderId="18" xfId="1" applyNumberFormat="1" applyFont="1" applyFill="1" applyBorder="1" applyAlignment="1">
      <alignment horizontal="center" vertical="center"/>
    </xf>
    <xf numFmtId="0" fontId="17" fillId="2" borderId="0" xfId="0" applyNumberFormat="1" applyFont="1" applyFill="1" applyBorder="1" applyAlignment="1">
      <alignment horizontal="center" vertical="center"/>
    </xf>
    <xf numFmtId="14" fontId="12" fillId="2" borderId="20" xfId="0" applyNumberFormat="1" applyFont="1" applyFill="1" applyBorder="1" applyAlignment="1">
      <alignment horizontal="center" vertical="center"/>
    </xf>
    <xf numFmtId="14" fontId="12" fillId="2" borderId="2" xfId="0" applyNumberFormat="1" applyFont="1" applyFill="1" applyBorder="1" applyAlignment="1">
      <alignment horizontal="center" vertical="center"/>
    </xf>
    <xf numFmtId="10" fontId="12" fillId="2" borderId="18" xfId="1" applyNumberFormat="1" applyFont="1" applyFill="1" applyBorder="1" applyAlignment="1">
      <alignment horizontal="center" vertical="center"/>
    </xf>
    <xf numFmtId="0" fontId="18" fillId="2" borderId="0" xfId="0" applyFont="1" applyFill="1" applyAlignment="1">
      <alignment vertical="center" wrapText="1"/>
    </xf>
    <xf numFmtId="14" fontId="18" fillId="2" borderId="0" xfId="0" applyNumberFormat="1" applyFont="1" applyFill="1" applyAlignment="1">
      <alignment vertical="center" wrapText="1"/>
    </xf>
    <xf numFmtId="0" fontId="18" fillId="2" borderId="0" xfId="0" applyFont="1" applyFill="1" applyAlignment="1">
      <alignment vertical="center" wrapText="1"/>
    </xf>
    <xf numFmtId="0" fontId="2" fillId="2" borderId="21" xfId="0" applyNumberFormat="1" applyFont="1" applyFill="1" applyBorder="1"/>
    <xf numFmtId="0" fontId="2" fillId="2" borderId="5" xfId="0" applyNumberFormat="1" applyFont="1" applyFill="1" applyBorder="1"/>
    <xf numFmtId="0" fontId="2" fillId="2" borderId="22" xfId="0" applyNumberFormat="1" applyFont="1" applyFill="1" applyBorder="1"/>
    <xf numFmtId="0" fontId="2" fillId="2" borderId="23" xfId="0" applyNumberFormat="1" applyFont="1" applyFill="1" applyBorder="1"/>
    <xf numFmtId="0" fontId="2" fillId="2" borderId="24" xfId="0" applyNumberFormat="1" applyFont="1" applyFill="1" applyBorder="1"/>
    <xf numFmtId="0" fontId="2" fillId="2" borderId="10" xfId="0" applyNumberFormat="1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2" fillId="2" borderId="0" xfId="0" applyNumberFormat="1" applyFont="1" applyFill="1"/>
    <xf numFmtId="0" fontId="2" fillId="2" borderId="12" xfId="0" applyFont="1" applyFill="1" applyBorder="1"/>
    <xf numFmtId="0" fontId="2" fillId="2" borderId="14" xfId="0" applyFont="1" applyFill="1" applyBorder="1" applyAlignment="1">
      <alignment horizontal="left"/>
    </xf>
    <xf numFmtId="0" fontId="2" fillId="2" borderId="25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12" xfId="0" applyFont="1" applyFill="1" applyBorder="1" applyAlignment="1">
      <alignment horizontal="left"/>
    </xf>
    <xf numFmtId="0" fontId="2" fillId="2" borderId="6" xfId="0" applyFont="1" applyFill="1" applyBorder="1"/>
    <xf numFmtId="0" fontId="2" fillId="2" borderId="8" xfId="0" applyFont="1" applyFill="1" applyBorder="1"/>
    <xf numFmtId="0" fontId="4" fillId="2" borderId="1" xfId="1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/>
    <xf numFmtId="169" fontId="2" fillId="2" borderId="0" xfId="0" applyNumberFormat="1" applyFont="1" applyFill="1" applyBorder="1"/>
    <xf numFmtId="0" fontId="6" fillId="2" borderId="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18" fillId="2" borderId="0" xfId="0" applyFont="1" applyFill="1" applyAlignment="1">
      <alignment vertical="center" wrapText="1"/>
    </xf>
    <xf numFmtId="0" fontId="18" fillId="2" borderId="18" xfId="0" applyFont="1" applyFill="1" applyBorder="1" applyAlignment="1">
      <alignment vertical="center" wrapText="1"/>
    </xf>
    <xf numFmtId="0" fontId="18" fillId="2" borderId="0" xfId="0" applyFont="1" applyFill="1" applyBorder="1" applyAlignment="1">
      <alignment vertical="center" wrapText="1"/>
    </xf>
    <xf numFmtId="0" fontId="7" fillId="2" borderId="6" xfId="0" applyNumberFormat="1" applyFont="1" applyFill="1" applyBorder="1" applyAlignment="1" applyProtection="1">
      <alignment horizontal="center"/>
      <protection hidden="1"/>
    </xf>
    <xf numFmtId="0" fontId="7" fillId="2" borderId="7" xfId="0" applyNumberFormat="1" applyFont="1" applyFill="1" applyBorder="1" applyAlignment="1" applyProtection="1">
      <alignment horizontal="center"/>
      <protection hidden="1"/>
    </xf>
    <xf numFmtId="0" fontId="7" fillId="2" borderId="8" xfId="0" applyNumberFormat="1" applyFont="1" applyFill="1" applyBorder="1" applyAlignment="1" applyProtection="1">
      <alignment horizontal="center"/>
      <protection hidden="1"/>
    </xf>
    <xf numFmtId="14" fontId="12" fillId="2" borderId="3" xfId="0" applyNumberFormat="1" applyFont="1" applyFill="1" applyBorder="1" applyAlignment="1">
      <alignment horizontal="center" vertical="center"/>
    </xf>
    <xf numFmtId="14" fontId="12" fillId="2" borderId="16" xfId="0" applyNumberFormat="1" applyFont="1" applyFill="1" applyBorder="1" applyAlignment="1">
      <alignment horizontal="center" vertical="center"/>
    </xf>
    <xf numFmtId="44" fontId="12" fillId="2" borderId="16" xfId="1" applyFont="1" applyFill="1" applyBorder="1" applyAlignment="1">
      <alignment horizontal="center" vertical="center"/>
    </xf>
    <xf numFmtId="10" fontId="12" fillId="2" borderId="1" xfId="1" applyNumberFormat="1" applyFont="1" applyFill="1" applyBorder="1" applyAlignment="1">
      <alignment horizontal="center" vertical="center"/>
    </xf>
    <xf numFmtId="44" fontId="12" fillId="2" borderId="26" xfId="1" applyNumberFormat="1" applyFont="1" applyFill="1" applyBorder="1" applyAlignment="1">
      <alignment horizontal="center" vertical="center"/>
    </xf>
  </cellXfs>
  <cellStyles count="4">
    <cellStyle name="Moeda" xfId="1" builtinId="4"/>
    <cellStyle name="Moeda 2" xfId="3" xr:uid="{61C57635-84B1-4363-9B7F-1F770613A5B5}"/>
    <cellStyle name="Normal" xfId="0" builtinId="0"/>
    <cellStyle name="Porcentagem" xfId="2" builtinId="5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167" formatCode="_-&quot;R$&quot;\ * #,##0.000000_-;\-&quot;R$&quot;\ * #,##0.0000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border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color rgb="FF92D050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none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9" formatCode="_-[$R$-416]\ * #,##0.00_-;\-[$R$-416]\ * #,##0.00_-;_-[$R$-416]\ * &quot;-&quot;??_-;_-@_-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4" formatCode="0.0%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9" formatCode="_-[$R$-416]\ * #,##0.00_-;\-[$R$-416]\ * #,##0.00_-;_-[$R$-416]\ * &quot;-&quot;??_-;_-@_-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B05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B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92D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B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00B05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92D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B050"/>
        </left>
        <right style="medium">
          <color rgb="FF00B05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64" formatCode="0.0%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theme="0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1" formatCode="&quot;R$&quot;\ #,##0.00;\-&quot;R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theme="0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numFmt numFmtId="19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B050"/>
        </left>
        <right style="medium">
          <color rgb="FF00B050"/>
        </right>
        <top style="medium">
          <color rgb="FF00B050"/>
        </top>
        <bottom style="medium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7"/>
        <color rgb="FF00B05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4506271417601949"/>
          <c:w val="1"/>
          <c:h val="0.66142639592143737"/>
        </c:manualLayout>
      </c:layout>
      <c:pie3DChart>
        <c:varyColors val="1"/>
        <c:ser>
          <c:idx val="1"/>
          <c:order val="0"/>
          <c:tx>
            <c:v>Porcentagem</c:v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rgbClr val="00206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DE3-4513-8B79-04CF4A590A58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DE3-4513-8B79-04CF4A590A58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DE3-4513-8B79-04CF4A590A58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DE3-4513-8B79-04CF4A590A58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solidFill>
                  <a:srgbClr val="00B05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03B5-427A-9E43-C419F1ABF344}"/>
              </c:ext>
            </c:extLst>
          </c:dPt>
          <c:dLbls>
            <c:dLbl>
              <c:idx val="1"/>
              <c:layout>
                <c:manualLayout>
                  <c:x val="-5.480965058094877E-2"/>
                  <c:y val="-2.798183443603237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E3-4513-8B79-04CF4A590A58}"/>
                </c:ext>
              </c:extLst>
            </c:dLbl>
            <c:dLbl>
              <c:idx val="2"/>
              <c:layout>
                <c:manualLayout>
                  <c:x val="-0.17367182385914229"/>
                  <c:y val="-0.1089164380870383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DE3-4513-8B79-04CF4A590A58}"/>
                </c:ext>
              </c:extLst>
            </c:dLbl>
            <c:dLbl>
              <c:idx val="4"/>
              <c:layout>
                <c:manualLayout>
                  <c:x val="0.11649712381388753"/>
                  <c:y val="8.826630139456151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3B5-427A-9E43-C419F1ABF344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Graficos!$G$11:$G$15</c:f>
              <c:strCache>
                <c:ptCount val="5"/>
                <c:pt idx="0">
                  <c:v>Ações</c:v>
                </c:pt>
                <c:pt idx="1">
                  <c:v>Tesouro Direto</c:v>
                </c:pt>
                <c:pt idx="2">
                  <c:v>Cryptomoedas</c:v>
                </c:pt>
                <c:pt idx="3">
                  <c:v>Fundos Imobiliários</c:v>
                </c:pt>
                <c:pt idx="4">
                  <c:v>Caixa</c:v>
                </c:pt>
              </c:strCache>
            </c:strRef>
          </c:cat>
          <c:val>
            <c:numRef>
              <c:f>Graficos!$I$11:$I$15</c:f>
              <c:numCache>
                <c:formatCode>0.0%</c:formatCode>
                <c:ptCount val="5"/>
                <c:pt idx="0">
                  <c:v>3.66840074574993E-2</c:v>
                </c:pt>
                <c:pt idx="1">
                  <c:v>0.10446792690601858</c:v>
                </c:pt>
                <c:pt idx="2">
                  <c:v>0.2179659631169362</c:v>
                </c:pt>
                <c:pt idx="3">
                  <c:v>0</c:v>
                </c:pt>
                <c:pt idx="4">
                  <c:v>0.64088210251954592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3B5-427A-9E43-C419F1ABF3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Investimento(Modificado) .xlsm]Graficos!Tabela dinâmica1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2884284678031783E-2"/>
          <c:y val="0.19104028566309794"/>
          <c:w val="0.7487189370201216"/>
          <c:h val="0.66534759589544634"/>
        </c:manualLayout>
      </c:layout>
      <c:pie3DChart>
        <c:varyColors val="1"/>
        <c:ser>
          <c:idx val="0"/>
          <c:order val="0"/>
          <c:tx>
            <c:strRef>
              <c:f>Graficos!$C$24</c:f>
              <c:strCache>
                <c:ptCount val="1"/>
                <c:pt idx="0">
                  <c:v>Soma de  Atual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AD4-4368-91C2-D0609FB650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AD4-4368-91C2-D0609FB650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D4-4368-91C2-D0609FB650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AD4-4368-91C2-D0609FB650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C9B-4F59-AA8A-23A99CED5D8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Graficos!$B$25:$B$28</c:f>
              <c:strCache>
                <c:ptCount val="3"/>
                <c:pt idx="0">
                  <c:v>VIVA3</c:v>
                </c:pt>
                <c:pt idx="1">
                  <c:v>VVAR3</c:v>
                </c:pt>
                <c:pt idx="2">
                  <c:v>SBFG3</c:v>
                </c:pt>
              </c:strCache>
            </c:strRef>
          </c:cat>
          <c:val>
            <c:numRef>
              <c:f>Graficos!$C$25:$C$28</c:f>
              <c:numCache>
                <c:formatCode>General</c:formatCode>
                <c:ptCount val="3"/>
                <c:pt idx="0">
                  <c:v>278.64</c:v>
                </c:pt>
                <c:pt idx="1">
                  <c:v>291.39999999999998</c:v>
                </c:pt>
                <c:pt idx="2">
                  <c:v>493.87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CF-41FD-AEA8-7861D1C0D850}"/>
            </c:ext>
          </c:extLst>
        </c:ser>
        <c:ser>
          <c:idx val="1"/>
          <c:order val="1"/>
          <c:tx>
            <c:strRef>
              <c:f>Graficos!$D$24</c:f>
              <c:strCache>
                <c:ptCount val="1"/>
                <c:pt idx="0">
                  <c:v>Soma de Rendimento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AD4-4368-91C2-D0609FB650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AD4-4368-91C2-D0609FB650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AD4-4368-91C2-D0609FB650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AD4-4368-91C2-D0609FB650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C9B-4F59-AA8A-23A99CED5D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Graficos!$B$25:$B$28</c:f>
              <c:strCache>
                <c:ptCount val="3"/>
                <c:pt idx="0">
                  <c:v>VIVA3</c:v>
                </c:pt>
                <c:pt idx="1">
                  <c:v>VVAR3</c:v>
                </c:pt>
                <c:pt idx="2">
                  <c:v>SBFG3</c:v>
                </c:pt>
              </c:strCache>
            </c:strRef>
          </c:cat>
          <c:val>
            <c:numRef>
              <c:f>Graficos!$D$25:$D$28</c:f>
              <c:numCache>
                <c:formatCode>General</c:formatCode>
                <c:ptCount val="3"/>
                <c:pt idx="0">
                  <c:v>0.32307692307692309</c:v>
                </c:pt>
                <c:pt idx="1">
                  <c:v>0.16653322658126501</c:v>
                </c:pt>
                <c:pt idx="2">
                  <c:v>0.24967105263157896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F-41FD-AEA8-7861D1C0D85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Investimento(Modificado) .xlsm]Graficos!Tabela dinâmica4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194975548361349"/>
          <c:y val="1.7970915691355716E-2"/>
          <c:w val="0.50113540926289313"/>
          <c:h val="0.89863541155016569"/>
        </c:manualLayout>
      </c:layout>
      <c:pieChart>
        <c:varyColors val="1"/>
        <c:ser>
          <c:idx val="0"/>
          <c:order val="0"/>
          <c:tx>
            <c:strRef>
              <c:f>Graficos!$C$49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59-4251-811B-826CFF7067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59-4251-811B-826CFF7067AC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Graficos!$B$50:$B$52</c:f>
              <c:strCache>
                <c:ptCount val="2"/>
                <c:pt idx="0">
                  <c:v>PAXG</c:v>
                </c:pt>
                <c:pt idx="1">
                  <c:v>USDT</c:v>
                </c:pt>
              </c:strCache>
            </c:strRef>
          </c:cat>
          <c:val>
            <c:numRef>
              <c:f>Graficos!$C$50:$C$52</c:f>
              <c:numCache>
                <c:formatCode>General</c:formatCode>
                <c:ptCount val="2"/>
                <c:pt idx="0">
                  <c:v>1635.8291944104001</c:v>
                </c:pt>
                <c:pt idx="1">
                  <c:v>4413.098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F-4A0B-9670-D20C63BC59F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179925263123491"/>
          <c:y val="0.10696768629709295"/>
          <c:w val="0.2393401402791257"/>
          <c:h val="0.858319853999762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ixa!A1"/><Relationship Id="rId7" Type="http://schemas.openxmlformats.org/officeDocument/2006/relationships/hyperlink" Target="#Acao!A1"/><Relationship Id="rId2" Type="http://schemas.openxmlformats.org/officeDocument/2006/relationships/hyperlink" Target="#Graficos!A1"/><Relationship Id="rId1" Type="http://schemas.openxmlformats.org/officeDocument/2006/relationships/hyperlink" Target="#Inicio!A1"/><Relationship Id="rId6" Type="http://schemas.openxmlformats.org/officeDocument/2006/relationships/hyperlink" Target="#'Fundos Imobiliarios'!A1"/><Relationship Id="rId5" Type="http://schemas.openxmlformats.org/officeDocument/2006/relationships/hyperlink" Target="#Cryptomoedas!A1"/><Relationship Id="rId4" Type="http://schemas.openxmlformats.org/officeDocument/2006/relationships/hyperlink" Target="#'Tesouro Direto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hyperlink" Target="#Caixa!A1"/><Relationship Id="rId7" Type="http://schemas.openxmlformats.org/officeDocument/2006/relationships/image" Target="../media/image1.png"/><Relationship Id="rId2" Type="http://schemas.openxmlformats.org/officeDocument/2006/relationships/hyperlink" Target="#Graficos!A1"/><Relationship Id="rId1" Type="http://schemas.openxmlformats.org/officeDocument/2006/relationships/hyperlink" Target="#Inicio!A1"/><Relationship Id="rId6" Type="http://schemas.openxmlformats.org/officeDocument/2006/relationships/hyperlink" Target="#Fundos!A1"/><Relationship Id="rId5" Type="http://schemas.openxmlformats.org/officeDocument/2006/relationships/hyperlink" Target="#Cryptomoedas!A1"/><Relationship Id="rId4" Type="http://schemas.openxmlformats.org/officeDocument/2006/relationships/hyperlink" Target="#'Tesouro Direto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hyperlink" Target="#Caixa!A1"/><Relationship Id="rId7" Type="http://schemas.openxmlformats.org/officeDocument/2006/relationships/image" Target="../media/image1.png"/><Relationship Id="rId2" Type="http://schemas.openxmlformats.org/officeDocument/2006/relationships/hyperlink" Target="#Graficos!A1"/><Relationship Id="rId1" Type="http://schemas.openxmlformats.org/officeDocument/2006/relationships/hyperlink" Target="#Inicio!A1"/><Relationship Id="rId6" Type="http://schemas.openxmlformats.org/officeDocument/2006/relationships/hyperlink" Target="#Acao!A1"/><Relationship Id="rId5" Type="http://schemas.openxmlformats.org/officeDocument/2006/relationships/hyperlink" Target="#Cryptomoedas!A1"/><Relationship Id="rId4" Type="http://schemas.openxmlformats.org/officeDocument/2006/relationships/hyperlink" Target="#'Tesouro Direto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hyperlink" Target="#Caixa!A1"/><Relationship Id="rId7" Type="http://schemas.openxmlformats.org/officeDocument/2006/relationships/image" Target="../media/image1.png"/><Relationship Id="rId2" Type="http://schemas.openxmlformats.org/officeDocument/2006/relationships/hyperlink" Target="#Gr&#225;ficos!A1"/><Relationship Id="rId1" Type="http://schemas.openxmlformats.org/officeDocument/2006/relationships/hyperlink" Target="#Inicio!A1"/><Relationship Id="rId6" Type="http://schemas.openxmlformats.org/officeDocument/2006/relationships/hyperlink" Target="#Acao!A1"/><Relationship Id="rId5" Type="http://schemas.openxmlformats.org/officeDocument/2006/relationships/hyperlink" Target="#Fundos!A1"/><Relationship Id="rId4" Type="http://schemas.openxmlformats.org/officeDocument/2006/relationships/hyperlink" Target="#Cryptomoeda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hyperlink" Target="#Caixa!A1"/><Relationship Id="rId7" Type="http://schemas.openxmlformats.org/officeDocument/2006/relationships/image" Target="../media/image1.png"/><Relationship Id="rId2" Type="http://schemas.openxmlformats.org/officeDocument/2006/relationships/hyperlink" Target="#Graficos!A1"/><Relationship Id="rId1" Type="http://schemas.openxmlformats.org/officeDocument/2006/relationships/hyperlink" Target="#Inicio!A1"/><Relationship Id="rId6" Type="http://schemas.openxmlformats.org/officeDocument/2006/relationships/hyperlink" Target="#Acao!A1"/><Relationship Id="rId5" Type="http://schemas.openxmlformats.org/officeDocument/2006/relationships/hyperlink" Target="#Fundos!A1"/><Relationship Id="rId4" Type="http://schemas.openxmlformats.org/officeDocument/2006/relationships/hyperlink" Target="#'Tesouro Dire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hyperlink" Target="#'Tesouro Direto'!A1"/><Relationship Id="rId7" Type="http://schemas.openxmlformats.org/officeDocument/2006/relationships/image" Target="../media/image1.png"/><Relationship Id="rId2" Type="http://schemas.openxmlformats.org/officeDocument/2006/relationships/hyperlink" Target="#Graficos!A1"/><Relationship Id="rId1" Type="http://schemas.openxmlformats.org/officeDocument/2006/relationships/hyperlink" Target="#Inicio!A1"/><Relationship Id="rId6" Type="http://schemas.openxmlformats.org/officeDocument/2006/relationships/hyperlink" Target="#Acao!A1"/><Relationship Id="rId5" Type="http://schemas.openxmlformats.org/officeDocument/2006/relationships/hyperlink" Target="#Fundos!A1"/><Relationship Id="rId4" Type="http://schemas.openxmlformats.org/officeDocument/2006/relationships/hyperlink" Target="#Cryptomoed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Caixa!A1"/><Relationship Id="rId7" Type="http://schemas.openxmlformats.org/officeDocument/2006/relationships/image" Target="../media/image3.png"/><Relationship Id="rId2" Type="http://schemas.openxmlformats.org/officeDocument/2006/relationships/hyperlink" Target="#Acao!A1"/><Relationship Id="rId1" Type="http://schemas.openxmlformats.org/officeDocument/2006/relationships/hyperlink" Target="#Inicio!A1"/><Relationship Id="rId6" Type="http://schemas.openxmlformats.org/officeDocument/2006/relationships/chart" Target="../charts/chart1.xml"/><Relationship Id="rId5" Type="http://schemas.openxmlformats.org/officeDocument/2006/relationships/hyperlink" Target="#Cryptomoedas!A1"/><Relationship Id="rId10" Type="http://schemas.openxmlformats.org/officeDocument/2006/relationships/chart" Target="../charts/chart3.xml"/><Relationship Id="rId4" Type="http://schemas.openxmlformats.org/officeDocument/2006/relationships/hyperlink" Target="#'Tesouro Direto'!A1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197068</xdr:colOff>
      <xdr:row>0</xdr:row>
      <xdr:rowOff>109482</xdr:rowOff>
    </xdr:from>
    <xdr:to>
      <xdr:col>2</xdr:col>
      <xdr:colOff>1127672</xdr:colOff>
      <xdr:row>4</xdr:row>
      <xdr:rowOff>164224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26E79A-3C89-46C1-B266-5C5582167D0A}"/>
            </a:ext>
          </a:extLst>
        </xdr:cNvPr>
        <xdr:cNvSpPr/>
      </xdr:nvSpPr>
      <xdr:spPr>
        <a:xfrm>
          <a:off x="197068" y="109482"/>
          <a:ext cx="2496207" cy="90870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2</xdr:col>
      <xdr:colOff>1226206</xdr:colOff>
      <xdr:row>0</xdr:row>
      <xdr:rowOff>109483</xdr:rowOff>
    </xdr:from>
    <xdr:to>
      <xdr:col>6</xdr:col>
      <xdr:colOff>700689</xdr:colOff>
      <xdr:row>5</xdr:row>
      <xdr:rowOff>46284</xdr:rowOff>
    </xdr:to>
    <xdr:sp macro="" textlink="">
      <xdr:nvSpPr>
        <xdr:cNvPr id="3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9B009C-DD3D-4E36-819F-8CE21A4C0844}"/>
            </a:ext>
          </a:extLst>
        </xdr:cNvPr>
        <xdr:cNvSpPr/>
      </xdr:nvSpPr>
      <xdr:spPr>
        <a:xfrm>
          <a:off x="2788306" y="109483"/>
          <a:ext cx="5418083" cy="103217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821120</xdr:colOff>
      <xdr:row>0</xdr:row>
      <xdr:rowOff>153276</xdr:rowOff>
    </xdr:from>
    <xdr:to>
      <xdr:col>10</xdr:col>
      <xdr:colOff>175176</xdr:colOff>
      <xdr:row>4</xdr:row>
      <xdr:rowOff>210110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CD40F753-A20C-443B-B7F4-6FFF7EECEB37}"/>
            </a:ext>
          </a:extLst>
        </xdr:cNvPr>
        <xdr:cNvGrpSpPr/>
      </xdr:nvGrpSpPr>
      <xdr:grpSpPr>
        <a:xfrm>
          <a:off x="8331637" y="153276"/>
          <a:ext cx="6131039" cy="910800"/>
          <a:chOff x="8331637" y="153276"/>
          <a:chExt cx="6131039" cy="929727"/>
        </a:xfrm>
      </xdr:grpSpPr>
      <xdr:sp macro="" textlink="">
        <xdr:nvSpPr>
          <xdr:cNvPr id="4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184103C-71ED-4B2F-BF53-72B5356037CD}"/>
              </a:ext>
            </a:extLst>
          </xdr:cNvPr>
          <xdr:cNvSpPr/>
        </xdr:nvSpPr>
        <xdr:spPr>
          <a:xfrm>
            <a:off x="9448363" y="602155"/>
            <a:ext cx="2780862" cy="48084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Dinheiro em Caixa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5" name="Rectangle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862D65-3ED0-4A00-8E42-21BD1E8C45E8}"/>
              </a:ext>
            </a:extLst>
          </xdr:cNvPr>
          <xdr:cNvSpPr/>
        </xdr:nvSpPr>
        <xdr:spPr>
          <a:xfrm>
            <a:off x="12370674" y="207143"/>
            <a:ext cx="1774499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Tesouro Direto</a:t>
            </a:r>
          </a:p>
        </xdr:txBody>
      </xdr:sp>
      <xdr:sp macro="" textlink="">
        <xdr:nvSpPr>
          <xdr:cNvPr id="6" name="Rectangl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E6D5124-1ADF-4574-97E4-E7830E9D7669}"/>
              </a:ext>
            </a:extLst>
          </xdr:cNvPr>
          <xdr:cNvSpPr/>
        </xdr:nvSpPr>
        <xdr:spPr>
          <a:xfrm>
            <a:off x="12032156" y="667845"/>
            <a:ext cx="2430520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Cryptomoedas</a:t>
            </a:r>
          </a:p>
        </xdr:txBody>
      </xdr:sp>
      <xdr:sp macro="" textlink="">
        <xdr:nvSpPr>
          <xdr:cNvPr id="10" name="Rectangle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860294A-C3F4-4189-A994-C9ACE435D241}"/>
              </a:ext>
            </a:extLst>
          </xdr:cNvPr>
          <xdr:cNvSpPr/>
        </xdr:nvSpPr>
        <xdr:spPr>
          <a:xfrm>
            <a:off x="9513175" y="207140"/>
            <a:ext cx="2825530" cy="340273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Fundos Imobiliários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7AE8803-A196-449F-AEBA-291FFEB0CC26}"/>
              </a:ext>
            </a:extLst>
          </xdr:cNvPr>
          <xdr:cNvSpPr/>
        </xdr:nvSpPr>
        <xdr:spPr>
          <a:xfrm>
            <a:off x="8331637" y="153276"/>
            <a:ext cx="1127673" cy="437931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Ações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0</xdr:col>
      <xdr:colOff>153274</xdr:colOff>
      <xdr:row>5</xdr:row>
      <xdr:rowOff>196097</xdr:rowOff>
    </xdr:from>
    <xdr:to>
      <xdr:col>5</xdr:col>
      <xdr:colOff>21895</xdr:colOff>
      <xdr:row>10</xdr:row>
      <xdr:rowOff>153275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F86C081-EFA9-47C1-B5A3-F84D05439AED}"/>
            </a:ext>
          </a:extLst>
        </xdr:cNvPr>
        <xdr:cNvGrpSpPr/>
      </xdr:nvGrpSpPr>
      <xdr:grpSpPr>
        <a:xfrm>
          <a:off x="153274" y="1290925"/>
          <a:ext cx="5506983" cy="1172436"/>
          <a:chOff x="33282520" y="1051529"/>
          <a:chExt cx="5397970" cy="5415692"/>
        </a:xfrm>
      </xdr:grpSpPr>
      <xdr:sp macro="" textlink="">
        <xdr:nvSpPr>
          <xdr:cNvPr id="13" name="Seta: Divisa 12">
            <a:extLst>
              <a:ext uri="{FF2B5EF4-FFF2-40B4-BE49-F238E27FC236}">
                <a16:creationId xmlns:a16="http://schemas.microsoft.com/office/drawing/2014/main" id="{BDFCB425-F6D2-48E7-BF30-D51E7D273CDE}"/>
              </a:ext>
            </a:extLst>
          </xdr:cNvPr>
          <xdr:cNvSpPr/>
        </xdr:nvSpPr>
        <xdr:spPr>
          <a:xfrm>
            <a:off x="33282520" y="1250473"/>
            <a:ext cx="5397970" cy="5216748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_PLanilha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C2436A32-A4D5-410C-904F-E169DCFDD504}"/>
              </a:ext>
            </a:extLst>
          </xdr:cNvPr>
          <xdr:cNvSpPr/>
        </xdr:nvSpPr>
        <xdr:spPr>
          <a:xfrm>
            <a:off x="33968544" y="1051529"/>
            <a:ext cx="3950005" cy="4143867"/>
          </a:xfrm>
          <a:prstGeom prst="rect">
            <a:avLst/>
          </a:prstGeom>
          <a:noFill/>
        </xdr:spPr>
        <xdr:txBody>
          <a:bodyPr wrap="square" lIns="91440" tIns="45720" rIns="91440" bIns="45720" anchor="t">
            <a:noAutofit/>
          </a:bodyPr>
          <a:lstStyle/>
          <a:p>
            <a:pPr algn="ctr"/>
            <a:r>
              <a:rPr lang="pt-BR" sz="3200" b="1" i="1" u="sng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Atualizar</a:t>
            </a:r>
            <a:r>
              <a:rPr lang="pt-BR" sz="3200" b="1" i="1" u="sng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</a:p>
          <a:p>
            <a:pPr algn="ctr"/>
            <a:r>
              <a:rPr lang="pt-BR" sz="3200" b="1" i="1" u="sng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Meu Portifolio</a:t>
            </a:r>
            <a:endParaRPr lang="pt-BR" sz="3200" b="1" i="1" u="sng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197068</xdr:colOff>
      <xdr:row>0</xdr:row>
      <xdr:rowOff>109482</xdr:rowOff>
    </xdr:from>
    <xdr:to>
      <xdr:col>3</xdr:col>
      <xdr:colOff>153275</xdr:colOff>
      <xdr:row>4</xdr:row>
      <xdr:rowOff>98534</xdr:rowOff>
    </xdr:to>
    <xdr:sp macro="[0]!ZOOM" textlink="">
      <xdr:nvSpPr>
        <xdr:cNvPr id="6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5410FB-F0C9-4048-B6C7-C197F162B315}"/>
            </a:ext>
          </a:extLst>
        </xdr:cNvPr>
        <xdr:cNvSpPr/>
      </xdr:nvSpPr>
      <xdr:spPr>
        <a:xfrm>
          <a:off x="197068" y="109482"/>
          <a:ext cx="2496207" cy="843018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3</xdr:col>
      <xdr:colOff>251809</xdr:colOff>
      <xdr:row>0</xdr:row>
      <xdr:rowOff>109483</xdr:rowOff>
    </xdr:from>
    <xdr:to>
      <xdr:col>7</xdr:col>
      <xdr:colOff>1379482</xdr:colOff>
      <xdr:row>5</xdr:row>
      <xdr:rowOff>46284</xdr:rowOff>
    </xdr:to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ACE477-F60A-4E6E-BADD-B4F30AD53A82}"/>
            </a:ext>
          </a:extLst>
        </xdr:cNvPr>
        <xdr:cNvSpPr/>
      </xdr:nvSpPr>
      <xdr:spPr>
        <a:xfrm>
          <a:off x="2791809" y="109483"/>
          <a:ext cx="5419397" cy="1031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580259</xdr:colOff>
      <xdr:row>6</xdr:row>
      <xdr:rowOff>98533</xdr:rowOff>
    </xdr:from>
    <xdr:to>
      <xdr:col>11</xdr:col>
      <xdr:colOff>1607643</xdr:colOff>
      <xdr:row>8</xdr:row>
      <xdr:rowOff>175992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51CEFB75-FA4B-42C9-8F31-A7B3CF10CC21}"/>
            </a:ext>
          </a:extLst>
        </xdr:cNvPr>
        <xdr:cNvGrpSpPr/>
      </xdr:nvGrpSpPr>
      <xdr:grpSpPr>
        <a:xfrm>
          <a:off x="12251121" y="1434223"/>
          <a:ext cx="2048858" cy="515390"/>
          <a:chOff x="29394218" y="162622"/>
          <a:chExt cx="7843268" cy="2258669"/>
        </a:xfrm>
      </xdr:grpSpPr>
      <xdr:sp macro="" textlink="">
        <xdr:nvSpPr>
          <xdr:cNvPr id="26" name="Seta: Divisa 25">
            <a:extLst>
              <a:ext uri="{FF2B5EF4-FFF2-40B4-BE49-F238E27FC236}">
                <a16:creationId xmlns:a16="http://schemas.microsoft.com/office/drawing/2014/main" id="{55A14451-158D-4786-901E-39EEBFAEC949}"/>
              </a:ext>
            </a:extLst>
          </xdr:cNvPr>
          <xdr:cNvSpPr/>
        </xdr:nvSpPr>
        <xdr:spPr>
          <a:xfrm>
            <a:off x="29394218" y="342119"/>
            <a:ext cx="7843268" cy="2079172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2000"/>
          </a:p>
        </xdr:txBody>
      </xdr:sp>
      <xdr:sp macro="[0]!Tipo_Investimento_show" textlink="">
        <xdr:nvSpPr>
          <xdr:cNvPr id="27" name="Rectangle 15">
            <a:extLst>
              <a:ext uri="{FF2B5EF4-FFF2-40B4-BE49-F238E27FC236}">
                <a16:creationId xmlns:a16="http://schemas.microsoft.com/office/drawing/2014/main" id="{A1730B46-FC86-45FB-9B28-EADBEE256589}"/>
              </a:ext>
            </a:extLst>
          </xdr:cNvPr>
          <xdr:cNvSpPr/>
        </xdr:nvSpPr>
        <xdr:spPr>
          <a:xfrm>
            <a:off x="29932272" y="162622"/>
            <a:ext cx="6891616" cy="2199510"/>
          </a:xfrm>
          <a:prstGeom prst="rect">
            <a:avLst/>
          </a:prstGeom>
          <a:noFill/>
          <a:ln>
            <a:noFill/>
          </a:ln>
          <a:effectLst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0" i="1" cap="none" spc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Adicionar</a:t>
            </a:r>
            <a:r>
              <a:rPr lang="en-US" sz="2000" b="0" i="1" cap="none" spc="0" baseline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 Ativo</a:t>
            </a:r>
            <a:endParaRPr lang="en-US" sz="2000" b="0" i="1" cap="none" spc="0">
              <a:ln w="9525">
                <a:solidFill>
                  <a:schemeClr val="tx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7</xdr:col>
      <xdr:colOff>1773621</xdr:colOff>
      <xdr:row>1</xdr:row>
      <xdr:rowOff>1</xdr:rowOff>
    </xdr:from>
    <xdr:to>
      <xdr:col>12</xdr:col>
      <xdr:colOff>131384</xdr:colOff>
      <xdr:row>5</xdr:row>
      <xdr:rowOff>21021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1E9C9F7-02FF-41D0-B8D7-FEC42D628D1A}"/>
            </a:ext>
          </a:extLst>
        </xdr:cNvPr>
        <xdr:cNvGrpSpPr/>
      </xdr:nvGrpSpPr>
      <xdr:grpSpPr>
        <a:xfrm>
          <a:off x="8605345" y="186122"/>
          <a:ext cx="5824487" cy="929727"/>
          <a:chOff x="8331637" y="153276"/>
          <a:chExt cx="6131039" cy="929727"/>
        </a:xfrm>
      </xdr:grpSpPr>
      <xdr:sp macro="" textlink="">
        <xdr:nvSpPr>
          <xdr:cNvPr id="12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1950DD1-F76E-4218-A553-6761B73FF3BA}"/>
              </a:ext>
            </a:extLst>
          </xdr:cNvPr>
          <xdr:cNvSpPr/>
        </xdr:nvSpPr>
        <xdr:spPr>
          <a:xfrm>
            <a:off x="9448363" y="602155"/>
            <a:ext cx="2780862" cy="48084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Dinheiro em Caixa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13" name="Rectangle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96BAE67-9F4F-469C-92A6-B9BAFE689C93}"/>
              </a:ext>
            </a:extLst>
          </xdr:cNvPr>
          <xdr:cNvSpPr/>
        </xdr:nvSpPr>
        <xdr:spPr>
          <a:xfrm>
            <a:off x="12370673" y="207143"/>
            <a:ext cx="1873033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Tesouro Direto</a:t>
            </a:r>
          </a:p>
        </xdr:txBody>
      </xdr:sp>
      <xdr:sp macro="" textlink="">
        <xdr:nvSpPr>
          <xdr:cNvPr id="14" name="Rectangl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AC8D9B9-D91A-41EE-B56C-B1DC1262DE2A}"/>
              </a:ext>
            </a:extLst>
          </xdr:cNvPr>
          <xdr:cNvSpPr/>
        </xdr:nvSpPr>
        <xdr:spPr>
          <a:xfrm>
            <a:off x="12032156" y="667845"/>
            <a:ext cx="2430520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Cryptomoedas</a:t>
            </a:r>
          </a:p>
        </xdr:txBody>
      </xdr:sp>
      <xdr:sp macro="" textlink="">
        <xdr:nvSpPr>
          <xdr:cNvPr id="15" name="Rectangle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473D676-015A-4582-A790-AA6A4BB9D13D}"/>
              </a:ext>
            </a:extLst>
          </xdr:cNvPr>
          <xdr:cNvSpPr/>
        </xdr:nvSpPr>
        <xdr:spPr>
          <a:xfrm>
            <a:off x="9513175" y="207140"/>
            <a:ext cx="2825530" cy="340273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Fundos Imobiliários</a:t>
            </a:r>
          </a:p>
        </xdr:txBody>
      </xdr:sp>
      <xdr:sp macro="" textlink="">
        <xdr:nvSpPr>
          <xdr:cNvPr id="16" name="Rectangle 10">
            <a:extLst>
              <a:ext uri="{FF2B5EF4-FFF2-40B4-BE49-F238E27FC236}">
                <a16:creationId xmlns:a16="http://schemas.microsoft.com/office/drawing/2014/main" id="{9D929FA2-7600-43A2-BA98-50402EA9B0F3}"/>
              </a:ext>
            </a:extLst>
          </xdr:cNvPr>
          <xdr:cNvSpPr/>
        </xdr:nvSpPr>
        <xdr:spPr>
          <a:xfrm>
            <a:off x="8331637" y="153276"/>
            <a:ext cx="1127673" cy="437931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Ações</a:t>
            </a:r>
            <a:endParaRPr lang="en-US" sz="2000" b="1" i="0" u="sng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131378</xdr:colOff>
      <xdr:row>6</xdr:row>
      <xdr:rowOff>197068</xdr:rowOff>
    </xdr:from>
    <xdr:to>
      <xdr:col>1</xdr:col>
      <xdr:colOff>575002</xdr:colOff>
      <xdr:row>8</xdr:row>
      <xdr:rowOff>202761</xdr:rowOff>
    </xdr:to>
    <xdr:pic macro="[0]!Atualizar_PLanilha">
      <xdr:nvPicPr>
        <xdr:cNvPr id="3" name="Gráfico 2" descr="Repetir com preenchimento sólido">
          <a:extLst>
            <a:ext uri="{FF2B5EF4-FFF2-40B4-BE49-F238E27FC236}">
              <a16:creationId xmlns:a16="http://schemas.microsoft.com/office/drawing/2014/main" id="{864BF17F-2002-41E6-89C4-38D50801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4137" y="1532758"/>
          <a:ext cx="443624" cy="4436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197068</xdr:colOff>
      <xdr:row>0</xdr:row>
      <xdr:rowOff>109482</xdr:rowOff>
    </xdr:from>
    <xdr:to>
      <xdr:col>3</xdr:col>
      <xdr:colOff>153275</xdr:colOff>
      <xdr:row>4</xdr:row>
      <xdr:rowOff>98534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298AC0-0AD4-4CFB-A054-4D9EFAF9CE65}"/>
            </a:ext>
          </a:extLst>
        </xdr:cNvPr>
        <xdr:cNvSpPr/>
      </xdr:nvSpPr>
      <xdr:spPr>
        <a:xfrm>
          <a:off x="197068" y="109482"/>
          <a:ext cx="2499382" cy="846302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3</xdr:col>
      <xdr:colOff>251809</xdr:colOff>
      <xdr:row>0</xdr:row>
      <xdr:rowOff>109483</xdr:rowOff>
    </xdr:from>
    <xdr:to>
      <xdr:col>7</xdr:col>
      <xdr:colOff>1379482</xdr:colOff>
      <xdr:row>5</xdr:row>
      <xdr:rowOff>46284</xdr:rowOff>
    </xdr:to>
    <xdr:sp macro="" textlink="">
      <xdr:nvSpPr>
        <xdr:cNvPr id="3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27500E-2C34-4BE1-A6E1-E0F19CCDB0F0}"/>
            </a:ext>
          </a:extLst>
        </xdr:cNvPr>
        <xdr:cNvSpPr/>
      </xdr:nvSpPr>
      <xdr:spPr>
        <a:xfrm>
          <a:off x="2794984" y="109483"/>
          <a:ext cx="5413923" cy="103217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580259</xdr:colOff>
      <xdr:row>6</xdr:row>
      <xdr:rowOff>98533</xdr:rowOff>
    </xdr:from>
    <xdr:to>
      <xdr:col>11</xdr:col>
      <xdr:colOff>1512393</xdr:colOff>
      <xdr:row>8</xdr:row>
      <xdr:rowOff>175992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F17A52B7-B8E2-45A7-AE78-EF337A9E7782}"/>
            </a:ext>
          </a:extLst>
        </xdr:cNvPr>
        <xdr:cNvGrpSpPr/>
      </xdr:nvGrpSpPr>
      <xdr:grpSpPr>
        <a:xfrm>
          <a:off x="12251121" y="1434223"/>
          <a:ext cx="2048858" cy="515390"/>
          <a:chOff x="29394218" y="162622"/>
          <a:chExt cx="7843268" cy="2258669"/>
        </a:xfrm>
      </xdr:grpSpPr>
      <xdr:sp macro="" textlink="">
        <xdr:nvSpPr>
          <xdr:cNvPr id="5" name="Seta: Divisa 4">
            <a:extLst>
              <a:ext uri="{FF2B5EF4-FFF2-40B4-BE49-F238E27FC236}">
                <a16:creationId xmlns:a16="http://schemas.microsoft.com/office/drawing/2014/main" id="{DCE5FB5D-BBF5-410D-B479-5F79F54E6356}"/>
              </a:ext>
            </a:extLst>
          </xdr:cNvPr>
          <xdr:cNvSpPr/>
        </xdr:nvSpPr>
        <xdr:spPr>
          <a:xfrm>
            <a:off x="29394218" y="342119"/>
            <a:ext cx="7843268" cy="2079172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2000"/>
          </a:p>
        </xdr:txBody>
      </xdr:sp>
      <xdr:sp macro="[0]!Tipo_Investimento_show" textlink="">
        <xdr:nvSpPr>
          <xdr:cNvPr id="6" name="Rectangle 15">
            <a:extLst>
              <a:ext uri="{FF2B5EF4-FFF2-40B4-BE49-F238E27FC236}">
                <a16:creationId xmlns:a16="http://schemas.microsoft.com/office/drawing/2014/main" id="{5B472B87-667A-4CC6-AF29-A61E932AEA5A}"/>
              </a:ext>
            </a:extLst>
          </xdr:cNvPr>
          <xdr:cNvSpPr/>
        </xdr:nvSpPr>
        <xdr:spPr>
          <a:xfrm>
            <a:off x="29932272" y="162622"/>
            <a:ext cx="6891616" cy="2199510"/>
          </a:xfrm>
          <a:prstGeom prst="rect">
            <a:avLst/>
          </a:prstGeom>
          <a:noFill/>
          <a:ln>
            <a:noFill/>
          </a:ln>
          <a:effectLst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0" i="1" cap="none" spc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Adicionar</a:t>
            </a:r>
            <a:r>
              <a:rPr lang="en-US" sz="2000" b="0" i="1" cap="none" spc="0" baseline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 Ativo</a:t>
            </a:r>
            <a:endParaRPr lang="en-US" sz="2000" b="0" i="1" cap="none" spc="0">
              <a:ln w="9525">
                <a:solidFill>
                  <a:schemeClr val="tx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7</xdr:col>
      <xdr:colOff>1773621</xdr:colOff>
      <xdr:row>1</xdr:row>
      <xdr:rowOff>1</xdr:rowOff>
    </xdr:from>
    <xdr:to>
      <xdr:col>12</xdr:col>
      <xdr:colOff>131384</xdr:colOff>
      <xdr:row>5</xdr:row>
      <xdr:rowOff>21021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DC70576-6382-4179-97F8-E44D92B89729}"/>
            </a:ext>
          </a:extLst>
        </xdr:cNvPr>
        <xdr:cNvGrpSpPr/>
      </xdr:nvGrpSpPr>
      <xdr:grpSpPr>
        <a:xfrm>
          <a:off x="8605345" y="186122"/>
          <a:ext cx="5824487" cy="929727"/>
          <a:chOff x="8331637" y="153276"/>
          <a:chExt cx="6131039" cy="929727"/>
        </a:xfrm>
      </xdr:grpSpPr>
      <xdr:sp macro="" textlink="">
        <xdr:nvSpPr>
          <xdr:cNvPr id="8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D524591-CFEF-4F7F-BC5B-A9882E3EA897}"/>
              </a:ext>
            </a:extLst>
          </xdr:cNvPr>
          <xdr:cNvSpPr/>
        </xdr:nvSpPr>
        <xdr:spPr>
          <a:xfrm>
            <a:off x="9448363" y="602155"/>
            <a:ext cx="2780862" cy="48084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Dinheiro em Caixa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9" name="Rectangle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ABB7C13-77EA-460E-BAAC-F9F76928506F}"/>
              </a:ext>
            </a:extLst>
          </xdr:cNvPr>
          <xdr:cNvSpPr/>
        </xdr:nvSpPr>
        <xdr:spPr>
          <a:xfrm>
            <a:off x="12370673" y="207143"/>
            <a:ext cx="1873033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Tesouro Direto</a:t>
            </a:r>
          </a:p>
        </xdr:txBody>
      </xdr:sp>
      <xdr:sp macro="" textlink="">
        <xdr:nvSpPr>
          <xdr:cNvPr id="10" name="Rectangl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15CC8D5-9ACC-4AAD-90A9-E84487EBFF4B}"/>
              </a:ext>
            </a:extLst>
          </xdr:cNvPr>
          <xdr:cNvSpPr/>
        </xdr:nvSpPr>
        <xdr:spPr>
          <a:xfrm>
            <a:off x="12032156" y="667845"/>
            <a:ext cx="2430520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Cryptomoedas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4378D349-2115-43FC-8B8F-A26BDD8C0871}"/>
              </a:ext>
            </a:extLst>
          </xdr:cNvPr>
          <xdr:cNvSpPr/>
        </xdr:nvSpPr>
        <xdr:spPr>
          <a:xfrm>
            <a:off x="9513175" y="207140"/>
            <a:ext cx="2825530" cy="340273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Fundos Imobiliários</a:t>
            </a:r>
          </a:p>
        </xdr:txBody>
      </xdr:sp>
      <xdr:sp macro="" textlink="">
        <xdr:nvSpPr>
          <xdr:cNvPr id="12" name="Rectangle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CD6F7F-6FC5-4A9B-ADDB-EAED2C1335E4}"/>
              </a:ext>
            </a:extLst>
          </xdr:cNvPr>
          <xdr:cNvSpPr/>
        </xdr:nvSpPr>
        <xdr:spPr>
          <a:xfrm>
            <a:off x="8331637" y="153276"/>
            <a:ext cx="1127673" cy="437931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Ações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43793</xdr:colOff>
      <xdr:row>6</xdr:row>
      <xdr:rowOff>186120</xdr:rowOff>
    </xdr:from>
    <xdr:to>
      <xdr:col>1</xdr:col>
      <xdr:colOff>487417</xdr:colOff>
      <xdr:row>8</xdr:row>
      <xdr:rowOff>191813</xdr:rowOff>
    </xdr:to>
    <xdr:pic macro="[0]!Atualizar_PLanilha">
      <xdr:nvPicPr>
        <xdr:cNvPr id="13" name="Gráfico 12" descr="Repetir com preenchimento sólido">
          <a:extLst>
            <a:ext uri="{FF2B5EF4-FFF2-40B4-BE49-F238E27FC236}">
              <a16:creationId xmlns:a16="http://schemas.microsoft.com/office/drawing/2014/main" id="{F9485DB7-36D9-4C88-A69A-0458D6FCB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6552" y="1521810"/>
          <a:ext cx="443624" cy="443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197068</xdr:colOff>
      <xdr:row>0</xdr:row>
      <xdr:rowOff>109482</xdr:rowOff>
    </xdr:from>
    <xdr:to>
      <xdr:col>2</xdr:col>
      <xdr:colOff>821120</xdr:colOff>
      <xdr:row>5</xdr:row>
      <xdr:rowOff>10949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EEDCEB-FCBC-4D96-8B19-C60B033903D1}"/>
            </a:ext>
          </a:extLst>
        </xdr:cNvPr>
        <xdr:cNvSpPr/>
      </xdr:nvSpPr>
      <xdr:spPr>
        <a:xfrm>
          <a:off x="197068" y="109482"/>
          <a:ext cx="2496207" cy="83207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2</xdr:col>
      <xdr:colOff>919654</xdr:colOff>
      <xdr:row>0</xdr:row>
      <xdr:rowOff>109483</xdr:rowOff>
    </xdr:from>
    <xdr:to>
      <xdr:col>4</xdr:col>
      <xdr:colOff>1182413</xdr:colOff>
      <xdr:row>6</xdr:row>
      <xdr:rowOff>24388</xdr:rowOff>
    </xdr:to>
    <xdr:sp macro="" textlink="">
      <xdr:nvSpPr>
        <xdr:cNvPr id="3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E74AC4-A91F-4763-BDB5-5CB32859027B}"/>
            </a:ext>
          </a:extLst>
        </xdr:cNvPr>
        <xdr:cNvSpPr/>
      </xdr:nvSpPr>
      <xdr:spPr>
        <a:xfrm>
          <a:off x="2796079" y="109483"/>
          <a:ext cx="5420273" cy="103217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4</xdr:col>
      <xdr:colOff>1587500</xdr:colOff>
      <xdr:row>0</xdr:row>
      <xdr:rowOff>142327</xdr:rowOff>
    </xdr:from>
    <xdr:to>
      <xdr:col>7</xdr:col>
      <xdr:colOff>547418</xdr:colOff>
      <xdr:row>5</xdr:row>
      <xdr:rowOff>141451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356BBA9-E51F-4237-A68A-8EC0DA8E00EE}"/>
            </a:ext>
          </a:extLst>
        </xdr:cNvPr>
        <xdr:cNvGrpSpPr/>
      </xdr:nvGrpSpPr>
      <xdr:grpSpPr>
        <a:xfrm>
          <a:off x="8616293" y="142327"/>
          <a:ext cx="5824487" cy="929727"/>
          <a:chOff x="8331637" y="153276"/>
          <a:chExt cx="6131039" cy="929727"/>
        </a:xfrm>
      </xdr:grpSpPr>
      <xdr:sp macro="" textlink="">
        <xdr:nvSpPr>
          <xdr:cNvPr id="17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1AD469E-6EEF-46AD-9428-2A1B562DA346}"/>
              </a:ext>
            </a:extLst>
          </xdr:cNvPr>
          <xdr:cNvSpPr/>
        </xdr:nvSpPr>
        <xdr:spPr>
          <a:xfrm>
            <a:off x="9448363" y="602155"/>
            <a:ext cx="2780862" cy="48084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Dinheiro em Caixa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18" name="Rectangle 10">
            <a:extLst>
              <a:ext uri="{FF2B5EF4-FFF2-40B4-BE49-F238E27FC236}">
                <a16:creationId xmlns:a16="http://schemas.microsoft.com/office/drawing/2014/main" id="{B36C3F1A-A654-4BB8-ABE9-8CE5F8DF9F9C}"/>
              </a:ext>
            </a:extLst>
          </xdr:cNvPr>
          <xdr:cNvSpPr/>
        </xdr:nvSpPr>
        <xdr:spPr>
          <a:xfrm>
            <a:off x="12370673" y="207143"/>
            <a:ext cx="1873033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Tesouro Direto</a:t>
            </a:r>
          </a:p>
        </xdr:txBody>
      </xdr:sp>
      <xdr:sp macro="" textlink="">
        <xdr:nvSpPr>
          <xdr:cNvPr id="19" name="Rectangle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83C5859-C869-4D33-AE70-E7B9014E8828}"/>
              </a:ext>
            </a:extLst>
          </xdr:cNvPr>
          <xdr:cNvSpPr/>
        </xdr:nvSpPr>
        <xdr:spPr>
          <a:xfrm>
            <a:off x="12032156" y="667845"/>
            <a:ext cx="2430520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Cryptomoedas</a:t>
            </a:r>
          </a:p>
        </xdr:txBody>
      </xdr:sp>
      <xdr:sp macro="" textlink="">
        <xdr:nvSpPr>
          <xdr:cNvPr id="20" name="Rectangl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00182C0-BF20-40D9-BA3E-66F795D34D7F}"/>
              </a:ext>
            </a:extLst>
          </xdr:cNvPr>
          <xdr:cNvSpPr/>
        </xdr:nvSpPr>
        <xdr:spPr>
          <a:xfrm>
            <a:off x="9513175" y="207140"/>
            <a:ext cx="2825530" cy="340273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Fundos Imobiliários</a:t>
            </a:r>
          </a:p>
        </xdr:txBody>
      </xdr:sp>
      <xdr:sp macro="" textlink="">
        <xdr:nvSpPr>
          <xdr:cNvPr id="21" name="Rectangle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7837ABF-C012-452F-A5D6-C4E2804FA7A3}"/>
              </a:ext>
            </a:extLst>
          </xdr:cNvPr>
          <xdr:cNvSpPr/>
        </xdr:nvSpPr>
        <xdr:spPr>
          <a:xfrm>
            <a:off x="8331637" y="153276"/>
            <a:ext cx="1127673" cy="437931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Ações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oneCellAnchor>
    <xdr:from>
      <xdr:col>1</xdr:col>
      <xdr:colOff>10948</xdr:colOff>
      <xdr:row>6</xdr:row>
      <xdr:rowOff>131379</xdr:rowOff>
    </xdr:from>
    <xdr:ext cx="443624" cy="443624"/>
    <xdr:pic macro="[0]!Atualizar_PLanilha">
      <xdr:nvPicPr>
        <xdr:cNvPr id="15" name="Gráfico 14" descr="Repetir com preenchimento sólido">
          <a:extLst>
            <a:ext uri="{FF2B5EF4-FFF2-40B4-BE49-F238E27FC236}">
              <a16:creationId xmlns:a16="http://schemas.microsoft.com/office/drawing/2014/main" id="{1955D6B0-526F-493E-B9FA-8A5749D19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000" y="1248103"/>
          <a:ext cx="443624" cy="44362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197068</xdr:colOff>
      <xdr:row>0</xdr:row>
      <xdr:rowOff>109482</xdr:rowOff>
    </xdr:from>
    <xdr:to>
      <xdr:col>2</xdr:col>
      <xdr:colOff>1160516</xdr:colOff>
      <xdr:row>4</xdr:row>
      <xdr:rowOff>98534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B4A9FE-AB23-43DB-898E-DCB533053CA0}"/>
            </a:ext>
          </a:extLst>
        </xdr:cNvPr>
        <xdr:cNvSpPr/>
      </xdr:nvSpPr>
      <xdr:spPr>
        <a:xfrm>
          <a:off x="197068" y="109482"/>
          <a:ext cx="2499382" cy="846302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2</xdr:col>
      <xdr:colOff>1259050</xdr:colOff>
      <xdr:row>0</xdr:row>
      <xdr:rowOff>109483</xdr:rowOff>
    </xdr:from>
    <xdr:to>
      <xdr:col>6</xdr:col>
      <xdr:colOff>1806465</xdr:colOff>
      <xdr:row>5</xdr:row>
      <xdr:rowOff>46284</xdr:rowOff>
    </xdr:to>
    <xdr:sp macro="" textlink="">
      <xdr:nvSpPr>
        <xdr:cNvPr id="3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16CB89-4602-4515-BDC1-ABE948E86092}"/>
            </a:ext>
          </a:extLst>
        </xdr:cNvPr>
        <xdr:cNvSpPr/>
      </xdr:nvSpPr>
      <xdr:spPr>
        <a:xfrm>
          <a:off x="2794984" y="109483"/>
          <a:ext cx="5413923" cy="103217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580259</xdr:colOff>
      <xdr:row>6</xdr:row>
      <xdr:rowOff>98533</xdr:rowOff>
    </xdr:from>
    <xdr:to>
      <xdr:col>10</xdr:col>
      <xdr:colOff>1512393</xdr:colOff>
      <xdr:row>8</xdr:row>
      <xdr:rowOff>175992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F566F06-BB73-40E1-8448-91EC45D4563D}"/>
            </a:ext>
          </a:extLst>
        </xdr:cNvPr>
        <xdr:cNvGrpSpPr/>
      </xdr:nvGrpSpPr>
      <xdr:grpSpPr>
        <a:xfrm>
          <a:off x="11824138" y="1434223"/>
          <a:ext cx="2289721" cy="515390"/>
          <a:chOff x="29394218" y="162622"/>
          <a:chExt cx="7843268" cy="2258669"/>
        </a:xfrm>
      </xdr:grpSpPr>
      <xdr:sp macro="" textlink="">
        <xdr:nvSpPr>
          <xdr:cNvPr id="5" name="Seta: Divisa 4">
            <a:extLst>
              <a:ext uri="{FF2B5EF4-FFF2-40B4-BE49-F238E27FC236}">
                <a16:creationId xmlns:a16="http://schemas.microsoft.com/office/drawing/2014/main" id="{B29C9F38-CEE6-442F-8BBC-B8BF83E8FE90}"/>
              </a:ext>
            </a:extLst>
          </xdr:cNvPr>
          <xdr:cNvSpPr/>
        </xdr:nvSpPr>
        <xdr:spPr>
          <a:xfrm>
            <a:off x="29394218" y="342119"/>
            <a:ext cx="7843268" cy="2079172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2000"/>
          </a:p>
        </xdr:txBody>
      </xdr:sp>
      <xdr:sp macro="[0]!Tipo_Investimento_show" textlink="">
        <xdr:nvSpPr>
          <xdr:cNvPr id="6" name="Rectangle 15">
            <a:extLst>
              <a:ext uri="{FF2B5EF4-FFF2-40B4-BE49-F238E27FC236}">
                <a16:creationId xmlns:a16="http://schemas.microsoft.com/office/drawing/2014/main" id="{87D2B3A9-41F7-4BC9-9B87-98B701552C3A}"/>
              </a:ext>
            </a:extLst>
          </xdr:cNvPr>
          <xdr:cNvSpPr/>
        </xdr:nvSpPr>
        <xdr:spPr>
          <a:xfrm>
            <a:off x="29932272" y="162622"/>
            <a:ext cx="6891616" cy="2199510"/>
          </a:xfrm>
          <a:prstGeom prst="rect">
            <a:avLst/>
          </a:prstGeom>
          <a:noFill/>
          <a:ln>
            <a:noFill/>
          </a:ln>
          <a:effectLst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0" i="1" cap="none" spc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Adicionar</a:t>
            </a:r>
            <a:r>
              <a:rPr lang="en-US" sz="2000" b="0" i="1" cap="none" spc="0" baseline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 Ativo</a:t>
            </a:r>
            <a:endParaRPr lang="en-US" sz="2000" b="0" i="1" cap="none" spc="0">
              <a:ln w="9525">
                <a:solidFill>
                  <a:schemeClr val="tx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7</xdr:col>
      <xdr:colOff>361293</xdr:colOff>
      <xdr:row>1</xdr:row>
      <xdr:rowOff>1</xdr:rowOff>
    </xdr:from>
    <xdr:to>
      <xdr:col>11</xdr:col>
      <xdr:colOff>251815</xdr:colOff>
      <xdr:row>5</xdr:row>
      <xdr:rowOff>21021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72470552-0585-41D0-ACC5-FF7B946FD1E1}"/>
            </a:ext>
          </a:extLst>
        </xdr:cNvPr>
        <xdr:cNvGrpSpPr/>
      </xdr:nvGrpSpPr>
      <xdr:grpSpPr>
        <a:xfrm>
          <a:off x="8605345" y="186122"/>
          <a:ext cx="5824487" cy="929727"/>
          <a:chOff x="8331637" y="153276"/>
          <a:chExt cx="6131039" cy="929727"/>
        </a:xfrm>
      </xdr:grpSpPr>
      <xdr:sp macro="" textlink="">
        <xdr:nvSpPr>
          <xdr:cNvPr id="8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7CB6665-352E-4D3A-9AD1-30C0692B5E61}"/>
              </a:ext>
            </a:extLst>
          </xdr:cNvPr>
          <xdr:cNvSpPr/>
        </xdr:nvSpPr>
        <xdr:spPr>
          <a:xfrm>
            <a:off x="9448363" y="602155"/>
            <a:ext cx="2780862" cy="48084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Dinheiro em Caixa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9" name="Rectangle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D25F796-794F-4431-AB07-6BB7563EE356}"/>
              </a:ext>
            </a:extLst>
          </xdr:cNvPr>
          <xdr:cNvSpPr/>
        </xdr:nvSpPr>
        <xdr:spPr>
          <a:xfrm>
            <a:off x="12370673" y="207143"/>
            <a:ext cx="1873033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Tesouro Direto</a:t>
            </a:r>
          </a:p>
        </xdr:txBody>
      </xdr:sp>
      <xdr:sp macro="" textlink="">
        <xdr:nvSpPr>
          <xdr:cNvPr id="10" name="Rectangle 10">
            <a:extLst>
              <a:ext uri="{FF2B5EF4-FFF2-40B4-BE49-F238E27FC236}">
                <a16:creationId xmlns:a16="http://schemas.microsoft.com/office/drawing/2014/main" id="{B2590088-C86C-49C4-8ED2-5CED7C27BE2D}"/>
              </a:ext>
            </a:extLst>
          </xdr:cNvPr>
          <xdr:cNvSpPr/>
        </xdr:nvSpPr>
        <xdr:spPr>
          <a:xfrm>
            <a:off x="12032156" y="667845"/>
            <a:ext cx="2430520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Cryptomoedas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4CA3D81-11A6-4F39-A94C-C830088386A8}"/>
              </a:ext>
            </a:extLst>
          </xdr:cNvPr>
          <xdr:cNvSpPr/>
        </xdr:nvSpPr>
        <xdr:spPr>
          <a:xfrm>
            <a:off x="9513175" y="207140"/>
            <a:ext cx="2825530" cy="340273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Fundos Imobiliários</a:t>
            </a:r>
          </a:p>
        </xdr:txBody>
      </xdr:sp>
      <xdr:sp macro="" textlink="">
        <xdr:nvSpPr>
          <xdr:cNvPr id="12" name="Rectangle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1DC2BAB-6ADA-4926-9849-575AC4855459}"/>
              </a:ext>
            </a:extLst>
          </xdr:cNvPr>
          <xdr:cNvSpPr/>
        </xdr:nvSpPr>
        <xdr:spPr>
          <a:xfrm>
            <a:off x="8331637" y="153276"/>
            <a:ext cx="1127673" cy="437931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Ações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87587</xdr:colOff>
      <xdr:row>6</xdr:row>
      <xdr:rowOff>208018</xdr:rowOff>
    </xdr:from>
    <xdr:to>
      <xdr:col>1</xdr:col>
      <xdr:colOff>531211</xdr:colOff>
      <xdr:row>8</xdr:row>
      <xdr:rowOff>213711</xdr:rowOff>
    </xdr:to>
    <xdr:pic macro="[0]!Atualizar_PLanilha">
      <xdr:nvPicPr>
        <xdr:cNvPr id="13" name="Gráfico 12" descr="Repetir com preenchimento sólido">
          <a:extLst>
            <a:ext uri="{FF2B5EF4-FFF2-40B4-BE49-F238E27FC236}">
              <a16:creationId xmlns:a16="http://schemas.microsoft.com/office/drawing/2014/main" id="{9B87AACB-AC9E-4673-BC58-C518E7ED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50346" y="1543708"/>
          <a:ext cx="443624" cy="4436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197068</xdr:colOff>
      <xdr:row>0</xdr:row>
      <xdr:rowOff>109482</xdr:rowOff>
    </xdr:from>
    <xdr:to>
      <xdr:col>2</xdr:col>
      <xdr:colOff>799223</xdr:colOff>
      <xdr:row>4</xdr:row>
      <xdr:rowOff>87586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A1302A-A031-4A08-85DC-6AFD0B75FA18}"/>
            </a:ext>
          </a:extLst>
        </xdr:cNvPr>
        <xdr:cNvSpPr/>
      </xdr:nvSpPr>
      <xdr:spPr>
        <a:xfrm>
          <a:off x="197068" y="109482"/>
          <a:ext cx="2496207" cy="83207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2</xdr:col>
      <xdr:colOff>897757</xdr:colOff>
      <xdr:row>0</xdr:row>
      <xdr:rowOff>109483</xdr:rowOff>
    </xdr:from>
    <xdr:to>
      <xdr:col>5</xdr:col>
      <xdr:colOff>1675085</xdr:colOff>
      <xdr:row>5</xdr:row>
      <xdr:rowOff>46284</xdr:rowOff>
    </xdr:to>
    <xdr:sp macro="" textlink="">
      <xdr:nvSpPr>
        <xdr:cNvPr id="3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F78800-C100-47BF-9A2A-9C05EAF96A7D}"/>
            </a:ext>
          </a:extLst>
        </xdr:cNvPr>
        <xdr:cNvSpPr/>
      </xdr:nvSpPr>
      <xdr:spPr>
        <a:xfrm>
          <a:off x="2796079" y="109483"/>
          <a:ext cx="5420273" cy="103217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1248103</xdr:colOff>
      <xdr:row>6</xdr:row>
      <xdr:rowOff>65689</xdr:rowOff>
    </xdr:from>
    <xdr:to>
      <xdr:col>9</xdr:col>
      <xdr:colOff>336877</xdr:colOff>
      <xdr:row>8</xdr:row>
      <xdr:rowOff>143148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3C8D9616-7D48-42C8-A28F-C5B68B03AA76}"/>
            </a:ext>
          </a:extLst>
        </xdr:cNvPr>
        <xdr:cNvGrpSpPr/>
      </xdr:nvGrpSpPr>
      <xdr:grpSpPr>
        <a:xfrm>
          <a:off x="11550431" y="1401379"/>
          <a:ext cx="2592222" cy="515390"/>
          <a:chOff x="29394218" y="162622"/>
          <a:chExt cx="7843268" cy="2258669"/>
        </a:xfrm>
      </xdr:grpSpPr>
      <xdr:sp macro="" textlink="">
        <xdr:nvSpPr>
          <xdr:cNvPr id="9" name="Seta: Divisa 8">
            <a:extLst>
              <a:ext uri="{FF2B5EF4-FFF2-40B4-BE49-F238E27FC236}">
                <a16:creationId xmlns:a16="http://schemas.microsoft.com/office/drawing/2014/main" id="{DE6C42BD-EA72-4B4C-9A7D-6897DC04C037}"/>
              </a:ext>
            </a:extLst>
          </xdr:cNvPr>
          <xdr:cNvSpPr/>
        </xdr:nvSpPr>
        <xdr:spPr>
          <a:xfrm>
            <a:off x="29394218" y="342119"/>
            <a:ext cx="7843268" cy="2079172"/>
          </a:xfrm>
          <a:prstGeom prst="chevron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2000"/>
          </a:p>
        </xdr:txBody>
      </xdr:sp>
      <xdr:sp macro="[0]!Tipo_Investimento_show" textlink="">
        <xdr:nvSpPr>
          <xdr:cNvPr id="10" name="Rectangle 15">
            <a:extLst>
              <a:ext uri="{FF2B5EF4-FFF2-40B4-BE49-F238E27FC236}">
                <a16:creationId xmlns:a16="http://schemas.microsoft.com/office/drawing/2014/main" id="{81B4FDE5-04EC-4095-8292-7528256CEB23}"/>
              </a:ext>
            </a:extLst>
          </xdr:cNvPr>
          <xdr:cNvSpPr/>
        </xdr:nvSpPr>
        <xdr:spPr>
          <a:xfrm>
            <a:off x="29932271" y="162622"/>
            <a:ext cx="6891615" cy="2199510"/>
          </a:xfrm>
          <a:prstGeom prst="rect">
            <a:avLst/>
          </a:prstGeom>
          <a:noFill/>
          <a:ln>
            <a:noFill/>
          </a:ln>
          <a:effectLst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0" i="1" cap="none" spc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Adicionar</a:t>
            </a:r>
            <a:r>
              <a:rPr lang="en-US" sz="2000" b="0" i="1" cap="none" spc="0" baseline="0">
                <a:ln w="9525">
                  <a:solidFill>
                    <a:schemeClr val="tx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 Ativo</a:t>
            </a:r>
            <a:endParaRPr lang="en-US" sz="2000" b="0" i="1" cap="none" spc="0">
              <a:ln w="9525">
                <a:solidFill>
                  <a:schemeClr val="tx1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absolute">
    <xdr:from>
      <xdr:col>5</xdr:col>
      <xdr:colOff>1915947</xdr:colOff>
      <xdr:row>1</xdr:row>
      <xdr:rowOff>10948</xdr:rowOff>
    </xdr:from>
    <xdr:to>
      <xdr:col>9</xdr:col>
      <xdr:colOff>470779</xdr:colOff>
      <xdr:row>5</xdr:row>
      <xdr:rowOff>31968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C46E598-B50D-4EC4-ADE2-EEF465109FE2}"/>
            </a:ext>
          </a:extLst>
        </xdr:cNvPr>
        <xdr:cNvGrpSpPr/>
      </xdr:nvGrpSpPr>
      <xdr:grpSpPr>
        <a:xfrm>
          <a:off x="8452068" y="197069"/>
          <a:ext cx="5824487" cy="929727"/>
          <a:chOff x="8331637" y="153276"/>
          <a:chExt cx="6131039" cy="929727"/>
        </a:xfrm>
      </xdr:grpSpPr>
      <xdr:sp macro="" textlink="">
        <xdr:nvSpPr>
          <xdr:cNvPr id="13" name="Rectangle 10">
            <a:extLst>
              <a:ext uri="{FF2B5EF4-FFF2-40B4-BE49-F238E27FC236}">
                <a16:creationId xmlns:a16="http://schemas.microsoft.com/office/drawing/2014/main" id="{B9D65570-208C-4BA1-9127-B1E9D120DBF3}"/>
              </a:ext>
            </a:extLst>
          </xdr:cNvPr>
          <xdr:cNvSpPr/>
        </xdr:nvSpPr>
        <xdr:spPr>
          <a:xfrm>
            <a:off x="9448363" y="602155"/>
            <a:ext cx="2780862" cy="48084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Dinheiro em Caixa</a:t>
            </a:r>
            <a:endParaRPr lang="en-US" sz="2000" b="1" i="0" u="sng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sp macro="" textlink="">
        <xdr:nvSpPr>
          <xdr:cNvPr id="14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10EB46A-0FA0-470F-832C-42B53E7FD494}"/>
              </a:ext>
            </a:extLst>
          </xdr:cNvPr>
          <xdr:cNvSpPr/>
        </xdr:nvSpPr>
        <xdr:spPr>
          <a:xfrm>
            <a:off x="12370673" y="207143"/>
            <a:ext cx="1873033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Tesouro Direto</a:t>
            </a:r>
          </a:p>
        </xdr:txBody>
      </xdr:sp>
      <xdr:sp macro="" textlink="">
        <xdr:nvSpPr>
          <xdr:cNvPr id="15" name="Rectangle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0095EA0-121B-4C34-8AEE-8A5A6CAC0D43}"/>
              </a:ext>
            </a:extLst>
          </xdr:cNvPr>
          <xdr:cNvSpPr/>
        </xdr:nvSpPr>
        <xdr:spPr>
          <a:xfrm>
            <a:off x="12032156" y="667845"/>
            <a:ext cx="2430520" cy="349468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Cryptomoedas</a:t>
            </a:r>
          </a:p>
        </xdr:txBody>
      </xdr:sp>
      <xdr:sp macro="" textlink="">
        <xdr:nvSpPr>
          <xdr:cNvPr id="16" name="Rectangle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8D7EB8D-0859-41FB-9191-436FFE6EF3D4}"/>
              </a:ext>
            </a:extLst>
          </xdr:cNvPr>
          <xdr:cNvSpPr/>
        </xdr:nvSpPr>
        <xdr:spPr>
          <a:xfrm>
            <a:off x="9513175" y="207140"/>
            <a:ext cx="2825530" cy="340273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Fundos Imobiliários</a:t>
            </a:r>
          </a:p>
        </xdr:txBody>
      </xdr:sp>
      <xdr:sp macro="" textlink="">
        <xdr:nvSpPr>
          <xdr:cNvPr id="17" name="Rectangle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A9594B-8934-43A4-8FCD-134C575829CB}"/>
              </a:ext>
            </a:extLst>
          </xdr:cNvPr>
          <xdr:cNvSpPr/>
        </xdr:nvSpPr>
        <xdr:spPr>
          <a:xfrm>
            <a:off x="8331637" y="153276"/>
            <a:ext cx="1127673" cy="437931"/>
          </a:xfrm>
          <a:prstGeom prst="rect">
            <a:avLst/>
          </a:prstGeom>
          <a:noFill/>
          <a:ln w="76200"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2000" b="1" i="0" u="none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Ações</a:t>
            </a:r>
            <a:endParaRPr lang="en-US" sz="2000" b="1" i="0" u="none" cap="none" spc="0">
              <a:ln w="9525">
                <a:solidFill>
                  <a:srgbClr val="00B050"/>
                </a:solidFill>
                <a:prstDash val="solid"/>
              </a:ln>
              <a:solidFill>
                <a:srgbClr val="00B05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0</xdr:colOff>
      <xdr:row>6</xdr:row>
      <xdr:rowOff>229914</xdr:rowOff>
    </xdr:from>
    <xdr:to>
      <xdr:col>1</xdr:col>
      <xdr:colOff>443624</xdr:colOff>
      <xdr:row>8</xdr:row>
      <xdr:rowOff>235607</xdr:rowOff>
    </xdr:to>
    <xdr:pic macro="[0]!Atualizar_PLanilha">
      <xdr:nvPicPr>
        <xdr:cNvPr id="18" name="Gráfico 17" descr="Repetir com preenchimento sólido">
          <a:extLst>
            <a:ext uri="{FF2B5EF4-FFF2-40B4-BE49-F238E27FC236}">
              <a16:creationId xmlns:a16="http://schemas.microsoft.com/office/drawing/2014/main" id="{6D4A55C8-A6E4-463C-B249-146718633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1810" y="1565604"/>
          <a:ext cx="443624" cy="4436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241891</xdr:colOff>
      <xdr:row>0</xdr:row>
      <xdr:rowOff>143100</xdr:rowOff>
    </xdr:from>
    <xdr:to>
      <xdr:col>2</xdr:col>
      <xdr:colOff>910766</xdr:colOff>
      <xdr:row>4</xdr:row>
      <xdr:rowOff>123265</xdr:rowOff>
    </xdr:to>
    <xdr:sp macro="[0]!ZOOM" textlink="">
      <xdr:nvSpPr>
        <xdr:cNvPr id="2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5805A0-2051-43A2-900A-E04C49C73A92}"/>
            </a:ext>
          </a:extLst>
        </xdr:cNvPr>
        <xdr:cNvSpPr/>
      </xdr:nvSpPr>
      <xdr:spPr>
        <a:xfrm>
          <a:off x="241891" y="143100"/>
          <a:ext cx="2495434" cy="831812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000" b="1" cap="none" spc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Início</a:t>
          </a:r>
        </a:p>
      </xdr:txBody>
    </xdr:sp>
    <xdr:clientData/>
  </xdr:twoCellAnchor>
  <xdr:twoCellAnchor editAs="absolute">
    <xdr:from>
      <xdr:col>8</xdr:col>
      <xdr:colOff>41731</xdr:colOff>
      <xdr:row>0</xdr:row>
      <xdr:rowOff>153275</xdr:rowOff>
    </xdr:from>
    <xdr:to>
      <xdr:col>8</xdr:col>
      <xdr:colOff>1278887</xdr:colOff>
      <xdr:row>2</xdr:row>
      <xdr:rowOff>218965</xdr:rowOff>
    </xdr:to>
    <xdr:sp macro="" textlink="">
      <xdr:nvSpPr>
        <xdr:cNvPr id="4" name="Rectangl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AD533F-13B6-47D8-BF36-EB24EE2F3509}"/>
            </a:ext>
          </a:extLst>
        </xdr:cNvPr>
        <xdr:cNvSpPr/>
      </xdr:nvSpPr>
      <xdr:spPr>
        <a:xfrm>
          <a:off x="10491513" y="153275"/>
          <a:ext cx="1240002" cy="446690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Ações</a:t>
          </a:r>
          <a:endParaRPr lang="en-US" sz="2000" b="1" i="0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7</xdr:col>
      <xdr:colOff>1086456</xdr:colOff>
      <xdr:row>2</xdr:row>
      <xdr:rowOff>229914</xdr:rowOff>
    </xdr:from>
    <xdr:to>
      <xdr:col>9</xdr:col>
      <xdr:colOff>196297</xdr:colOff>
      <xdr:row>4</xdr:row>
      <xdr:rowOff>229037</xdr:rowOff>
    </xdr:to>
    <xdr:sp macro="" textlink="">
      <xdr:nvSpPr>
        <xdr:cNvPr id="5" name="Rectangl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8696DA-B537-4770-A80D-ED8B04A1723D}"/>
            </a:ext>
          </a:extLst>
        </xdr:cNvPr>
        <xdr:cNvSpPr/>
      </xdr:nvSpPr>
      <xdr:spPr>
        <a:xfrm>
          <a:off x="9451429" y="610914"/>
          <a:ext cx="2783708" cy="475373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Dinheiro em Caixa</a:t>
          </a:r>
          <a:endParaRPr lang="en-US" sz="2000" b="1" i="0" u="none" cap="none" spc="0">
            <a:ln w="9525">
              <a:solidFill>
                <a:srgbClr val="00B050"/>
              </a:solidFill>
              <a:prstDash val="solid"/>
            </a:ln>
            <a:solidFill>
              <a:srgbClr val="00B050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9</xdr:col>
      <xdr:colOff>370591</xdr:colOff>
      <xdr:row>0</xdr:row>
      <xdr:rowOff>163350</xdr:rowOff>
    </xdr:from>
    <xdr:to>
      <xdr:col>10</xdr:col>
      <xdr:colOff>546641</xdr:colOff>
      <xdr:row>2</xdr:row>
      <xdr:rowOff>140577</xdr:rowOff>
    </xdr:to>
    <xdr:sp macro="" textlink="">
      <xdr:nvSpPr>
        <xdr:cNvPr id="6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E90C05-E341-4E75-9206-85E7DF8C1F90}"/>
            </a:ext>
          </a:extLst>
        </xdr:cNvPr>
        <xdr:cNvSpPr/>
      </xdr:nvSpPr>
      <xdr:spPr>
        <a:xfrm>
          <a:off x="12409431" y="163350"/>
          <a:ext cx="1772309" cy="358227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Tesouro Direto</a:t>
          </a:r>
        </a:p>
      </xdr:txBody>
    </xdr:sp>
    <xdr:clientData/>
  </xdr:twoCellAnchor>
  <xdr:twoCellAnchor editAs="absolute">
    <xdr:from>
      <xdr:col>8</xdr:col>
      <xdr:colOff>1579258</xdr:colOff>
      <xdr:row>3</xdr:row>
      <xdr:rowOff>54742</xdr:rowOff>
    </xdr:from>
    <xdr:to>
      <xdr:col>11</xdr:col>
      <xdr:colOff>218197</xdr:colOff>
      <xdr:row>4</xdr:row>
      <xdr:rowOff>163347</xdr:rowOff>
    </xdr:to>
    <xdr:sp macro="" textlink="">
      <xdr:nvSpPr>
        <xdr:cNvPr id="7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6B907A3-DBD4-4EF6-8630-12A9EBE8F1F9}"/>
            </a:ext>
          </a:extLst>
        </xdr:cNvPr>
        <xdr:cNvSpPr/>
      </xdr:nvSpPr>
      <xdr:spPr>
        <a:xfrm>
          <a:off x="12038068" y="673867"/>
          <a:ext cx="2428330" cy="346730"/>
        </a:xfrm>
        <a:prstGeom prst="rect">
          <a:avLst/>
        </a:prstGeom>
        <a:noFill/>
        <a:ln w="76200"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Cryptomoedas</a:t>
          </a:r>
        </a:p>
      </xdr:txBody>
    </xdr:sp>
    <xdr:clientData/>
  </xdr:twoCellAnchor>
  <xdr:twoCellAnchor>
    <xdr:from>
      <xdr:col>0</xdr:col>
      <xdr:colOff>481853</xdr:colOff>
      <xdr:row>5</xdr:row>
      <xdr:rowOff>67236</xdr:rowOff>
    </xdr:from>
    <xdr:to>
      <xdr:col>5</xdr:col>
      <xdr:colOff>806824</xdr:colOff>
      <xdr:row>20</xdr:row>
      <xdr:rowOff>582706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C8B5421E-7C12-4B54-BC71-C322B4767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1512795</xdr:colOff>
      <xdr:row>8</xdr:row>
      <xdr:rowOff>358588</xdr:rowOff>
    </xdr:from>
    <xdr:to>
      <xdr:col>10</xdr:col>
      <xdr:colOff>358588</xdr:colOff>
      <xdr:row>14</xdr:row>
      <xdr:rowOff>134471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6DED4415-3D81-48D7-A4A1-D7CA33D50B83}"/>
            </a:ext>
          </a:extLst>
        </xdr:cNvPr>
        <xdr:cNvGrpSpPr/>
      </xdr:nvGrpSpPr>
      <xdr:grpSpPr>
        <a:xfrm>
          <a:off x="11967883" y="2073088"/>
          <a:ext cx="2028264" cy="1927412"/>
          <a:chOff x="11543286" y="2176947"/>
          <a:chExt cx="3556659" cy="1374884"/>
        </a:xfrm>
      </xdr:grpSpPr>
      <xdr:pic macro="[0]!Balancear_Carteira_show">
        <xdr:nvPicPr>
          <xdr:cNvPr id="20" name="Gráfico 19" descr="Pesquisa">
            <a:extLst>
              <a:ext uri="{FF2B5EF4-FFF2-40B4-BE49-F238E27FC236}">
                <a16:creationId xmlns:a16="http://schemas.microsoft.com/office/drawing/2014/main" id="{D82D472D-7269-461B-ACFC-8D466FE675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2330" y="2176947"/>
            <a:ext cx="2042545" cy="802954"/>
          </a:xfrm>
          <a:prstGeom prst="rect">
            <a:avLst/>
          </a:prstGeom>
        </xdr:spPr>
      </xdr:pic>
      <xdr:sp macro="[0]!Balancear_Carteira_show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FB42348-B239-4473-8D67-DC409FA10A21}"/>
              </a:ext>
            </a:extLst>
          </xdr:cNvPr>
          <xdr:cNvSpPr/>
        </xdr:nvSpPr>
        <xdr:spPr>
          <a:xfrm>
            <a:off x="11543286" y="2964856"/>
            <a:ext cx="3556659" cy="58697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900" b="1" i="1" u="sng" cap="none" spc="0">
                <a:ln w="0"/>
                <a:solidFill>
                  <a:srgbClr val="00B05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Balancear Carteira</a:t>
            </a:r>
          </a:p>
        </xdr:txBody>
      </xdr:sp>
    </xdr:grpSp>
    <xdr:clientData/>
  </xdr:twoCellAnchor>
  <xdr:twoCellAnchor editAs="absolute">
    <xdr:from>
      <xdr:col>3</xdr:col>
      <xdr:colOff>145676</xdr:colOff>
      <xdr:row>0</xdr:row>
      <xdr:rowOff>156882</xdr:rowOff>
    </xdr:from>
    <xdr:to>
      <xdr:col>6</xdr:col>
      <xdr:colOff>2068838</xdr:colOff>
      <xdr:row>5</xdr:row>
      <xdr:rowOff>101540</xdr:rowOff>
    </xdr:to>
    <xdr:sp macro="" textlink="">
      <xdr:nvSpPr>
        <xdr:cNvPr id="26" name="Rectangle 6">
          <a:extLst>
            <a:ext uri="{FF2B5EF4-FFF2-40B4-BE49-F238E27FC236}">
              <a16:creationId xmlns:a16="http://schemas.microsoft.com/office/drawing/2014/main" id="{CFBE92F5-ABFE-4D1F-9911-48A5D4D89B85}"/>
            </a:ext>
          </a:extLst>
        </xdr:cNvPr>
        <xdr:cNvSpPr/>
      </xdr:nvSpPr>
      <xdr:spPr>
        <a:xfrm>
          <a:off x="2924735" y="156882"/>
          <a:ext cx="5419397" cy="1031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6000" b="1" cap="none" spc="0" baseline="0">
              <a:ln w="9525">
                <a:solidFill>
                  <a:srgbClr val="00B050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Minha Carteira</a:t>
          </a:r>
          <a:endParaRPr lang="en-US" sz="6000" b="1" cap="none" spc="0">
            <a:ln w="9525">
              <a:solidFill>
                <a:srgbClr val="00B050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285751</xdr:colOff>
      <xdr:row>21</xdr:row>
      <xdr:rowOff>112059</xdr:rowOff>
    </xdr:from>
    <xdr:to>
      <xdr:col>6</xdr:col>
      <xdr:colOff>605119</xdr:colOff>
      <xdr:row>40</xdr:row>
      <xdr:rowOff>156882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69DE9B-A877-4D78-82A6-B206BC2F8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962584</xdr:colOff>
      <xdr:row>22</xdr:row>
      <xdr:rowOff>169769</xdr:rowOff>
    </xdr:from>
    <xdr:to>
      <xdr:col>7</xdr:col>
      <xdr:colOff>695884</xdr:colOff>
      <xdr:row>30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Bolsa">
              <a:extLst>
                <a:ext uri="{FF2B5EF4-FFF2-40B4-BE49-F238E27FC236}">
                  <a16:creationId xmlns:a16="http://schemas.microsoft.com/office/drawing/2014/main" id="{C08B5F1E-CC03-4FF4-84D5-4A6F0099BD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l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7878" y="6433857"/>
              <a:ext cx="1828800" cy="1466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959784</xdr:colOff>
      <xdr:row>22</xdr:row>
      <xdr:rowOff>184897</xdr:rowOff>
    </xdr:from>
    <xdr:to>
      <xdr:col>9</xdr:col>
      <xdr:colOff>1208554</xdr:colOff>
      <xdr:row>30</xdr:row>
      <xdr:rowOff>100852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orretora">
              <a:extLst>
                <a:ext uri="{FF2B5EF4-FFF2-40B4-BE49-F238E27FC236}">
                  <a16:creationId xmlns:a16="http://schemas.microsoft.com/office/drawing/2014/main" id="{54F9141D-8167-4819-8051-63A22E20B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rret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4872" y="6448986"/>
              <a:ext cx="1828800" cy="14511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909358</xdr:colOff>
      <xdr:row>22</xdr:row>
      <xdr:rowOff>168089</xdr:rowOff>
    </xdr:from>
    <xdr:to>
      <xdr:col>8</xdr:col>
      <xdr:colOff>653864</xdr:colOff>
      <xdr:row>30</xdr:row>
      <xdr:rowOff>78441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oeda">
              <a:extLst>
                <a:ext uri="{FF2B5EF4-FFF2-40B4-BE49-F238E27FC236}">
                  <a16:creationId xmlns:a16="http://schemas.microsoft.com/office/drawing/2014/main" id="{631727B7-A8F1-43BA-A833-875771A40A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e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80152" y="6432177"/>
              <a:ext cx="1828800" cy="14791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375396</xdr:colOff>
      <xdr:row>45</xdr:row>
      <xdr:rowOff>89647</xdr:rowOff>
    </xdr:from>
    <xdr:to>
      <xdr:col>5</xdr:col>
      <xdr:colOff>1142999</xdr:colOff>
      <xdr:row>60</xdr:row>
      <xdr:rowOff>66115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DDB309E-DFCC-4948-A0A1-E3CD29793C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335056</xdr:colOff>
      <xdr:row>45</xdr:row>
      <xdr:rowOff>118783</xdr:rowOff>
    </xdr:from>
    <xdr:to>
      <xdr:col>7</xdr:col>
      <xdr:colOff>68356</xdr:colOff>
      <xdr:row>50</xdr:row>
      <xdr:rowOff>112059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Exchange">
              <a:extLst>
                <a:ext uri="{FF2B5EF4-FFF2-40B4-BE49-F238E27FC236}">
                  <a16:creationId xmlns:a16="http://schemas.microsoft.com/office/drawing/2014/main" id="{7739C9FA-4560-4B7C-A562-E1368D2D62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chan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0350" y="11403107"/>
              <a:ext cx="1828800" cy="9457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368673</xdr:colOff>
      <xdr:row>45</xdr:row>
      <xdr:rowOff>118782</xdr:rowOff>
    </xdr:from>
    <xdr:to>
      <xdr:col>8</xdr:col>
      <xdr:colOff>113179</xdr:colOff>
      <xdr:row>50</xdr:row>
      <xdr:rowOff>112059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Moeda 1">
              <a:extLst>
                <a:ext uri="{FF2B5EF4-FFF2-40B4-BE49-F238E27FC236}">
                  <a16:creationId xmlns:a16="http://schemas.microsoft.com/office/drawing/2014/main" id="{FD476C69-F869-4C41-AD73-9470B0D8E7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e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39467" y="11403106"/>
              <a:ext cx="1828800" cy="9457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Henriques" refreshedDate="44335.675908796293" createdVersion="7" refreshedVersion="7" minRefreshableVersion="3" recordCount="2" xr:uid="{5D852ECA-2764-4BD0-99A4-F3EE9C3BFF76}">
  <cacheSource type="worksheet">
    <worksheetSource name="Tabela_Crypto"/>
  </cacheSource>
  <cacheFields count="10">
    <cacheField name="Data" numFmtId="14">
      <sharedItems/>
    </cacheField>
    <cacheField name="Exchange" numFmtId="49">
      <sharedItems count="1">
        <s v="BlockFi"/>
      </sharedItems>
    </cacheField>
    <cacheField name="Moeda" numFmtId="49">
      <sharedItems count="1">
        <s v="USD"/>
      </sharedItems>
    </cacheField>
    <cacheField name="Ativo" numFmtId="49">
      <sharedItems count="2">
        <s v="PAXG"/>
        <s v="USDT"/>
      </sharedItems>
    </cacheField>
    <cacheField name="Quantidade" numFmtId="49">
      <sharedItems containsSemiMixedTypes="0" containsString="0" containsNumber="1" minValue="0.16854627" maxValue="832.66"/>
    </cacheField>
    <cacheField name="Preço de Compra" numFmtId="7">
      <sharedItems containsSemiMixedTypes="0" containsString="0" containsNumber="1" minValue="5.7914000000000003" maxValue="9815.5770256600008"/>
    </cacheField>
    <cacheField name="Cotação Atual" numFmtId="169">
      <sharedItems containsSemiMixedTypes="0" containsString="0" containsNumber="1" minValue="5.3" maxValue="9705.52"/>
    </cacheField>
    <cacheField name="Investido" numFmtId="44">
      <sharedItems containsSemiMixedTypes="0" containsString="0" containsNumber="1" minValue="1654.3784826800002" maxValue="4822.267124"/>
    </cacheField>
    <cacheField name=" Atual" numFmtId="7">
      <sharedItems containsSemiMixedTypes="0" containsString="0" containsNumber="1" minValue="1635.8291944104001" maxValue="4413.098"/>
    </cacheField>
    <cacheField name="Rendimento" numFmtId="164">
      <sharedItems containsSemiMixedTypes="0" containsString="0" containsNumber="1" minValue="-8.4849949925751983E-2" maxValue="-1.1212483993554326E-2"/>
    </cacheField>
  </cacheFields>
  <extLst>
    <ext xmlns:x14="http://schemas.microsoft.com/office/spreadsheetml/2009/9/main" uri="{725AE2AE-9491-48be-B2B4-4EB974FC3084}">
      <x14:pivotCacheDefinition pivotCacheId="23588287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Henriques" refreshedDate="44358.720150578702" createdVersion="6" refreshedVersion="7" minRefreshableVersion="3" recordCount="3" xr:uid="{EE158958-D965-4FC2-B7AD-91AF5C750526}">
  <cacheSource type="worksheet">
    <worksheetSource name="Tabela_Acoes"/>
  </cacheSource>
  <cacheFields count="11">
    <cacheField name="Data" numFmtId="14">
      <sharedItems containsSemiMixedTypes="0" containsNonDate="0" containsDate="1" containsString="0" minDate="1899-12-31T00:00:00" maxDate="1900-01-12T00:00:00"/>
    </cacheField>
    <cacheField name="Corretora" numFmtId="49">
      <sharedItems count="4">
        <s v="Clear"/>
        <s v="1" u="1"/>
        <s v="RICO" u="1"/>
        <s v="Revolut" u="1"/>
      </sharedItems>
    </cacheField>
    <cacheField name="Bolsa" numFmtId="49">
      <sharedItems count="2">
        <s v="BVMF"/>
        <s v="NASDAQ" u="1"/>
      </sharedItems>
    </cacheField>
    <cacheField name="Moeda" numFmtId="49">
      <sharedItems count="2">
        <s v="BRL"/>
        <s v="USD" u="1"/>
      </sharedItems>
    </cacheField>
    <cacheField name="Ativo" numFmtId="49">
      <sharedItems count="8">
        <s v="SBFG3"/>
        <s v="VIVA3"/>
        <s v="VVAR3"/>
        <s v="GOLD11" u="1"/>
        <s v="NVDA" u="1"/>
        <s v="ABEV3" u="1"/>
        <s v="TSLA" u="1"/>
        <s v="CNTO3" u="1"/>
      </sharedItems>
    </cacheField>
    <cacheField name="Quantidade" numFmtId="0">
      <sharedItems containsSemiMixedTypes="0" containsString="0" containsNumber="1" containsInteger="1" minValue="9" maxValue="20"/>
    </cacheField>
    <cacheField name="Preço de Compra" numFmtId="7">
      <sharedItems containsSemiMixedTypes="0" containsString="0" containsNumber="1" minValue="12.49" maxValue="30.4"/>
    </cacheField>
    <cacheField name="Cotação Atual" numFmtId="7">
      <sharedItems containsSemiMixedTypes="0" containsString="0" containsNumber="1" minValue="14.57" maxValue="37.99"/>
    </cacheField>
    <cacheField name="Investido" numFmtId="7">
      <sharedItems containsSemiMixedTypes="0" containsString="0" containsNumber="1" minValue="210.6" maxValue="395.2"/>
    </cacheField>
    <cacheField name=" Atual" numFmtId="7">
      <sharedItems containsSemiMixedTypes="0" containsString="0" containsNumber="1" minValue="278.64" maxValue="493.87"/>
    </cacheField>
    <cacheField name="Rendimento" numFmtId="10">
      <sharedItems containsSemiMixedTypes="0" containsString="0" containsNumber="1" minValue="0.16653322658126501" maxValue="0.32307692307692309"/>
    </cacheField>
  </cacheFields>
  <extLst>
    <ext xmlns:x14="http://schemas.microsoft.com/office/spreadsheetml/2009/9/main" uri="{725AE2AE-9491-48be-B2B4-4EB974FC3084}">
      <x14:pivotCacheDefinition pivotCacheId="1268889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26/03/2021"/>
    <x v="0"/>
    <x v="0"/>
    <x v="0"/>
    <n v="0.16854627"/>
    <n v="9815.5770256600008"/>
    <n v="9705.52"/>
    <n v="1654.3784826800002"/>
    <n v="1635.8291944104001"/>
    <n v="-1.1212483993554326E-2"/>
  </r>
  <r>
    <s v="26/04/2021"/>
    <x v="0"/>
    <x v="0"/>
    <x v="1"/>
    <n v="832.66"/>
    <n v="5.7914000000000003"/>
    <n v="5.3"/>
    <n v="4822.267124"/>
    <n v="4413.098"/>
    <n v="-8.484994992575198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1900-01-11T00:00:00"/>
    <x v="0"/>
    <x v="0"/>
    <x v="0"/>
    <x v="0"/>
    <n v="13"/>
    <n v="30.4"/>
    <n v="37.99"/>
    <n v="395.2"/>
    <n v="493.87"/>
    <n v="0.24967105263157896"/>
  </r>
  <r>
    <d v="1900-01-02T00:00:00"/>
    <x v="0"/>
    <x v="0"/>
    <x v="0"/>
    <x v="1"/>
    <n v="9"/>
    <n v="23.4"/>
    <n v="30.96"/>
    <n v="210.6"/>
    <n v="278.64"/>
    <n v="0.32307692307692309"/>
  </r>
  <r>
    <d v="1899-12-31T00:00:00"/>
    <x v="0"/>
    <x v="0"/>
    <x v="0"/>
    <x v="2"/>
    <n v="20"/>
    <n v="12.49"/>
    <n v="14.57"/>
    <n v="249.8"/>
    <n v="291.39999999999998"/>
    <n v="0.16653322658126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763994-23B5-472C-9F0D-659E799B4060}" name="Tabela dinâ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B49:C52" firstHeaderRow="1" firstDataRow="1" firstDataCol="1"/>
  <pivotFields count="10"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numFmtId="49" showAll="0"/>
    <pivotField numFmtId="7" showAll="0"/>
    <pivotField numFmtId="169" showAll="0"/>
    <pivotField numFmtId="44" showAll="0"/>
    <pivotField dataField="1" numFmtId="7" showAll="0"/>
    <pivotField numFmtId="164"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 Atual" fld="8" baseField="0" baseItem="0"/>
  </dataFields>
  <formats count="6"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3" type="button" dataOnly="0" labelOnly="1" outline="0" axis="axisRow" fieldPosition="0"/>
    </format>
    <format dxfId="107">
      <pivotArea dataOnly="0" labelOnly="1" fieldPosition="0">
        <references count="1">
          <reference field="3" count="0"/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C4478-8445-43D6-AEAF-E287C4CA8B53}" name="Tabela dinâmica1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">
  <location ref="B24:D28" firstHeaderRow="0" firstDataRow="1" firstDataCol="1"/>
  <pivotFields count="11">
    <pivotField showAll="0"/>
    <pivotField showAll="0">
      <items count="5">
        <item h="1" m="1" x="1"/>
        <item x="0"/>
        <item h="1" m="1" x="3"/>
        <item h="1" m="1" x="2"/>
        <item t="default"/>
      </items>
    </pivotField>
    <pivotField showAll="0">
      <items count="3">
        <item x="0"/>
        <item m="1" x="1"/>
        <item t="default"/>
      </items>
    </pivotField>
    <pivotField showAll="0">
      <items count="3">
        <item x="0"/>
        <item h="1" m="1" x="1"/>
        <item t="default"/>
      </items>
    </pivotField>
    <pivotField axis="axisRow" showAll="0">
      <items count="9">
        <item m="1" x="7"/>
        <item m="1" x="3"/>
        <item m="1" x="4"/>
        <item m="1" x="6"/>
        <item x="1"/>
        <item x="2"/>
        <item m="1" x="5"/>
        <item x="0"/>
        <item t="default"/>
      </items>
    </pivotField>
    <pivotField showAll="0"/>
    <pivotField numFmtId="7" showAll="0"/>
    <pivotField numFmtId="7" showAll="0"/>
    <pivotField numFmtId="7" showAll="0"/>
    <pivotField dataField="1" numFmtId="7" showAll="0"/>
    <pivotField dataField="1" numFmtId="10" showAll="0"/>
  </pivotFields>
  <rowFields count="1">
    <field x="4"/>
  </rowFields>
  <rowItems count="4">
    <i>
      <x v="4"/>
    </i>
    <i>
      <x v="5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 Atual" fld="9" baseField="0" baseItem="0"/>
    <dataField name="Soma de Rendimento" fld="10" baseField="0" baseItem="0"/>
  </dataFields>
  <formats count="12"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4" type="button" dataOnly="0" labelOnly="1" outline="0" axis="axisRow" fieldPosition="0"/>
    </format>
    <format dxfId="119">
      <pivotArea dataOnly="0" labelOnly="1" fieldPosition="0">
        <references count="1">
          <reference field="4" count="0"/>
        </references>
      </pivotArea>
    </format>
    <format dxfId="118">
      <pivotArea dataOnly="0" labelOnly="1" grandRow="1" outline="0" fieldPosition="0"/>
    </format>
    <format dxfId="1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4" type="button" dataOnly="0" labelOnly="1" outline="0" axis="axisRow" fieldPosition="0"/>
    </format>
    <format dxfId="113">
      <pivotArea dataOnly="0" labelOnly="1" fieldPosition="0">
        <references count="1">
          <reference field="4" count="0"/>
        </references>
      </pivotArea>
    </format>
    <format dxfId="112">
      <pivotArea dataOnly="0" labelOnly="1" grandRow="1" outline="0" fieldPosition="0"/>
    </format>
    <format dxfId="1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3" xr16:uid="{23460698-C76D-4A5E-ADA8-4A69FB5F0743}" autoFormatId="16" applyNumberFormats="0" applyBorderFormats="0" applyFontFormats="0" applyPatternFormats="0" applyAlignmentFormats="0" applyWidthHeightFormats="0">
  <queryTableRefresh nextId="3">
    <queryTableFields count="2">
      <queryTableField id="1" name="Column13" tableColumnId="1"/>
      <queryTableField id="2" name="Column14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FB915CF7-15EB-438B-BF2B-84987B1057E0}" autoFormatId="16" applyNumberFormats="0" applyBorderFormats="0" applyFontFormats="0" applyPatternFormats="0" applyAlignmentFormats="0" applyWidthHeightFormats="0">
  <queryTableRefresh nextId="3">
    <queryTableFields count="2">
      <queryTableField id="1" name="Column3" tableColumnId="1"/>
      <queryTableField id="2" name="Column4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4" xr16:uid="{68ACE839-08EC-428A-A994-455C93819471}" autoFormatId="16" applyNumberFormats="0" applyBorderFormats="0" applyFontFormats="0" applyPatternFormats="0" applyAlignmentFormats="0" applyWidthHeightFormats="0">
  <queryTableRefresh nextId="3">
    <queryTableFields count="2">
      <queryTableField id="1" name="Column6" tableColumnId="1"/>
      <queryTableField id="2" name="Column7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5" xr16:uid="{7CE3F157-4812-4710-A2A3-58A96181ACEC}" autoFormatId="16" applyNumberFormats="0" applyBorderFormats="0" applyFontFormats="0" applyPatternFormats="0" applyAlignmentFormats="0" applyWidthHeightFormats="0">
  <queryTableRefresh nextId="4">
    <queryTableFields count="3">
      <queryTableField id="1" name="Column9" tableColumnId="1"/>
      <queryTableField id="2" name="Column10" tableColumnId="2"/>
      <queryTableField id="3" name="Column11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olsa" xr10:uid="{4B476C5B-CE52-4B39-A00B-3F0E69C2DD5E}" sourceName="Bolsa">
  <pivotTables>
    <pivotTable tabId="28" name="Tabela dinâmica1"/>
  </pivotTables>
  <data>
    <tabular pivotCacheId="12688891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rretora" xr10:uid="{E2A54A28-BC34-409A-8802-CC3BF73B5EA6}" sourceName="Corretora">
  <pivotTables>
    <pivotTable tabId="28" name="Tabela dinâmica1"/>
  </pivotTables>
  <data>
    <tabular pivotCacheId="126888917">
      <items count="4">
        <i x="0" s="1"/>
        <i x="1" nd="1"/>
        <i x="3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eda" xr10:uid="{48B384D1-4219-403C-9059-C663E71028B1}" sourceName="Moeda">
  <pivotTables>
    <pivotTable tabId="28" name="Tabela dinâmica1"/>
  </pivotTables>
  <data>
    <tabular pivotCacheId="126888917">
      <items count="2">
        <i x="0" s="1"/>
        <i x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change" xr10:uid="{814DFB5A-FF43-4409-8668-1525072AC4EA}" sourceName="Exchange">
  <pivotTables>
    <pivotTable tabId="28" name="Tabela dinâmica4"/>
  </pivotTables>
  <data>
    <tabular pivotCacheId="235882874">
      <items count="1"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eda1" xr10:uid="{A89662F6-EC49-43E4-B69D-A69A366ADA7E}" sourceName="Moeda">
  <pivotTables>
    <pivotTable tabId="28" name="Tabela dinâmica4"/>
  </pivotTables>
  <data>
    <tabular pivotCacheId="235882874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olsa" xr10:uid="{71AE43EF-B133-48EF-9C2F-B86A36A595A8}" cache="SegmentaçãodeDados_Bolsa" caption="Bolsa" rowHeight="241300"/>
  <slicer name="Corretora" xr10:uid="{E82B3B0B-F6B1-481C-808F-EF5012779DF0}" cache="SegmentaçãodeDados_Corretora" caption="Corretora" rowHeight="241300"/>
  <slicer name="Moeda" xr10:uid="{04F35B03-55E3-4332-A8CE-A0E627FF579E}" cache="SegmentaçãodeDados_Moeda" caption="Moeda" rowHeight="241300"/>
  <slicer name="Exchange" xr10:uid="{5722A2F9-693F-4159-AF10-EC25D39B86A9}" cache="SegmentaçãodeDados_Exchange" caption="Exchange" rowHeight="241300"/>
  <slicer name="Moeda 1" xr10:uid="{F5A13B43-F0DD-4E4A-98CA-0AD8FB7F111A}" cache="SegmentaçãodeDados_Moeda1" caption="Moeda" rowHeight="241300"/>
</slicer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8398B4-9AA9-48F0-B79C-539511203B99}" name="Tabela_Acoes" displayName="Tabela_Acoes" ref="B10:L13" headerRowDxfId="235" dataDxfId="233" totalsRowDxfId="231" headerRowBorderDxfId="234" tableBorderDxfId="232" dataCellStyle="Moeda">
  <autoFilter ref="B10:L13" xr:uid="{D9FC167B-F921-41D6-A885-06CD9A7D01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D08F99B-08A6-4AD8-9BED-9A8D7604D92C}" name="Data" totalsRowLabel="Total" dataDxfId="230" totalsRowDxfId="229"/>
    <tableColumn id="2" xr3:uid="{25F064F2-EF5A-42F9-9786-ED305EB060E9}" name="Corretora" dataDxfId="228" totalsRowDxfId="227"/>
    <tableColumn id="3" xr3:uid="{104CC890-29CF-491E-9F27-46C0BEB72A1F}" name="Bolsa" dataDxfId="226" totalsRowDxfId="225"/>
    <tableColumn id="10" xr3:uid="{E4C3FE5E-B89F-4B59-A533-87AE24A47ACB}" name="Moeda" dataDxfId="224" totalsRowDxfId="223"/>
    <tableColumn id="4" xr3:uid="{9E204908-5EA7-4966-BE22-0C0CE42DBA06}" name="Ativo" dataDxfId="222" dataCellStyle="Moeda"/>
    <tableColumn id="5" xr3:uid="{691D1665-1210-43D8-B033-4FCEDCEA83C0}" name="Quantidade" dataDxfId="221" totalsRowDxfId="220" dataCellStyle="Moeda"/>
    <tableColumn id="6" xr3:uid="{7C1AFDFD-4954-4D6C-8C10-906F5EC54E8E}" name="Preço de Compra" dataDxfId="219" totalsRowDxfId="218" dataCellStyle="Moeda"/>
    <tableColumn id="7" xr3:uid="{F60B0B8D-0892-490E-9372-D0584D9C553A}" name="Cotação Atual" dataDxfId="217" totalsRowDxfId="216" dataCellStyle="Moeda"/>
    <tableColumn id="8" xr3:uid="{A9A250F5-064C-4471-B5EB-53BB61AE3FB3}" name="Investido" dataDxfId="215" totalsRowDxfId="214" dataCellStyle="Moeda"/>
    <tableColumn id="9" xr3:uid="{5CB00849-30A0-41A3-AAC0-5626FB791175}" name=" Atual" totalsRowFunction="sum" dataDxfId="213" totalsRowDxfId="212" dataCellStyle="Moeda"/>
    <tableColumn id="11" xr3:uid="{5B1892E5-D7E6-497E-893B-2C8724523BD4}" name="Rendimento" dataDxfId="211" totalsRowDxfId="210" dataCellStyle="Porcentagem"/>
  </tableColumns>
  <tableStyleInfo name="TableStyleMedium2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7860BA-71B2-4970-8049-4001DB51FF79}" name="Tabela_Fundos" displayName="Tabela_Fundos" ref="B10:L11" insertRow="1" headerRowDxfId="209" dataDxfId="207" totalsRowDxfId="205" headerRowBorderDxfId="208" tableBorderDxfId="206" dataCellStyle="Moeda">
  <autoFilter ref="B10:L11" xr:uid="{D9FC167B-F921-41D6-A885-06CD9A7D01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76D84DDB-4C9A-4F09-87DB-FE3857E5A954}" name="Data" totalsRowLabel="Total" dataDxfId="204" totalsRowDxfId="203"/>
    <tableColumn id="2" xr3:uid="{611E75BC-50C0-407E-BB3C-0E11AE970256}" name="Corretora" dataDxfId="202" totalsRowDxfId="201"/>
    <tableColumn id="3" xr3:uid="{F4A8F638-3DA4-47DE-824D-8E2D2FB27538}" name="Bolsa" dataDxfId="200" totalsRowDxfId="199"/>
    <tableColumn id="10" xr3:uid="{8768AF52-1A05-4299-8881-926FCBF63EBB}" name="Moeda" dataDxfId="198" totalsRowDxfId="197"/>
    <tableColumn id="4" xr3:uid="{933E2EA7-B212-4296-8FD7-A60A78B384D6}" name="Ativo" dataDxfId="196" dataCellStyle="Moeda"/>
    <tableColumn id="5" xr3:uid="{5103E9BF-6161-40F5-A608-8FAE4DAB0EA1}" name="Quantidade" dataDxfId="195" totalsRowDxfId="194" dataCellStyle="Moeda"/>
    <tableColumn id="6" xr3:uid="{49EE8326-6D24-4F3A-89D0-A7A9E13A9E96}" name="Preço de Compra" dataDxfId="193" totalsRowDxfId="192" dataCellStyle="Moeda"/>
    <tableColumn id="7" xr3:uid="{89246BD0-BC3C-4C13-841A-B76656118A47}" name="Cotação Atual" dataDxfId="191" totalsRowDxfId="190" dataCellStyle="Moeda"/>
    <tableColumn id="8" xr3:uid="{087CE1BB-9EE6-486E-B896-3E35307C7DA8}" name="Investido" dataDxfId="189" totalsRowDxfId="188" dataCellStyle="Moeda"/>
    <tableColumn id="9" xr3:uid="{9084B631-32EC-43AE-ACBB-A90711C4D0B5}" name=" Atual" totalsRowFunction="sum" dataDxfId="187" totalsRowDxfId="186" dataCellStyle="Moeda"/>
    <tableColumn id="11" xr3:uid="{16067500-6975-44E5-B3F9-9D27F2E32C7C}" name="Rendimento" dataDxfId="185" totalsRowDxfId="184" dataCellStyle="Porcentagem"/>
  </tableColumns>
  <tableStyleInfo name="TableStyleMedium24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EE5999-F413-4962-9137-760117C50B10}" name="Tabela_Tesouro" displayName="Tabela_Tesouro" ref="B10:G12" headerRowDxfId="183" dataDxfId="181" totalsRowDxfId="179" headerRowBorderDxfId="182" tableBorderDxfId="180" dataCellStyle="Moeda">
  <autoFilter ref="B10:G12" xr:uid="{D9FC167B-F921-41D6-A885-06CD9A7D01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EDC8437-06E2-42B8-B057-DA5508EC9444}" name="Data" totalsRowLabel="Total" dataDxfId="178" totalsRowDxfId="177"/>
    <tableColumn id="2" xr3:uid="{36A80A79-F6FB-4175-B316-C3A9926255B4}" name="Instituição" dataDxfId="176" totalsRowDxfId="175"/>
    <tableColumn id="3" xr3:uid="{B7B2E388-C68F-43B6-BE73-A4DDE344BF28}" name="Nome" dataDxfId="174" totalsRowDxfId="173"/>
    <tableColumn id="4" xr3:uid="{4A5B38AD-3B88-49BE-AADE-F098F3CF8DC5}" name="Montante Investido" dataDxfId="172" totalsRowDxfId="171" dataCellStyle="Moeda"/>
    <tableColumn id="5" xr3:uid="{899739E5-83D8-4E7F-B4C7-BB9639E2A2BB}" name="Montante Atual" dataDxfId="170" totalsRowDxfId="169" dataCellStyle="Moeda"/>
    <tableColumn id="6" xr3:uid="{6FCDA941-3060-4784-A79F-9D76B21AD7E7}" name="Rendimento" dataDxfId="168" totalsRowDxfId="167" dataCellStyle="Moeda"/>
  </tableColumns>
  <tableStyleInfo name="TableStyleMedium24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28E95C-244A-4BC7-AB43-3391C67AC78A}" name="Tabela_Crypto" displayName="Tabela_Crypto" ref="B10:K13" headerRowDxfId="166" dataDxfId="164" totalsRowDxfId="162" headerRowBorderDxfId="165" tableBorderDxfId="163" dataCellStyle="Moeda">
  <autoFilter ref="B10:K13" xr:uid="{D9FC167B-F921-41D6-A885-06CD9A7D01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B8C15561-01A2-4FA6-9E1A-713AE2530E7D}" name="Data" totalsRowLabel="Total" dataDxfId="161" totalsRowDxfId="160"/>
    <tableColumn id="2" xr3:uid="{3EA23F00-2D57-4128-9701-15C2D1144552}" name="Exchange" dataDxfId="159" totalsRowDxfId="158"/>
    <tableColumn id="10" xr3:uid="{BBC596FF-F4FB-489F-90E3-EF97EB9B5CB4}" name="Moeda" dataDxfId="157" totalsRowDxfId="156"/>
    <tableColumn id="4" xr3:uid="{46B35B30-EF48-4E36-A20A-4527A0D71027}" name="Ativo" dataDxfId="155" dataCellStyle="Moeda"/>
    <tableColumn id="5" xr3:uid="{E93CAAE5-F336-43CF-BA8E-3E7C23F17BDD}" name="Quantidade" dataDxfId="154" totalsRowDxfId="153" dataCellStyle="Moeda"/>
    <tableColumn id="6" xr3:uid="{21A84AFF-2DB0-41B5-A2E5-EC5C4C975958}" name="Preço de Compra" dataDxfId="152" totalsRowDxfId="151" dataCellStyle="Moeda"/>
    <tableColumn id="7" xr3:uid="{47D0B3FA-279E-4B50-964F-7401B499EF4C}" name="Cotação Atual" dataDxfId="150" totalsRowDxfId="149" dataCellStyle="Moeda"/>
    <tableColumn id="8" xr3:uid="{41F94BAF-D0C3-4F5F-A2B1-4C83F426A679}" name="Investido" dataDxfId="148" dataCellStyle="Moeda"/>
    <tableColumn id="9" xr3:uid="{0EF63EAA-83B8-4088-9501-DD10A5C4F11C}" name=" Atual" totalsRowFunction="sum" dataDxfId="147" totalsRowDxfId="146" dataCellStyle="Moeda"/>
    <tableColumn id="11" xr3:uid="{0B2A6C2B-88B5-49A7-A43F-2A327AF78C27}" name="Rendimento" dataDxfId="145" totalsRowDxfId="144" dataCellStyle="Porcentagem"/>
  </tableColumns>
  <tableStyleInfo name="TableStyleMedium24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30966B-CA3F-40E2-B11D-2D55896980F6}" name="Tabela_Caixa" displayName="Tabela_Caixa" ref="B10:I11" headerRowDxfId="143" dataDxfId="141" totalsRowDxfId="139" headerRowBorderDxfId="142" tableBorderDxfId="140" dataCellStyle="Moeda">
  <autoFilter ref="B10:I11" xr:uid="{D9FC167B-F921-41D6-A885-06CD9A7D01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4D8B7F-782B-4B90-99E9-D9DE998D8D90}" name="Data" totalsRowLabel="Total" dataDxfId="138" totalsRowDxfId="137"/>
    <tableColumn id="2" xr3:uid="{43E576D1-F8C0-4C01-ABC5-D85260AC7106}" name="Instituição" dataDxfId="136" totalsRowDxfId="135"/>
    <tableColumn id="8" xr3:uid="{4105A9DA-59CE-472A-9A65-4ED7BE40BE51}" name="Moeda" dataDxfId="134" totalsRowDxfId="133"/>
    <tableColumn id="3" xr3:uid="{33A531E8-E41F-42C8-9EC8-E74436DD5214}" name="Ativo" dataDxfId="132" totalsRowDxfId="131"/>
    <tableColumn id="4" xr3:uid="{16C51495-56D2-4662-A985-E80C6E6F9D6F}" name="Rendimento Anual" dataDxfId="130" totalsRowDxfId="129" dataCellStyle="Porcentagem"/>
    <tableColumn id="5" xr3:uid="{DDE8D60F-0A8E-4A6E-A2B9-691AEB4AE35E}" name=" Investido" dataDxfId="128" totalsRowDxfId="127" dataCellStyle="Moeda"/>
    <tableColumn id="6" xr3:uid="{2EE06956-18CC-4201-9118-409FEC089739}" name=" Atual" dataDxfId="126" totalsRowDxfId="125" dataCellStyle="Moeda"/>
    <tableColumn id="12" xr3:uid="{7EFA2D38-D213-4274-B93B-0FA39591544E}" name="Rendimento" dataDxfId="124" totalsRowDxfId="123" dataCellStyle="Porcentagem"/>
  </tableColumns>
  <tableStyleInfo name="TableStyleMedium24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C6CB731-E1FA-4647-9C47-A319D3445624}" name="BDD_Acoes_EUA" displayName="BDD_Acoes_EUA" ref="A1:B3396" tableType="queryTable" totalsRowShown="0">
  <autoFilter ref="A1:B3396" xr:uid="{87B237EC-1217-491F-BAA1-5575A950B4DC}"/>
  <tableColumns count="2">
    <tableColumn id="1" xr3:uid="{869B454E-CC70-46A7-B30F-BB928D8F11CF}" uniqueName="1" name="Column13" queryTableFieldId="1" dataDxfId="8"/>
    <tableColumn id="2" xr3:uid="{870B8BF0-8008-48E2-9298-F4607C88B7EB}" uniqueName="2" name="Column14" queryTableFieldId="2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283C5-CC5A-4F16-AC9E-CC799F278F11}" name="BDD_Acoes" displayName="BDD_Acoes" ref="A1:B443" tableType="queryTable" totalsRowShown="0">
  <autoFilter ref="A1:B443" xr:uid="{C7553663-0681-4FEF-9DE9-98FB05D3AD3D}"/>
  <sortState xmlns:xlrd2="http://schemas.microsoft.com/office/spreadsheetml/2017/richdata2" ref="A2:B443">
    <sortCondition ref="A1:A443"/>
  </sortState>
  <tableColumns count="2">
    <tableColumn id="1" xr3:uid="{050813C1-8668-41A0-A932-245D79E3AF1C}" uniqueName="1" name="Column3" queryTableFieldId="1" dataDxfId="1"/>
    <tableColumn id="2" xr3:uid="{BC4FA049-339A-4B74-8A80-4F3A6E717F52}" uniqueName="2" name="Column4" queryTableFieldId="2" dataDxfId="0" dataCellStyle="Moe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7D7998-D19D-4A8F-A8D5-090B53C46879}" name="BDD_Fundos" displayName="BDD_Fundos" ref="A1:B67" tableType="queryTable" totalsRowShown="0">
  <autoFilter ref="A1:B67" xr:uid="{1C712E60-66E4-4B79-8581-B59B9F07C231}"/>
  <sortState xmlns:xlrd2="http://schemas.microsoft.com/office/spreadsheetml/2017/richdata2" ref="A2:B67">
    <sortCondition ref="A1:A67"/>
  </sortState>
  <tableColumns count="2">
    <tableColumn id="1" xr3:uid="{7F699778-670F-42EB-8F48-8AED65FE50B3}" uniqueName="1" name="Column6" queryTableFieldId="1" dataDxfId="3"/>
    <tableColumn id="2" xr3:uid="{ECD34DA5-1FE3-45BF-996C-C62BFEA87D80}" uniqueName="2" name="Column7" queryTableFieldId="2" dataDxfId="2" dataCellStyle="Moeda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55A5A1-15F4-4321-80A5-9B244999D5F1}" name="BDD_Moedas" displayName="BDD_Moedas" ref="A1:C82" tableType="queryTable" totalsRowShown="0">
  <autoFilter ref="A1:C82" xr:uid="{60581A5A-4C0E-4691-A4B1-458B4EA31460}"/>
  <sortState xmlns:xlrd2="http://schemas.microsoft.com/office/spreadsheetml/2017/richdata2" ref="A2:C82">
    <sortCondition ref="A1:A82"/>
  </sortState>
  <tableColumns count="3">
    <tableColumn id="1" xr3:uid="{B61304DC-3B02-4A76-AF57-EBA610BE7C97}" uniqueName="1" name="Column9" queryTableFieldId="1" dataDxfId="6"/>
    <tableColumn id="2" xr3:uid="{8FB82485-68F8-4F4D-B7A9-25C92603F96D}" uniqueName="2" name="Column10" queryTableFieldId="2" dataDxfId="5"/>
    <tableColumn id="3" xr3:uid="{686C9169-ECCB-4195-9AD6-C9E229C31144}" uniqueName="3" name="Column11" queryTableFieldId="3" dataDxfId="4" dataCellStyle="Moeda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4568A5-5874-49C1-BC4A-534161A9D9F7}" name="BDD_Crypto" displayName="BDD_Crypto" ref="A1:A301" totalsRowShown="0">
  <autoFilter ref="A1:A301" xr:uid="{866FC535-ECFE-4F17-BD15-9C6D7E81CB76}"/>
  <tableColumns count="1">
    <tableColumn id="1" xr3:uid="{5C1FEFF3-47FA-4586-8EF6-55D1C4A913D8}" name="Coluna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A2F46-9529-4CB9-B9B8-2F9E99B1F1BA}">
  <sheetPr codeName="Planilha5"/>
  <dimension ref="B3:J1048547"/>
  <sheetViews>
    <sheetView zoomScale="87" zoomScaleNormal="87" workbookViewId="0"/>
  </sheetViews>
  <sheetFormatPr defaultRowHeight="15" x14ac:dyDescent="0.25"/>
  <cols>
    <col min="1" max="1" width="4.7109375" style="2" customWidth="1"/>
    <col min="2" max="2" width="18.7109375" style="2" bestFit="1" customWidth="1"/>
    <col min="3" max="3" width="22.85546875" style="2" customWidth="1"/>
    <col min="4" max="4" width="16.28515625" style="2" customWidth="1"/>
    <col min="5" max="5" width="22" style="2" customWidth="1"/>
    <col min="6" max="6" width="28" style="2" customWidth="1"/>
    <col min="7" max="7" width="24.85546875" style="2" customWidth="1"/>
    <col min="8" max="8" width="28.28515625" style="2" customWidth="1"/>
    <col min="9" max="9" width="24.5703125" style="2" bestFit="1" customWidth="1"/>
    <col min="10" max="10" width="24" style="2" customWidth="1"/>
    <col min="11" max="16384" width="9.140625" style="2"/>
  </cols>
  <sheetData>
    <row r="3" spans="2:10" ht="18.75" x14ac:dyDescent="0.3">
      <c r="B3" s="12"/>
      <c r="G3" s="5"/>
      <c r="H3" s="6"/>
      <c r="I3" s="4"/>
    </row>
    <row r="4" spans="2:10" ht="18.75" x14ac:dyDescent="0.3">
      <c r="B4" s="12"/>
      <c r="G4" s="5"/>
      <c r="H4" s="6"/>
      <c r="I4" s="4"/>
    </row>
    <row r="5" spans="2:10" ht="18.75" x14ac:dyDescent="0.3">
      <c r="B5" s="12"/>
      <c r="G5" s="5"/>
      <c r="H5" s="6"/>
      <c r="I5" s="4"/>
    </row>
    <row r="6" spans="2:10" s="13" customFormat="1" ht="18.75" x14ac:dyDescent="0.25">
      <c r="B6" s="15"/>
      <c r="F6" s="16"/>
      <c r="G6" s="17"/>
      <c r="H6" s="14"/>
      <c r="I6" s="18"/>
    </row>
    <row r="7" spans="2:10" ht="19.5" customHeight="1" x14ac:dyDescent="0.25">
      <c r="B7" s="59"/>
      <c r="C7" s="59"/>
      <c r="D7" s="59"/>
      <c r="E7" s="59"/>
      <c r="F7" s="59"/>
      <c r="G7" s="59"/>
      <c r="H7" s="59"/>
      <c r="I7" s="59"/>
      <c r="J7" s="59"/>
    </row>
    <row r="8" spans="2:10" ht="15" customHeight="1" x14ac:dyDescent="0.25">
      <c r="B8" s="59"/>
      <c r="C8" s="59"/>
      <c r="D8" s="59"/>
      <c r="E8" s="59"/>
      <c r="F8" s="59"/>
      <c r="G8" s="59"/>
      <c r="H8" s="59"/>
      <c r="I8" s="59"/>
      <c r="J8" s="59"/>
    </row>
    <row r="9" spans="2:10" ht="19.5" customHeight="1" x14ac:dyDescent="0.25">
      <c r="B9" s="59"/>
      <c r="C9" s="59"/>
      <c r="D9" s="59"/>
      <c r="E9" s="59"/>
      <c r="F9" s="59"/>
      <c r="G9" s="59"/>
      <c r="H9" s="59"/>
      <c r="I9" s="59"/>
      <c r="J9" s="59"/>
    </row>
    <row r="10" spans="2:10" ht="22.5" x14ac:dyDescent="0.25">
      <c r="B10" s="58"/>
      <c r="C10" s="58"/>
      <c r="D10" s="58"/>
      <c r="E10" s="58"/>
      <c r="F10" s="58"/>
      <c r="G10" s="58"/>
      <c r="H10" s="58"/>
      <c r="I10" s="58"/>
      <c r="J10" s="58"/>
    </row>
    <row r="11" spans="2:10" ht="18.75" x14ac:dyDescent="0.25">
      <c r="B11" s="11"/>
      <c r="C11" s="50"/>
      <c r="D11" s="50"/>
      <c r="E11" s="55"/>
      <c r="F11" s="56"/>
      <c r="G11" s="56"/>
      <c r="H11" s="56"/>
      <c r="I11" s="56"/>
      <c r="J11" s="57"/>
    </row>
    <row r="12" spans="2:10" ht="18.75" x14ac:dyDescent="0.25">
      <c r="B12" s="9"/>
      <c r="C12" s="50"/>
      <c r="D12" s="49"/>
      <c r="E12" s="49"/>
      <c r="F12" s="10"/>
      <c r="G12" s="10"/>
      <c r="H12" s="10"/>
      <c r="I12" s="10"/>
      <c r="J12" s="51"/>
    </row>
    <row r="13" spans="2:10" ht="18.75" x14ac:dyDescent="0.25">
      <c r="B13" s="9"/>
      <c r="C13" s="49"/>
      <c r="D13" s="49"/>
      <c r="E13" s="49"/>
      <c r="F13" s="10"/>
      <c r="G13" s="10"/>
      <c r="H13" s="10"/>
      <c r="I13" s="10"/>
      <c r="J13" s="51"/>
    </row>
    <row r="14" spans="2:10" ht="18.75" x14ac:dyDescent="0.25">
      <c r="B14" s="9"/>
      <c r="C14" s="49"/>
      <c r="D14" s="49"/>
      <c r="E14" s="49"/>
      <c r="F14" s="10"/>
      <c r="G14" s="10"/>
      <c r="H14" s="10"/>
      <c r="I14" s="10"/>
      <c r="J14" s="51"/>
    </row>
    <row r="15" spans="2:10" ht="18.75" x14ac:dyDescent="0.25">
      <c r="B15" s="9"/>
      <c r="C15" s="49"/>
      <c r="D15" s="49"/>
      <c r="E15" s="49"/>
      <c r="F15" s="10"/>
      <c r="G15" s="10"/>
      <c r="H15" s="10"/>
      <c r="I15" s="10"/>
      <c r="J15" s="51"/>
    </row>
    <row r="1048542" spans="2:2" x14ac:dyDescent="0.25">
      <c r="B1048542" s="3"/>
    </row>
    <row r="1048547" spans="3:3" x14ac:dyDescent="0.25">
      <c r="C1048547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0FF68-CBD2-441F-AAF6-2330A30CD664}">
  <sheetPr codeName="Planilha4"/>
  <dimension ref="B3:L1048525"/>
  <sheetViews>
    <sheetView zoomScale="87" zoomScaleNormal="87" workbookViewId="0"/>
  </sheetViews>
  <sheetFormatPr defaultRowHeight="15" x14ac:dyDescent="0.25"/>
  <cols>
    <col min="1" max="1" width="4" style="2" customWidth="1"/>
    <col min="2" max="2" width="17.140625" style="2" customWidth="1"/>
    <col min="3" max="3" width="17" style="2" customWidth="1"/>
    <col min="4" max="4" width="14.42578125" style="2" customWidth="1"/>
    <col min="5" max="5" width="13.5703125" style="2" customWidth="1"/>
    <col min="6" max="6" width="15.140625" style="2" customWidth="1"/>
    <col min="7" max="7" width="21.140625" style="2" customWidth="1"/>
    <col min="8" max="8" width="27.5703125" style="2" customWidth="1"/>
    <col min="9" max="9" width="25.140625" style="2" customWidth="1"/>
    <col min="10" max="10" width="19.85546875" style="2" customWidth="1"/>
    <col min="11" max="11" width="16.7109375" style="2" customWidth="1"/>
    <col min="12" max="12" width="22.7109375" style="2" customWidth="1"/>
    <col min="13" max="16384" width="9.140625" style="2"/>
  </cols>
  <sheetData>
    <row r="3" spans="2:12" ht="18.75" x14ac:dyDescent="0.3">
      <c r="B3" s="12"/>
      <c r="H3" s="5"/>
      <c r="I3" s="6"/>
      <c r="J3" s="4"/>
    </row>
    <row r="4" spans="2:12" ht="18.75" x14ac:dyDescent="0.3">
      <c r="B4" s="12"/>
      <c r="H4" s="5"/>
      <c r="I4" s="6"/>
      <c r="J4" s="4"/>
    </row>
    <row r="5" spans="2:12" ht="18.75" x14ac:dyDescent="0.3">
      <c r="B5" s="12"/>
      <c r="H5" s="5"/>
      <c r="I5" s="6"/>
      <c r="J5" s="4"/>
    </row>
    <row r="6" spans="2:12" s="13" customFormat="1" ht="18.75" customHeight="1" x14ac:dyDescent="0.25">
      <c r="B6" s="67"/>
      <c r="C6" s="60"/>
      <c r="D6" s="60"/>
      <c r="E6" s="60"/>
      <c r="F6" s="60"/>
      <c r="G6" s="61"/>
      <c r="H6" s="62"/>
      <c r="I6" s="63"/>
      <c r="J6" s="62"/>
      <c r="K6" s="60"/>
      <c r="L6" s="60"/>
    </row>
    <row r="7" spans="2:12" ht="19.5" customHeight="1" x14ac:dyDescent="0.25">
      <c r="B7" s="104" t="s">
        <v>903</v>
      </c>
      <c r="C7" s="104"/>
      <c r="D7" s="104"/>
      <c r="E7" s="104"/>
      <c r="F7" s="104"/>
      <c r="G7" s="104"/>
      <c r="H7" s="104"/>
      <c r="I7" s="104"/>
      <c r="J7" s="104"/>
      <c r="K7" s="104"/>
      <c r="L7" s="104"/>
    </row>
    <row r="8" spans="2:12" ht="15" customHeight="1" x14ac:dyDescent="0.25"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</row>
    <row r="9" spans="2:12" ht="19.5" customHeight="1" thickBot="1" x14ac:dyDescent="0.3"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</row>
    <row r="10" spans="2:12" ht="23.25" thickBot="1" x14ac:dyDescent="0.3">
      <c r="B10" s="43" t="s">
        <v>306</v>
      </c>
      <c r="C10" s="43" t="s">
        <v>901</v>
      </c>
      <c r="D10" s="43" t="s">
        <v>4242</v>
      </c>
      <c r="E10" s="43" t="s">
        <v>4260</v>
      </c>
      <c r="F10" s="43" t="s">
        <v>303</v>
      </c>
      <c r="G10" s="43" t="s">
        <v>304</v>
      </c>
      <c r="H10" s="43" t="s">
        <v>4261</v>
      </c>
      <c r="I10" s="43" t="s">
        <v>497</v>
      </c>
      <c r="J10" s="43" t="s">
        <v>902</v>
      </c>
      <c r="K10" s="43" t="s">
        <v>907</v>
      </c>
      <c r="L10" s="43" t="s">
        <v>307</v>
      </c>
    </row>
    <row r="11" spans="2:12" ht="18.75" x14ac:dyDescent="0.25">
      <c r="B11" s="11">
        <v>12</v>
      </c>
      <c r="C11" s="50" t="s">
        <v>909</v>
      </c>
      <c r="D11" s="50" t="s">
        <v>4243</v>
      </c>
      <c r="E11" s="50" t="s">
        <v>599</v>
      </c>
      <c r="F11" s="50" t="s">
        <v>4352</v>
      </c>
      <c r="G11" s="53">
        <v>13</v>
      </c>
      <c r="H11" s="10">
        <v>30.4</v>
      </c>
      <c r="I11" s="10">
        <v>37.99</v>
      </c>
      <c r="J11" s="10">
        <v>395.2</v>
      </c>
      <c r="K11" s="10">
        <v>493.87</v>
      </c>
      <c r="L11" s="72">
        <v>0.24967105263157896</v>
      </c>
    </row>
    <row r="12" spans="2:12" ht="18.75" x14ac:dyDescent="0.25">
      <c r="B12" s="9">
        <v>3</v>
      </c>
      <c r="C12" s="49" t="s">
        <v>909</v>
      </c>
      <c r="D12" s="50" t="s">
        <v>4243</v>
      </c>
      <c r="E12" s="55" t="s">
        <v>599</v>
      </c>
      <c r="F12" s="49" t="s">
        <v>308</v>
      </c>
      <c r="G12" s="49">
        <v>9</v>
      </c>
      <c r="H12" s="10">
        <v>23.4</v>
      </c>
      <c r="I12" s="10">
        <v>30.96</v>
      </c>
      <c r="J12" s="10">
        <v>210.6</v>
      </c>
      <c r="K12" s="10">
        <v>278.64</v>
      </c>
      <c r="L12" s="72">
        <v>0.32307692307692309</v>
      </c>
    </row>
    <row r="13" spans="2:12" ht="18.75" x14ac:dyDescent="0.25">
      <c r="B13" s="9">
        <v>1</v>
      </c>
      <c r="C13" s="49" t="s">
        <v>909</v>
      </c>
      <c r="D13" s="50" t="s">
        <v>4243</v>
      </c>
      <c r="E13" s="55" t="s">
        <v>599</v>
      </c>
      <c r="F13" s="49" t="s">
        <v>293</v>
      </c>
      <c r="G13" s="53">
        <v>20</v>
      </c>
      <c r="H13" s="10">
        <v>12.49</v>
      </c>
      <c r="I13" s="10">
        <v>14.57</v>
      </c>
      <c r="J13" s="10">
        <v>249.8</v>
      </c>
      <c r="K13" s="10">
        <v>291.39999999999998</v>
      </c>
      <c r="L13" s="72">
        <v>0.16653322658126501</v>
      </c>
    </row>
    <row r="15" spans="2:12" x14ac:dyDescent="0.25">
      <c r="H15" s="69"/>
    </row>
    <row r="1048520" spans="2:3" x14ac:dyDescent="0.25">
      <c r="B1048520" s="3"/>
    </row>
    <row r="1048525" spans="2:3" x14ac:dyDescent="0.25">
      <c r="C1048525" s="3"/>
    </row>
  </sheetData>
  <mergeCells count="1">
    <mergeCell ref="B7:L9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6FA35-CC9A-4D41-9295-AAA72DF6BB07}">
  <sheetPr codeName="Planilha12"/>
  <dimension ref="B3:L1048523"/>
  <sheetViews>
    <sheetView zoomScale="87" zoomScaleNormal="87" workbookViewId="0"/>
  </sheetViews>
  <sheetFormatPr defaultRowHeight="15" x14ac:dyDescent="0.25"/>
  <cols>
    <col min="1" max="1" width="4" style="2" customWidth="1"/>
    <col min="2" max="2" width="17.140625" style="2" customWidth="1"/>
    <col min="3" max="3" width="17" style="2" customWidth="1"/>
    <col min="4" max="4" width="14.42578125" style="2" customWidth="1"/>
    <col min="5" max="5" width="13.5703125" style="2" customWidth="1"/>
    <col min="6" max="6" width="15.140625" style="2" customWidth="1"/>
    <col min="7" max="7" width="21.140625" style="2" customWidth="1"/>
    <col min="8" max="8" width="27.5703125" style="2" customWidth="1"/>
    <col min="9" max="9" width="25.140625" style="2" customWidth="1"/>
    <col min="10" max="10" width="19.85546875" style="2" customWidth="1"/>
    <col min="11" max="11" width="16.7109375" style="2" customWidth="1"/>
    <col min="12" max="12" width="22.7109375" style="2" customWidth="1"/>
    <col min="13" max="16384" width="9.140625" style="2"/>
  </cols>
  <sheetData>
    <row r="3" spans="2:12" ht="18.75" x14ac:dyDescent="0.3">
      <c r="B3" s="12"/>
      <c r="H3" s="5"/>
      <c r="I3" s="6"/>
      <c r="J3" s="4"/>
    </row>
    <row r="4" spans="2:12" ht="18.75" x14ac:dyDescent="0.3">
      <c r="B4" s="12"/>
      <c r="H4" s="5"/>
      <c r="I4" s="6"/>
      <c r="J4" s="4"/>
    </row>
    <row r="5" spans="2:12" ht="18.75" x14ac:dyDescent="0.3">
      <c r="B5" s="12"/>
      <c r="H5" s="5"/>
      <c r="I5" s="6"/>
      <c r="J5" s="4"/>
    </row>
    <row r="6" spans="2:12" s="13" customFormat="1" ht="18.75" customHeight="1" x14ac:dyDescent="0.25">
      <c r="B6" s="67"/>
      <c r="C6" s="60"/>
      <c r="D6" s="60"/>
      <c r="E6" s="60"/>
      <c r="F6" s="60"/>
      <c r="G6" s="61"/>
      <c r="H6" s="62"/>
      <c r="I6" s="63"/>
      <c r="J6" s="62"/>
      <c r="K6" s="60"/>
      <c r="L6" s="60"/>
    </row>
    <row r="7" spans="2:12" ht="19.5" customHeight="1" x14ac:dyDescent="0.25">
      <c r="B7" s="104" t="s">
        <v>4278</v>
      </c>
      <c r="C7" s="104"/>
      <c r="D7" s="104"/>
      <c r="E7" s="104"/>
      <c r="F7" s="104"/>
      <c r="G7" s="104"/>
      <c r="H7" s="104"/>
      <c r="I7" s="104"/>
      <c r="J7" s="104"/>
      <c r="K7" s="104"/>
      <c r="L7" s="104"/>
    </row>
    <row r="8" spans="2:12" ht="15" customHeight="1" x14ac:dyDescent="0.25"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</row>
    <row r="9" spans="2:12" ht="19.5" customHeight="1" thickBot="1" x14ac:dyDescent="0.3"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</row>
    <row r="10" spans="2:12" ht="23.25" thickBot="1" x14ac:dyDescent="0.3">
      <c r="B10" s="43" t="s">
        <v>306</v>
      </c>
      <c r="C10" s="43" t="s">
        <v>901</v>
      </c>
      <c r="D10" s="43" t="s">
        <v>4242</v>
      </c>
      <c r="E10" s="43" t="s">
        <v>4260</v>
      </c>
      <c r="F10" s="43" t="s">
        <v>303</v>
      </c>
      <c r="G10" s="43" t="s">
        <v>304</v>
      </c>
      <c r="H10" s="43" t="s">
        <v>4261</v>
      </c>
      <c r="I10" s="43" t="s">
        <v>497</v>
      </c>
      <c r="J10" s="43" t="s">
        <v>902</v>
      </c>
      <c r="K10" s="43" t="s">
        <v>907</v>
      </c>
      <c r="L10" s="43" t="s">
        <v>307</v>
      </c>
    </row>
    <row r="11" spans="2:12" ht="18.75" x14ac:dyDescent="0.25">
      <c r="B11" s="70"/>
      <c r="C11" s="71"/>
      <c r="D11" s="65"/>
      <c r="E11" s="55"/>
      <c r="F11" s="66"/>
      <c r="G11" s="10"/>
      <c r="H11" s="10"/>
      <c r="I11" s="10"/>
      <c r="J11" s="10"/>
      <c r="K11" s="10"/>
      <c r="L11" s="51"/>
    </row>
    <row r="13" spans="2:12" x14ac:dyDescent="0.25">
      <c r="H13" s="69"/>
    </row>
    <row r="1048518" spans="2:3" x14ac:dyDescent="0.25">
      <c r="B1048518" s="3"/>
    </row>
    <row r="1048523" spans="2:3" x14ac:dyDescent="0.25">
      <c r="C1048523" s="3"/>
    </row>
  </sheetData>
  <mergeCells count="1">
    <mergeCell ref="B7:L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E12B-75AC-4CBF-9E69-CDC0EAFDEB46}">
  <sheetPr codeName="Planilha7"/>
  <dimension ref="A1:G1048527"/>
  <sheetViews>
    <sheetView zoomScale="87" zoomScaleNormal="87" workbookViewId="0">
      <selection sqref="A1:A2"/>
    </sheetView>
  </sheetViews>
  <sheetFormatPr defaultRowHeight="15" x14ac:dyDescent="0.25"/>
  <cols>
    <col min="1" max="1" width="9.42578125" style="2" customWidth="1"/>
    <col min="2" max="2" width="18.7109375" style="2" bestFit="1" customWidth="1"/>
    <col min="3" max="3" width="37.7109375" style="2" customWidth="1"/>
    <col min="4" max="4" width="39.5703125" style="2" customWidth="1"/>
    <col min="5" max="5" width="36.5703125" style="2" customWidth="1"/>
    <col min="6" max="6" width="38.7109375" style="2" customWidth="1"/>
    <col min="7" max="7" width="27.5703125" style="2" customWidth="1"/>
    <col min="8" max="16384" width="9.140625" style="2"/>
  </cols>
  <sheetData>
    <row r="1" spans="1:7" x14ac:dyDescent="0.25">
      <c r="A1" s="106"/>
      <c r="B1" s="107"/>
      <c r="C1" s="108"/>
      <c r="D1" s="106"/>
      <c r="E1" s="106"/>
      <c r="F1" s="106"/>
      <c r="G1" s="106"/>
    </row>
    <row r="2" spans="1:7" x14ac:dyDescent="0.25">
      <c r="A2" s="106"/>
      <c r="B2" s="107"/>
      <c r="C2" s="82"/>
      <c r="D2" s="82"/>
      <c r="E2" s="82"/>
      <c r="F2" s="82"/>
      <c r="G2" s="82"/>
    </row>
    <row r="3" spans="1:7" x14ac:dyDescent="0.25">
      <c r="A3" s="82"/>
      <c r="B3" s="83"/>
      <c r="C3" s="82"/>
      <c r="D3" s="82"/>
      <c r="E3" s="82"/>
      <c r="F3" s="82"/>
      <c r="G3" s="82"/>
    </row>
    <row r="4" spans="1:7" x14ac:dyDescent="0.25">
      <c r="A4" s="82"/>
      <c r="B4" s="83"/>
      <c r="C4" s="82"/>
      <c r="D4" s="82"/>
      <c r="E4" s="82"/>
      <c r="F4" s="82"/>
      <c r="G4" s="82"/>
    </row>
    <row r="5" spans="1:7" x14ac:dyDescent="0.25">
      <c r="A5" s="84"/>
      <c r="B5" s="83"/>
      <c r="C5" s="84"/>
      <c r="D5" s="84"/>
      <c r="E5" s="84"/>
      <c r="F5" s="84"/>
      <c r="G5" s="84"/>
    </row>
    <row r="6" spans="1:7" x14ac:dyDescent="0.25">
      <c r="A6" s="84"/>
      <c r="B6" s="83"/>
      <c r="C6" s="84"/>
      <c r="D6" s="84"/>
      <c r="E6" s="84"/>
      <c r="F6" s="84"/>
      <c r="G6" s="84"/>
    </row>
    <row r="7" spans="1:7" x14ac:dyDescent="0.25">
      <c r="A7" s="84"/>
      <c r="B7" s="83"/>
      <c r="C7" s="84"/>
      <c r="D7" s="84"/>
      <c r="E7" s="84"/>
      <c r="F7" s="84"/>
      <c r="G7" s="84"/>
    </row>
    <row r="8" spans="1:7" x14ac:dyDescent="0.25">
      <c r="A8" s="84"/>
      <c r="B8" s="83"/>
      <c r="C8" s="84"/>
      <c r="D8" s="84"/>
      <c r="E8" s="84"/>
      <c r="F8" s="84"/>
      <c r="G8" s="84"/>
    </row>
    <row r="9" spans="1:7" ht="15.75" thickBot="1" x14ac:dyDescent="0.3">
      <c r="A9" s="84"/>
      <c r="B9" s="83"/>
      <c r="C9" s="84"/>
      <c r="D9" s="84"/>
      <c r="E9" s="84"/>
      <c r="F9" s="84"/>
      <c r="G9" s="84"/>
    </row>
    <row r="10" spans="1:7" ht="23.25" thickBot="1" x14ac:dyDescent="0.3">
      <c r="B10" s="42" t="s">
        <v>306</v>
      </c>
      <c r="C10" s="45" t="s">
        <v>905</v>
      </c>
      <c r="D10" s="45" t="s">
        <v>518</v>
      </c>
      <c r="E10" s="45" t="s">
        <v>496</v>
      </c>
      <c r="F10" s="45" t="s">
        <v>495</v>
      </c>
      <c r="G10" s="42" t="s">
        <v>307</v>
      </c>
    </row>
    <row r="11" spans="1:7" ht="19.5" x14ac:dyDescent="0.25">
      <c r="B11" s="79">
        <v>43662</v>
      </c>
      <c r="C11" s="44" t="s">
        <v>4332</v>
      </c>
      <c r="D11" s="80" t="s">
        <v>4331</v>
      </c>
      <c r="E11" s="114">
        <v>1029.5</v>
      </c>
      <c r="F11" s="116">
        <f>937.41+101.33</f>
        <v>1038.74</v>
      </c>
      <c r="G11" s="81">
        <v>8.9752306945118984E-3</v>
      </c>
    </row>
    <row r="12" spans="1:7" ht="19.5" x14ac:dyDescent="0.25">
      <c r="B12" s="112">
        <v>44358</v>
      </c>
      <c r="C12" s="44" t="s">
        <v>4332</v>
      </c>
      <c r="D12" s="113" t="s">
        <v>4720</v>
      </c>
      <c r="E12" s="114">
        <v>1991.04</v>
      </c>
      <c r="F12" s="114">
        <v>1991.04</v>
      </c>
      <c r="G12" s="115">
        <v>0</v>
      </c>
    </row>
    <row r="1048527" spans="2:3" x14ac:dyDescent="0.25">
      <c r="B1048527" s="3"/>
      <c r="C1048527" s="3"/>
    </row>
  </sheetData>
  <mergeCells count="4">
    <mergeCell ref="A1:A2"/>
    <mergeCell ref="B1:B2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D9A4-69C8-435C-B9C4-0DB09554E62E}">
  <sheetPr codeName="Planilha11"/>
  <dimension ref="B3:K1048526"/>
  <sheetViews>
    <sheetView zoomScale="87" zoomScaleNormal="87" workbookViewId="0">
      <selection activeCell="G18" sqref="G18"/>
    </sheetView>
  </sheetViews>
  <sheetFormatPr defaultRowHeight="15" x14ac:dyDescent="0.25"/>
  <cols>
    <col min="1" max="1" width="4" style="2" customWidth="1"/>
    <col min="2" max="2" width="19" style="2" customWidth="1"/>
    <col min="3" max="3" width="19.42578125" style="2" customWidth="1"/>
    <col min="4" max="4" width="15.7109375" style="2" customWidth="1"/>
    <col min="5" max="5" width="16.7109375" style="2" customWidth="1"/>
    <col min="6" max="6" width="21.140625" style="2" customWidth="1"/>
    <col min="7" max="7" width="27.5703125" style="2" customWidth="1"/>
    <col min="8" max="8" width="25.140625" style="2" customWidth="1"/>
    <col min="9" max="9" width="19.85546875" style="2" customWidth="1"/>
    <col min="10" max="10" width="20.42578125" style="2" customWidth="1"/>
    <col min="11" max="11" width="23.7109375" style="2" customWidth="1"/>
    <col min="12" max="16384" width="9.140625" style="2"/>
  </cols>
  <sheetData>
    <row r="3" spans="2:11" ht="18.75" x14ac:dyDescent="0.3">
      <c r="B3" s="12"/>
      <c r="G3" s="5"/>
      <c r="H3" s="6"/>
      <c r="I3" s="4"/>
    </row>
    <row r="4" spans="2:11" ht="18.75" x14ac:dyDescent="0.3">
      <c r="B4" s="12"/>
      <c r="G4" s="5"/>
      <c r="H4" s="6"/>
      <c r="I4" s="4"/>
    </row>
    <row r="5" spans="2:11" ht="18.75" x14ac:dyDescent="0.3">
      <c r="B5" s="12"/>
      <c r="G5" s="5"/>
      <c r="H5" s="6"/>
      <c r="I5" s="4"/>
    </row>
    <row r="6" spans="2:11" s="13" customFormat="1" ht="18.75" customHeight="1" x14ac:dyDescent="0.25">
      <c r="B6" s="67"/>
      <c r="C6" s="60"/>
      <c r="D6" s="60"/>
      <c r="E6" s="60"/>
      <c r="F6" s="61"/>
      <c r="G6" s="62"/>
      <c r="H6" s="63"/>
      <c r="I6" s="62"/>
      <c r="J6" s="60"/>
      <c r="K6" s="60"/>
    </row>
    <row r="7" spans="2:11" ht="19.5" customHeight="1" x14ac:dyDescent="0.25">
      <c r="B7" s="104" t="s">
        <v>903</v>
      </c>
      <c r="C7" s="104"/>
      <c r="D7" s="104"/>
      <c r="E7" s="104"/>
      <c r="F7" s="104"/>
      <c r="G7" s="104"/>
      <c r="H7" s="104"/>
      <c r="I7" s="104"/>
      <c r="J7" s="104"/>
      <c r="K7" s="104"/>
    </row>
    <row r="8" spans="2:11" ht="15" customHeight="1" x14ac:dyDescent="0.25">
      <c r="B8" s="104"/>
      <c r="C8" s="104"/>
      <c r="D8" s="104"/>
      <c r="E8" s="104"/>
      <c r="F8" s="104"/>
      <c r="G8" s="104"/>
      <c r="H8" s="104"/>
      <c r="I8" s="104"/>
      <c r="J8" s="104"/>
      <c r="K8" s="104"/>
    </row>
    <row r="9" spans="2:11" ht="19.5" customHeight="1" thickBot="1" x14ac:dyDescent="0.3">
      <c r="B9" s="105"/>
      <c r="C9" s="105"/>
      <c r="D9" s="105"/>
      <c r="E9" s="105"/>
      <c r="F9" s="105"/>
      <c r="G9" s="105"/>
      <c r="H9" s="105"/>
      <c r="I9" s="105"/>
      <c r="J9" s="105"/>
      <c r="K9" s="105"/>
    </row>
    <row r="10" spans="2:11" ht="23.25" thickBot="1" x14ac:dyDescent="0.3">
      <c r="B10" s="43" t="s">
        <v>306</v>
      </c>
      <c r="C10" s="43" t="s">
        <v>908</v>
      </c>
      <c r="D10" s="43" t="s">
        <v>4260</v>
      </c>
      <c r="E10" s="43" t="s">
        <v>303</v>
      </c>
      <c r="F10" s="43" t="s">
        <v>304</v>
      </c>
      <c r="G10" s="43" t="s">
        <v>4261</v>
      </c>
      <c r="H10" s="43" t="s">
        <v>497</v>
      </c>
      <c r="I10" s="43" t="s">
        <v>902</v>
      </c>
      <c r="J10" s="43" t="s">
        <v>907</v>
      </c>
      <c r="K10" s="43" t="s">
        <v>307</v>
      </c>
    </row>
    <row r="11" spans="2:11" ht="18.75" x14ac:dyDescent="0.25">
      <c r="B11" s="70" t="s">
        <v>4304</v>
      </c>
      <c r="C11" s="71" t="s">
        <v>4305</v>
      </c>
      <c r="D11" s="55" t="s">
        <v>537</v>
      </c>
      <c r="E11" s="66" t="s">
        <v>810</v>
      </c>
      <c r="F11" s="101">
        <v>0.16935944999999999</v>
      </c>
      <c r="G11" s="10">
        <v>9815.5770256600008</v>
      </c>
      <c r="H11" s="74">
        <v>9662.57</v>
      </c>
      <c r="I11" s="73">
        <v>1662.3607221526499</v>
      </c>
      <c r="J11" s="10">
        <v>1636.4475407865</v>
      </c>
      <c r="K11" s="51">
        <v>-1.5588181927562689E-2</v>
      </c>
    </row>
    <row r="12" spans="2:11" ht="18.75" x14ac:dyDescent="0.25">
      <c r="B12" s="70" t="s">
        <v>4310</v>
      </c>
      <c r="C12" s="71" t="s">
        <v>4305</v>
      </c>
      <c r="D12" s="55" t="s">
        <v>537</v>
      </c>
      <c r="E12" s="66" t="s">
        <v>604</v>
      </c>
      <c r="F12" s="101">
        <f>837.61456368-403.764552</f>
        <v>433.85001167999997</v>
      </c>
      <c r="G12" s="10">
        <v>5.79</v>
      </c>
      <c r="H12" s="74">
        <v>5.12</v>
      </c>
      <c r="I12" s="73">
        <v>2511.9915676271999</v>
      </c>
      <c r="J12" s="10">
        <v>2221.3120598015998</v>
      </c>
      <c r="K12" s="51">
        <v>-0.1157167530224525</v>
      </c>
    </row>
    <row r="13" spans="2:11" ht="18.75" x14ac:dyDescent="0.25">
      <c r="B13" s="70">
        <v>44414</v>
      </c>
      <c r="C13" s="71" t="s">
        <v>4305</v>
      </c>
      <c r="D13" s="55" t="s">
        <v>537</v>
      </c>
      <c r="E13" s="66" t="s">
        <v>600</v>
      </c>
      <c r="F13" s="66">
        <v>1.219131E-2</v>
      </c>
      <c r="G13" s="10">
        <v>176117.172185</v>
      </c>
      <c r="H13" s="74">
        <v>191570</v>
      </c>
      <c r="I13" s="73">
        <v>2147.0990426135822</v>
      </c>
      <c r="J13" s="10">
        <v>2335.4892567000002</v>
      </c>
      <c r="K13" s="51">
        <v>8.7741743788911461E-2</v>
      </c>
    </row>
    <row r="16" spans="2:11" x14ac:dyDescent="0.25">
      <c r="G16" s="102"/>
    </row>
    <row r="17" spans="7:7" x14ac:dyDescent="0.25">
      <c r="G17" s="103"/>
    </row>
    <row r="1048521" spans="2:3" x14ac:dyDescent="0.25">
      <c r="B1048521" s="3"/>
    </row>
    <row r="1048526" spans="2:3" x14ac:dyDescent="0.25">
      <c r="C1048526" s="3"/>
    </row>
  </sheetData>
  <mergeCells count="1">
    <mergeCell ref="B7:K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35FB-9522-4E4C-9916-6AE6583F9FE9}">
  <sheetPr codeName="Planilha6"/>
  <dimension ref="B3:I1048527"/>
  <sheetViews>
    <sheetView zoomScale="87" zoomScaleNormal="87" workbookViewId="0"/>
  </sheetViews>
  <sheetFormatPr defaultRowHeight="15" x14ac:dyDescent="0.25"/>
  <cols>
    <col min="1" max="1" width="3.85546875" style="2" customWidth="1"/>
    <col min="2" max="2" width="24.5703125" style="2" customWidth="1"/>
    <col min="3" max="3" width="19.7109375" style="2" customWidth="1"/>
    <col min="4" max="4" width="17.5703125" style="2" customWidth="1"/>
    <col min="5" max="5" width="32.42578125" style="2" customWidth="1"/>
    <col min="6" max="6" width="30.42578125" style="2" customWidth="1"/>
    <col min="7" max="7" width="26.140625" style="2" customWidth="1"/>
    <col min="8" max="8" width="27.7109375" style="2" customWidth="1"/>
    <col min="9" max="9" width="24.7109375" style="2" customWidth="1"/>
    <col min="10" max="16384" width="9.140625" style="2"/>
  </cols>
  <sheetData>
    <row r="3" spans="2:9" ht="18.75" x14ac:dyDescent="0.3">
      <c r="B3" s="12"/>
      <c r="H3" s="5"/>
    </row>
    <row r="4" spans="2:9" ht="18.75" x14ac:dyDescent="0.3">
      <c r="B4" s="12"/>
      <c r="H4" s="5"/>
    </row>
    <row r="5" spans="2:9" ht="18.75" x14ac:dyDescent="0.3">
      <c r="B5" s="12"/>
      <c r="H5" s="5"/>
    </row>
    <row r="6" spans="2:9" s="13" customFormat="1" ht="18.75" x14ac:dyDescent="0.25">
      <c r="B6" s="15"/>
      <c r="G6" s="16"/>
      <c r="H6" s="17"/>
    </row>
    <row r="7" spans="2:9" ht="19.5" customHeight="1" x14ac:dyDescent="0.25">
      <c r="B7" s="104" t="s">
        <v>904</v>
      </c>
      <c r="C7" s="104"/>
      <c r="D7" s="104"/>
      <c r="E7" s="104"/>
      <c r="F7" s="104"/>
      <c r="G7" s="104"/>
      <c r="H7" s="104"/>
    </row>
    <row r="8" spans="2:9" ht="15" customHeight="1" x14ac:dyDescent="0.25">
      <c r="B8" s="104"/>
      <c r="C8" s="104"/>
      <c r="D8" s="104"/>
      <c r="E8" s="104"/>
      <c r="F8" s="104"/>
      <c r="G8" s="104"/>
      <c r="H8" s="104"/>
    </row>
    <row r="9" spans="2:9" ht="19.5" customHeight="1" thickBot="1" x14ac:dyDescent="0.3">
      <c r="B9" s="105"/>
      <c r="C9" s="105"/>
      <c r="D9" s="105"/>
      <c r="E9" s="105"/>
      <c r="F9" s="104"/>
      <c r="G9" s="105"/>
      <c r="H9" s="105"/>
    </row>
    <row r="10" spans="2:9" ht="23.25" thickBot="1" x14ac:dyDescent="0.3">
      <c r="B10" s="43" t="s">
        <v>306</v>
      </c>
      <c r="C10" s="43" t="s">
        <v>905</v>
      </c>
      <c r="D10" s="47" t="s">
        <v>4260</v>
      </c>
      <c r="E10" s="47" t="s">
        <v>303</v>
      </c>
      <c r="F10" s="48" t="s">
        <v>4291</v>
      </c>
      <c r="G10" s="46" t="s">
        <v>906</v>
      </c>
      <c r="H10" s="43" t="s">
        <v>907</v>
      </c>
      <c r="I10" s="43" t="s">
        <v>307</v>
      </c>
    </row>
    <row r="11" spans="2:9" ht="18.75" x14ac:dyDescent="0.25">
      <c r="B11" s="70">
        <v>44506</v>
      </c>
      <c r="C11" s="75" t="s">
        <v>4721</v>
      </c>
      <c r="D11" s="53" t="s">
        <v>523</v>
      </c>
      <c r="E11" s="76" t="s">
        <v>4722</v>
      </c>
      <c r="F11" s="54">
        <v>0</v>
      </c>
      <c r="G11" s="77">
        <v>18586.867320000001</v>
      </c>
      <c r="H11" s="56">
        <v>18586.87</v>
      </c>
      <c r="I11" s="52">
        <v>1.4526385519522164E-7</v>
      </c>
    </row>
    <row r="1048527" spans="2:4" x14ac:dyDescent="0.25">
      <c r="B1048527" s="3"/>
      <c r="C1048527" s="3"/>
      <c r="D1048527" s="3"/>
    </row>
  </sheetData>
  <mergeCells count="1">
    <mergeCell ref="B7:H9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22B2E-6A2B-46A9-A46E-6922722D7E19}">
  <sheetPr codeName="Planilha13"/>
  <dimension ref="B3:I52"/>
  <sheetViews>
    <sheetView tabSelected="1" topLeftCell="A4" zoomScale="85" zoomScaleNormal="85" workbookViewId="0">
      <selection activeCell="H20" sqref="H20"/>
    </sheetView>
  </sheetViews>
  <sheetFormatPr defaultRowHeight="15" x14ac:dyDescent="0.25"/>
  <cols>
    <col min="1" max="1" width="9.42578125" style="20" customWidth="1"/>
    <col min="2" max="2" width="18" style="20" bestFit="1" customWidth="1"/>
    <col min="3" max="3" width="14.28515625" style="20" bestFit="1" customWidth="1"/>
    <col min="4" max="4" width="20.28515625" style="20" bestFit="1" customWidth="1"/>
    <col min="5" max="5" width="12.28515625" style="20" customWidth="1"/>
    <col min="6" max="6" width="19.85546875" style="20" customWidth="1"/>
    <col min="7" max="7" width="31.42578125" style="20" customWidth="1"/>
    <col min="8" max="8" width="31.28515625" style="20" customWidth="1"/>
    <col min="9" max="9" width="23.7109375" style="20" customWidth="1"/>
    <col min="10" max="10" width="24" style="20" customWidth="1"/>
    <col min="11" max="16384" width="9.140625" style="20"/>
  </cols>
  <sheetData>
    <row r="3" spans="2:9" ht="18.75" x14ac:dyDescent="0.3">
      <c r="B3" s="19"/>
      <c r="G3" s="21"/>
      <c r="H3" s="22"/>
      <c r="I3" s="23"/>
    </row>
    <row r="4" spans="2:9" ht="18.75" x14ac:dyDescent="0.3">
      <c r="B4" s="19"/>
      <c r="G4" s="21"/>
      <c r="H4" s="22"/>
      <c r="I4" s="23"/>
    </row>
    <row r="5" spans="2:9" ht="18.75" x14ac:dyDescent="0.3">
      <c r="B5" s="19"/>
      <c r="G5" s="21"/>
      <c r="H5" s="22"/>
      <c r="I5" s="23"/>
    </row>
    <row r="6" spans="2:9" s="25" customFormat="1" ht="18.75" x14ac:dyDescent="0.25">
      <c r="B6" s="24"/>
      <c r="G6" s="26"/>
      <c r="H6" s="27"/>
      <c r="I6" s="28"/>
    </row>
    <row r="8" spans="2:9" ht="15.75" thickBot="1" x14ac:dyDescent="0.3"/>
    <row r="9" spans="2:9" ht="32.25" thickBot="1" x14ac:dyDescent="0.55000000000000004">
      <c r="G9" s="109" t="s">
        <v>309</v>
      </c>
      <c r="H9" s="110"/>
      <c r="I9" s="111"/>
    </row>
    <row r="10" spans="2:9" ht="27" thickBot="1" x14ac:dyDescent="0.3">
      <c r="G10" s="29" t="s">
        <v>310</v>
      </c>
      <c r="H10" s="29" t="s">
        <v>311</v>
      </c>
      <c r="I10" s="30" t="s">
        <v>312</v>
      </c>
    </row>
    <row r="11" spans="2:9" ht="27" thickBot="1" x14ac:dyDescent="0.3">
      <c r="G11" s="34" t="s">
        <v>305</v>
      </c>
      <c r="H11" s="31">
        <f>DSUM(Tabela_Acoes[#All],10,A1:A2)</f>
        <v>1063.9099999999999</v>
      </c>
      <c r="I11" s="37">
        <f>H11/$H$16</f>
        <v>3.66840074574993E-2</v>
      </c>
    </row>
    <row r="12" spans="2:9" ht="27" thickBot="1" x14ac:dyDescent="0.3">
      <c r="G12" s="35" t="s">
        <v>313</v>
      </c>
      <c r="H12" s="32">
        <f>DSUM(Tabela_Tesouro[#All],5,A1:A2)</f>
        <v>3029.7799999999997</v>
      </c>
      <c r="I12" s="41">
        <f>H12/$H$16</f>
        <v>0.10446792690601858</v>
      </c>
    </row>
    <row r="13" spans="2:9" ht="27" thickBot="1" x14ac:dyDescent="0.3">
      <c r="G13" s="34" t="s">
        <v>314</v>
      </c>
      <c r="H13" s="31">
        <f>DSUM(Tabela_Crypto[#All],8,A1:A2)</f>
        <v>6321.4513323934325</v>
      </c>
      <c r="I13" s="38">
        <f>H13/$H$16</f>
        <v>0.2179659631169362</v>
      </c>
    </row>
    <row r="14" spans="2:9" ht="27" thickBot="1" x14ac:dyDescent="0.3">
      <c r="G14" s="36" t="s">
        <v>315</v>
      </c>
      <c r="H14" s="33">
        <f>DSUM(Tabela_Fundos[#All],8,A1:A2)</f>
        <v>0</v>
      </c>
      <c r="I14" s="40">
        <f>H14/$H$16</f>
        <v>0</v>
      </c>
    </row>
    <row r="15" spans="2:9" ht="27" thickBot="1" x14ac:dyDescent="0.3">
      <c r="G15" s="36" t="s">
        <v>515</v>
      </c>
      <c r="H15" s="33">
        <f>DSUM(Tabela_Caixa[#All],7,A1:A2)</f>
        <v>18586.87</v>
      </c>
      <c r="I15" s="39">
        <f>H15/$H$16</f>
        <v>0.64088210251954592</v>
      </c>
    </row>
    <row r="16" spans="2:9" ht="27" thickBot="1" x14ac:dyDescent="0.3">
      <c r="G16" s="34" t="s">
        <v>316</v>
      </c>
      <c r="H16" s="31">
        <f>SUM(H11:H15)</f>
        <v>29002.011332393431</v>
      </c>
      <c r="I16" s="29"/>
    </row>
    <row r="21" spans="2:7" ht="59.25" customHeight="1" x14ac:dyDescent="0.25">
      <c r="G21" s="78" t="s">
        <v>305</v>
      </c>
    </row>
    <row r="23" spans="2:7" ht="15.75" thickBot="1" x14ac:dyDescent="0.3"/>
    <row r="24" spans="2:7" ht="15.75" thickBot="1" x14ac:dyDescent="0.3">
      <c r="B24" s="94" t="s">
        <v>4292</v>
      </c>
      <c r="C24" s="99" t="s">
        <v>4294</v>
      </c>
      <c r="D24" s="100" t="s">
        <v>4295</v>
      </c>
    </row>
    <row r="25" spans="2:7" x14ac:dyDescent="0.25">
      <c r="B25" s="95" t="s">
        <v>308</v>
      </c>
      <c r="C25" s="85">
        <v>278.64</v>
      </c>
      <c r="D25" s="86">
        <v>0.32307692307692309</v>
      </c>
    </row>
    <row r="26" spans="2:7" x14ac:dyDescent="0.25">
      <c r="B26" s="96" t="s">
        <v>293</v>
      </c>
      <c r="C26" s="87">
        <v>291.39999999999998</v>
      </c>
      <c r="D26" s="88">
        <v>0.16653322658126501</v>
      </c>
    </row>
    <row r="27" spans="2:7" ht="15.75" thickBot="1" x14ac:dyDescent="0.3">
      <c r="B27" s="97" t="s">
        <v>4352</v>
      </c>
      <c r="C27" s="87">
        <v>493.87</v>
      </c>
      <c r="D27" s="88">
        <v>0.24967105263157896</v>
      </c>
    </row>
    <row r="28" spans="2:7" ht="15.75" thickBot="1" x14ac:dyDescent="0.3">
      <c r="B28" s="98" t="s">
        <v>4293</v>
      </c>
      <c r="C28" s="89">
        <v>1063.9099999999999</v>
      </c>
      <c r="D28" s="90">
        <v>0.73928120228976701</v>
      </c>
    </row>
    <row r="36" spans="7:8" x14ac:dyDescent="0.25">
      <c r="H36" s="20" t="s">
        <v>4333</v>
      </c>
    </row>
    <row r="45" spans="7:8" ht="61.5" x14ac:dyDescent="0.25">
      <c r="G45" s="78" t="s">
        <v>4397</v>
      </c>
    </row>
    <row r="49" spans="2:3" x14ac:dyDescent="0.25">
      <c r="B49" s="91" t="s">
        <v>4292</v>
      </c>
      <c r="C49" s="91" t="s">
        <v>4294</v>
      </c>
    </row>
    <row r="50" spans="2:3" x14ac:dyDescent="0.25">
      <c r="B50" s="92" t="s">
        <v>810</v>
      </c>
      <c r="C50" s="93">
        <v>1635.8291944104001</v>
      </c>
    </row>
    <row r="51" spans="2:3" x14ac:dyDescent="0.25">
      <c r="B51" s="92" t="s">
        <v>604</v>
      </c>
      <c r="C51" s="93">
        <v>4413.098</v>
      </c>
    </row>
    <row r="52" spans="2:3" x14ac:dyDescent="0.25">
      <c r="B52" s="92" t="s">
        <v>4293</v>
      </c>
      <c r="C52" s="93">
        <v>6048.9271944104003</v>
      </c>
    </row>
  </sheetData>
  <mergeCells count="1">
    <mergeCell ref="G9:I9"/>
  </mergeCell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E90A-5060-4AF3-9835-586F277089D8}">
  <sheetPr codeName="Planilha8"/>
  <dimension ref="A1:B3396"/>
  <sheetViews>
    <sheetView workbookViewId="0">
      <selection activeCell="D8" sqref="D8"/>
    </sheetView>
  </sheetViews>
  <sheetFormatPr defaultRowHeight="15" x14ac:dyDescent="0.25"/>
  <cols>
    <col min="1" max="1" width="12.42578125" bestFit="1" customWidth="1"/>
    <col min="2" max="2" width="12.140625" bestFit="1" customWidth="1"/>
  </cols>
  <sheetData>
    <row r="1" spans="1:2" x14ac:dyDescent="0.25">
      <c r="A1" t="s">
        <v>910</v>
      </c>
      <c r="B1" t="s">
        <v>911</v>
      </c>
    </row>
    <row r="2" spans="1:2" x14ac:dyDescent="0.25">
      <c r="A2" s="1" t="s">
        <v>912</v>
      </c>
      <c r="B2" s="1" t="s">
        <v>4372</v>
      </c>
    </row>
    <row r="3" spans="1:2" x14ac:dyDescent="0.25">
      <c r="A3" s="1" t="s">
        <v>913</v>
      </c>
      <c r="B3" s="1" t="s">
        <v>4986</v>
      </c>
    </row>
    <row r="4" spans="1:2" x14ac:dyDescent="0.25">
      <c r="A4" s="1" t="s">
        <v>914</v>
      </c>
      <c r="B4" s="1" t="s">
        <v>4829</v>
      </c>
    </row>
    <row r="5" spans="1:2" x14ac:dyDescent="0.25">
      <c r="A5" s="1" t="s">
        <v>915</v>
      </c>
      <c r="B5" s="1" t="s">
        <v>5168</v>
      </c>
    </row>
    <row r="6" spans="1:2" x14ac:dyDescent="0.25">
      <c r="A6" s="1" t="s">
        <v>916</v>
      </c>
      <c r="B6" s="1" t="s">
        <v>4568</v>
      </c>
    </row>
    <row r="7" spans="1:2" x14ac:dyDescent="0.25">
      <c r="A7" s="1" t="s">
        <v>917</v>
      </c>
      <c r="B7" s="1" t="s">
        <v>5169</v>
      </c>
    </row>
    <row r="8" spans="1:2" x14ac:dyDescent="0.25">
      <c r="A8" s="1" t="s">
        <v>918</v>
      </c>
      <c r="B8" s="1" t="s">
        <v>5170</v>
      </c>
    </row>
    <row r="9" spans="1:2" x14ac:dyDescent="0.25">
      <c r="A9" s="1" t="s">
        <v>919</v>
      </c>
      <c r="B9" s="1" t="s">
        <v>5171</v>
      </c>
    </row>
    <row r="10" spans="1:2" x14ac:dyDescent="0.25">
      <c r="A10" s="1" t="s">
        <v>920</v>
      </c>
      <c r="B10" s="1" t="s">
        <v>5172</v>
      </c>
    </row>
    <row r="11" spans="1:2" x14ac:dyDescent="0.25">
      <c r="A11" s="1" t="s">
        <v>921</v>
      </c>
      <c r="B11" s="1" t="s">
        <v>5173</v>
      </c>
    </row>
    <row r="12" spans="1:2" x14ac:dyDescent="0.25">
      <c r="A12" s="1" t="s">
        <v>922</v>
      </c>
      <c r="B12" s="1" t="s">
        <v>5174</v>
      </c>
    </row>
    <row r="13" spans="1:2" x14ac:dyDescent="0.25">
      <c r="A13" s="1" t="s">
        <v>923</v>
      </c>
      <c r="B13" s="1" t="s">
        <v>5175</v>
      </c>
    </row>
    <row r="14" spans="1:2" x14ac:dyDescent="0.25">
      <c r="A14" s="1" t="s">
        <v>924</v>
      </c>
      <c r="B14" s="1" t="s">
        <v>4411</v>
      </c>
    </row>
    <row r="15" spans="1:2" x14ac:dyDescent="0.25">
      <c r="A15" s="1" t="s">
        <v>925</v>
      </c>
      <c r="B15" s="1" t="s">
        <v>5176</v>
      </c>
    </row>
    <row r="16" spans="1:2" x14ac:dyDescent="0.25">
      <c r="A16" s="1" t="s">
        <v>926</v>
      </c>
      <c r="B16" s="1" t="s">
        <v>4560</v>
      </c>
    </row>
    <row r="17" spans="1:2" x14ac:dyDescent="0.25">
      <c r="A17" s="1" t="s">
        <v>927</v>
      </c>
      <c r="B17" s="1" t="s">
        <v>5177</v>
      </c>
    </row>
    <row r="18" spans="1:2" x14ac:dyDescent="0.25">
      <c r="A18" s="1" t="s">
        <v>928</v>
      </c>
      <c r="B18" s="1" t="s">
        <v>5178</v>
      </c>
    </row>
    <row r="19" spans="1:2" x14ac:dyDescent="0.25">
      <c r="A19" s="1" t="s">
        <v>929</v>
      </c>
      <c r="B19" s="1" t="s">
        <v>5179</v>
      </c>
    </row>
    <row r="20" spans="1:2" x14ac:dyDescent="0.25">
      <c r="A20" s="1" t="s">
        <v>930</v>
      </c>
      <c r="B20" s="1" t="s">
        <v>5180</v>
      </c>
    </row>
    <row r="21" spans="1:2" x14ac:dyDescent="0.25">
      <c r="A21" s="1" t="s">
        <v>931</v>
      </c>
      <c r="B21" s="1" t="s">
        <v>5181</v>
      </c>
    </row>
    <row r="22" spans="1:2" x14ac:dyDescent="0.25">
      <c r="A22" s="1" t="s">
        <v>932</v>
      </c>
      <c r="B22" s="1" t="s">
        <v>5182</v>
      </c>
    </row>
    <row r="23" spans="1:2" x14ac:dyDescent="0.25">
      <c r="A23" s="1" t="s">
        <v>933</v>
      </c>
      <c r="B23" s="1" t="s">
        <v>4796</v>
      </c>
    </row>
    <row r="24" spans="1:2" x14ac:dyDescent="0.25">
      <c r="A24" s="1" t="s">
        <v>934</v>
      </c>
      <c r="B24" s="1" t="s">
        <v>5183</v>
      </c>
    </row>
    <row r="25" spans="1:2" x14ac:dyDescent="0.25">
      <c r="A25" s="1" t="s">
        <v>4555</v>
      </c>
      <c r="B25" s="1" t="s">
        <v>5184</v>
      </c>
    </row>
    <row r="26" spans="1:2" x14ac:dyDescent="0.25">
      <c r="A26" s="1" t="s">
        <v>935</v>
      </c>
      <c r="B26" s="1" t="s">
        <v>5185</v>
      </c>
    </row>
    <row r="27" spans="1:2" x14ac:dyDescent="0.25">
      <c r="A27" s="1" t="s">
        <v>936</v>
      </c>
      <c r="B27" s="1" t="s">
        <v>5186</v>
      </c>
    </row>
    <row r="28" spans="1:2" x14ac:dyDescent="0.25">
      <c r="A28" s="1" t="s">
        <v>937</v>
      </c>
      <c r="B28" s="1" t="s">
        <v>4616</v>
      </c>
    </row>
    <row r="29" spans="1:2" x14ac:dyDescent="0.25">
      <c r="A29" s="1" t="s">
        <v>938</v>
      </c>
      <c r="B29" s="1" t="s">
        <v>4821</v>
      </c>
    </row>
    <row r="30" spans="1:2" x14ac:dyDescent="0.25">
      <c r="A30" s="1" t="s">
        <v>939</v>
      </c>
      <c r="B30" s="1" t="s">
        <v>5187</v>
      </c>
    </row>
    <row r="31" spans="1:2" x14ac:dyDescent="0.25">
      <c r="A31" s="1" t="s">
        <v>940</v>
      </c>
      <c r="B31" s="1" t="s">
        <v>5188</v>
      </c>
    </row>
    <row r="32" spans="1:2" x14ac:dyDescent="0.25">
      <c r="A32" s="1" t="s">
        <v>941</v>
      </c>
      <c r="B32" s="1" t="s">
        <v>5189</v>
      </c>
    </row>
    <row r="33" spans="1:2" x14ac:dyDescent="0.25">
      <c r="A33" s="1" t="s">
        <v>942</v>
      </c>
      <c r="B33" s="1" t="s">
        <v>5190</v>
      </c>
    </row>
    <row r="34" spans="1:2" x14ac:dyDescent="0.25">
      <c r="A34" s="1" t="s">
        <v>943</v>
      </c>
      <c r="B34" s="1" t="s">
        <v>5191</v>
      </c>
    </row>
    <row r="35" spans="1:2" x14ac:dyDescent="0.25">
      <c r="A35" s="1" t="s">
        <v>944</v>
      </c>
      <c r="B35" s="1" t="s">
        <v>5192</v>
      </c>
    </row>
    <row r="36" spans="1:2" x14ac:dyDescent="0.25">
      <c r="A36" s="1" t="s">
        <v>945</v>
      </c>
      <c r="B36" s="1" t="s">
        <v>4405</v>
      </c>
    </row>
    <row r="37" spans="1:2" x14ac:dyDescent="0.25">
      <c r="A37" s="1" t="s">
        <v>946</v>
      </c>
      <c r="B37" s="1" t="s">
        <v>5193</v>
      </c>
    </row>
    <row r="38" spans="1:2" x14ac:dyDescent="0.25">
      <c r="A38" s="1" t="s">
        <v>947</v>
      </c>
      <c r="B38" s="1" t="s">
        <v>5194</v>
      </c>
    </row>
    <row r="39" spans="1:2" x14ac:dyDescent="0.25">
      <c r="A39" s="1" t="s">
        <v>948</v>
      </c>
      <c r="B39" s="1" t="s">
        <v>5195</v>
      </c>
    </row>
    <row r="40" spans="1:2" x14ac:dyDescent="0.25">
      <c r="A40" s="1" t="s">
        <v>949</v>
      </c>
      <c r="B40" s="1" t="s">
        <v>5196</v>
      </c>
    </row>
    <row r="41" spans="1:2" x14ac:dyDescent="0.25">
      <c r="A41" s="1" t="s">
        <v>950</v>
      </c>
      <c r="B41" s="1" t="s">
        <v>5197</v>
      </c>
    </row>
    <row r="42" spans="1:2" x14ac:dyDescent="0.25">
      <c r="A42" s="1" t="s">
        <v>951</v>
      </c>
      <c r="B42" s="1" t="s">
        <v>5198</v>
      </c>
    </row>
    <row r="43" spans="1:2" x14ac:dyDescent="0.25">
      <c r="A43" s="1" t="s">
        <v>952</v>
      </c>
      <c r="B43" s="1" t="s">
        <v>5199</v>
      </c>
    </row>
    <row r="44" spans="1:2" x14ac:dyDescent="0.25">
      <c r="A44" s="1" t="s">
        <v>953</v>
      </c>
      <c r="B44" s="1" t="s">
        <v>4556</v>
      </c>
    </row>
    <row r="45" spans="1:2" x14ac:dyDescent="0.25">
      <c r="A45" s="1" t="s">
        <v>954</v>
      </c>
      <c r="B45" s="1" t="s">
        <v>5200</v>
      </c>
    </row>
    <row r="46" spans="1:2" x14ac:dyDescent="0.25">
      <c r="A46" s="1" t="s">
        <v>955</v>
      </c>
      <c r="B46" s="1" t="s">
        <v>5201</v>
      </c>
    </row>
    <row r="47" spans="1:2" x14ac:dyDescent="0.25">
      <c r="A47" s="1" t="s">
        <v>956</v>
      </c>
      <c r="B47" s="1" t="s">
        <v>4557</v>
      </c>
    </row>
    <row r="48" spans="1:2" x14ac:dyDescent="0.25">
      <c r="A48" s="1" t="s">
        <v>957</v>
      </c>
      <c r="B48" s="1" t="s">
        <v>5202</v>
      </c>
    </row>
    <row r="49" spans="1:2" x14ac:dyDescent="0.25">
      <c r="A49" s="1" t="s">
        <v>958</v>
      </c>
      <c r="B49" s="1" t="s">
        <v>4825</v>
      </c>
    </row>
    <row r="50" spans="1:2" x14ac:dyDescent="0.25">
      <c r="A50" s="1" t="s">
        <v>959</v>
      </c>
      <c r="B50" s="1" t="s">
        <v>5203</v>
      </c>
    </row>
    <row r="51" spans="1:2" x14ac:dyDescent="0.25">
      <c r="A51" s="1" t="s">
        <v>960</v>
      </c>
      <c r="B51" s="1" t="s">
        <v>5204</v>
      </c>
    </row>
    <row r="52" spans="1:2" x14ac:dyDescent="0.25">
      <c r="A52" s="1" t="s">
        <v>961</v>
      </c>
      <c r="B52" s="1" t="s">
        <v>4703</v>
      </c>
    </row>
    <row r="53" spans="1:2" x14ac:dyDescent="0.25">
      <c r="A53" s="1" t="s">
        <v>962</v>
      </c>
      <c r="B53" s="1" t="s">
        <v>5205</v>
      </c>
    </row>
    <row r="54" spans="1:2" x14ac:dyDescent="0.25">
      <c r="A54" s="1" t="s">
        <v>963</v>
      </c>
      <c r="B54" s="1" t="s">
        <v>5206</v>
      </c>
    </row>
    <row r="55" spans="1:2" x14ac:dyDescent="0.25">
      <c r="A55" s="1" t="s">
        <v>964</v>
      </c>
      <c r="B55" s="1" t="s">
        <v>5207</v>
      </c>
    </row>
    <row r="56" spans="1:2" x14ac:dyDescent="0.25">
      <c r="A56" s="1" t="s">
        <v>965</v>
      </c>
      <c r="B56" s="1" t="s">
        <v>5208</v>
      </c>
    </row>
    <row r="57" spans="1:2" x14ac:dyDescent="0.25">
      <c r="A57" s="1" t="s">
        <v>966</v>
      </c>
      <c r="B57" s="1" t="s">
        <v>5209</v>
      </c>
    </row>
    <row r="58" spans="1:2" x14ac:dyDescent="0.25">
      <c r="A58" s="1" t="s">
        <v>967</v>
      </c>
      <c r="B58" s="1" t="s">
        <v>4411</v>
      </c>
    </row>
    <row r="59" spans="1:2" x14ac:dyDescent="0.25">
      <c r="A59" s="1" t="s">
        <v>968</v>
      </c>
      <c r="B59" s="1" t="s">
        <v>4334</v>
      </c>
    </row>
    <row r="60" spans="1:2" x14ac:dyDescent="0.25">
      <c r="A60" s="1" t="s">
        <v>969</v>
      </c>
      <c r="B60" s="1" t="s">
        <v>4898</v>
      </c>
    </row>
    <row r="61" spans="1:2" x14ac:dyDescent="0.25">
      <c r="A61" s="1" t="s">
        <v>970</v>
      </c>
      <c r="B61" s="1" t="s">
        <v>4764</v>
      </c>
    </row>
    <row r="62" spans="1:2" x14ac:dyDescent="0.25">
      <c r="A62" s="1" t="s">
        <v>971</v>
      </c>
      <c r="B62" s="1" t="s">
        <v>5210</v>
      </c>
    </row>
    <row r="63" spans="1:2" x14ac:dyDescent="0.25">
      <c r="A63" s="1" t="s">
        <v>972</v>
      </c>
      <c r="B63" s="1" t="s">
        <v>5211</v>
      </c>
    </row>
    <row r="64" spans="1:2" x14ac:dyDescent="0.25">
      <c r="A64" s="1" t="s">
        <v>973</v>
      </c>
      <c r="B64" s="1" t="s">
        <v>5212</v>
      </c>
    </row>
    <row r="65" spans="1:2" x14ac:dyDescent="0.25">
      <c r="A65" s="1" t="s">
        <v>974</v>
      </c>
      <c r="B65" s="1" t="s">
        <v>5213</v>
      </c>
    </row>
    <row r="66" spans="1:2" x14ac:dyDescent="0.25">
      <c r="A66" s="1" t="s">
        <v>975</v>
      </c>
      <c r="B66" s="1" t="s">
        <v>4881</v>
      </c>
    </row>
    <row r="67" spans="1:2" x14ac:dyDescent="0.25">
      <c r="A67" s="1" t="s">
        <v>976</v>
      </c>
      <c r="B67" s="1" t="s">
        <v>4389</v>
      </c>
    </row>
    <row r="68" spans="1:2" x14ac:dyDescent="0.25">
      <c r="A68" s="1" t="s">
        <v>977</v>
      </c>
      <c r="B68" s="1" t="s">
        <v>5214</v>
      </c>
    </row>
    <row r="69" spans="1:2" x14ac:dyDescent="0.25">
      <c r="A69" s="1" t="s">
        <v>978</v>
      </c>
      <c r="B69" s="1" t="s">
        <v>5215</v>
      </c>
    </row>
    <row r="70" spans="1:2" x14ac:dyDescent="0.25">
      <c r="A70" s="1" t="s">
        <v>979</v>
      </c>
      <c r="B70" s="1" t="s">
        <v>5216</v>
      </c>
    </row>
    <row r="71" spans="1:2" x14ac:dyDescent="0.25">
      <c r="A71" s="1" t="s">
        <v>980</v>
      </c>
      <c r="B71" s="1" t="s">
        <v>5217</v>
      </c>
    </row>
    <row r="72" spans="1:2" x14ac:dyDescent="0.25">
      <c r="A72" s="1" t="s">
        <v>981</v>
      </c>
      <c r="B72" s="1" t="s">
        <v>4561</v>
      </c>
    </row>
    <row r="73" spans="1:2" x14ac:dyDescent="0.25">
      <c r="A73" s="1" t="s">
        <v>982</v>
      </c>
      <c r="B73" s="1" t="s">
        <v>5218</v>
      </c>
    </row>
    <row r="74" spans="1:2" x14ac:dyDescent="0.25">
      <c r="A74" s="1" t="s">
        <v>983</v>
      </c>
      <c r="B74" s="1" t="s">
        <v>4711</v>
      </c>
    </row>
    <row r="75" spans="1:2" x14ac:dyDescent="0.25">
      <c r="A75" s="1" t="s">
        <v>984</v>
      </c>
      <c r="B75" s="1" t="s">
        <v>5219</v>
      </c>
    </row>
    <row r="76" spans="1:2" x14ac:dyDescent="0.25">
      <c r="A76" s="1" t="s">
        <v>985</v>
      </c>
      <c r="B76" s="1" t="s">
        <v>4745</v>
      </c>
    </row>
    <row r="77" spans="1:2" x14ac:dyDescent="0.25">
      <c r="A77" s="1" t="s">
        <v>986</v>
      </c>
      <c r="B77" s="1" t="s">
        <v>5220</v>
      </c>
    </row>
    <row r="78" spans="1:2" x14ac:dyDescent="0.25">
      <c r="A78" s="1" t="s">
        <v>987</v>
      </c>
      <c r="B78" s="1" t="s">
        <v>5221</v>
      </c>
    </row>
    <row r="79" spans="1:2" x14ac:dyDescent="0.25">
      <c r="A79" s="1" t="s">
        <v>988</v>
      </c>
      <c r="B79" s="1" t="s">
        <v>5222</v>
      </c>
    </row>
    <row r="80" spans="1:2" x14ac:dyDescent="0.25">
      <c r="A80" s="1" t="s">
        <v>989</v>
      </c>
      <c r="B80" s="1" t="s">
        <v>4861</v>
      </c>
    </row>
    <row r="81" spans="1:2" x14ac:dyDescent="0.25">
      <c r="A81" s="1" t="s">
        <v>990</v>
      </c>
      <c r="B81" s="1" t="s">
        <v>5223</v>
      </c>
    </row>
    <row r="82" spans="1:2" x14ac:dyDescent="0.25">
      <c r="A82" s="1" t="s">
        <v>991</v>
      </c>
      <c r="B82" s="1" t="s">
        <v>5224</v>
      </c>
    </row>
    <row r="83" spans="1:2" x14ac:dyDescent="0.25">
      <c r="A83" s="1" t="s">
        <v>992</v>
      </c>
      <c r="B83" s="1" t="s">
        <v>4563</v>
      </c>
    </row>
    <row r="84" spans="1:2" x14ac:dyDescent="0.25">
      <c r="A84" s="1" t="s">
        <v>993</v>
      </c>
      <c r="B84" s="1" t="s">
        <v>4564</v>
      </c>
    </row>
    <row r="85" spans="1:2" x14ac:dyDescent="0.25">
      <c r="A85" s="1" t="s">
        <v>994</v>
      </c>
      <c r="B85" s="1" t="s">
        <v>5225</v>
      </c>
    </row>
    <row r="86" spans="1:2" x14ac:dyDescent="0.25">
      <c r="A86" s="1" t="s">
        <v>995</v>
      </c>
      <c r="B86" s="1" t="s">
        <v>4340</v>
      </c>
    </row>
    <row r="87" spans="1:2" x14ac:dyDescent="0.25">
      <c r="A87" s="1" t="s">
        <v>996</v>
      </c>
      <c r="B87" s="1" t="s">
        <v>5226</v>
      </c>
    </row>
    <row r="88" spans="1:2" x14ac:dyDescent="0.25">
      <c r="A88" s="1" t="s">
        <v>997</v>
      </c>
      <c r="B88" s="1" t="s">
        <v>5227</v>
      </c>
    </row>
    <row r="89" spans="1:2" x14ac:dyDescent="0.25">
      <c r="A89" s="1" t="s">
        <v>998</v>
      </c>
      <c r="B89" s="1" t="s">
        <v>5228</v>
      </c>
    </row>
    <row r="90" spans="1:2" x14ac:dyDescent="0.25">
      <c r="A90" s="1" t="s">
        <v>999</v>
      </c>
      <c r="B90" s="1" t="s">
        <v>5229</v>
      </c>
    </row>
    <row r="91" spans="1:2" x14ac:dyDescent="0.25">
      <c r="A91" s="1" t="s">
        <v>1000</v>
      </c>
      <c r="B91" s="1" t="s">
        <v>5230</v>
      </c>
    </row>
    <row r="92" spans="1:2" x14ac:dyDescent="0.25">
      <c r="A92" s="1" t="s">
        <v>1001</v>
      </c>
      <c r="B92" s="1" t="s">
        <v>5231</v>
      </c>
    </row>
    <row r="93" spans="1:2" x14ac:dyDescent="0.25">
      <c r="A93" s="1" t="s">
        <v>1002</v>
      </c>
      <c r="B93" s="1" t="s">
        <v>5232</v>
      </c>
    </row>
    <row r="94" spans="1:2" x14ac:dyDescent="0.25">
      <c r="A94" s="1" t="s">
        <v>1003</v>
      </c>
      <c r="B94" s="1" t="s">
        <v>5233</v>
      </c>
    </row>
    <row r="95" spans="1:2" x14ac:dyDescent="0.25">
      <c r="A95" s="1" t="s">
        <v>1004</v>
      </c>
      <c r="B95" s="1" t="s">
        <v>5234</v>
      </c>
    </row>
    <row r="96" spans="1:2" x14ac:dyDescent="0.25">
      <c r="A96" s="1" t="s">
        <v>1005</v>
      </c>
      <c r="B96" s="1" t="s">
        <v>4874</v>
      </c>
    </row>
    <row r="97" spans="1:2" x14ac:dyDescent="0.25">
      <c r="A97" s="1" t="s">
        <v>1006</v>
      </c>
      <c r="B97" s="1" t="s">
        <v>5235</v>
      </c>
    </row>
    <row r="98" spans="1:2" x14ac:dyDescent="0.25">
      <c r="A98" s="1" t="s">
        <v>1007</v>
      </c>
      <c r="B98" s="1" t="s">
        <v>4839</v>
      </c>
    </row>
    <row r="99" spans="1:2" x14ac:dyDescent="0.25">
      <c r="A99" s="1" t="s">
        <v>1008</v>
      </c>
      <c r="B99" s="1" t="s">
        <v>5236</v>
      </c>
    </row>
    <row r="100" spans="1:2" x14ac:dyDescent="0.25">
      <c r="A100" s="1" t="s">
        <v>1009</v>
      </c>
      <c r="B100" s="1" t="s">
        <v>4815</v>
      </c>
    </row>
    <row r="101" spans="1:2" x14ac:dyDescent="0.25">
      <c r="A101" s="1" t="s">
        <v>1010</v>
      </c>
      <c r="B101" s="1" t="s">
        <v>5237</v>
      </c>
    </row>
    <row r="102" spans="1:2" x14ac:dyDescent="0.25">
      <c r="A102" s="1" t="s">
        <v>1011</v>
      </c>
      <c r="B102" s="1" t="s">
        <v>5238</v>
      </c>
    </row>
    <row r="103" spans="1:2" x14ac:dyDescent="0.25">
      <c r="A103" s="1" t="s">
        <v>1012</v>
      </c>
      <c r="B103" s="1" t="s">
        <v>5239</v>
      </c>
    </row>
    <row r="104" spans="1:2" x14ac:dyDescent="0.25">
      <c r="A104" s="1" t="s">
        <v>1013</v>
      </c>
      <c r="B104" s="1" t="s">
        <v>5240</v>
      </c>
    </row>
    <row r="105" spans="1:2" x14ac:dyDescent="0.25">
      <c r="A105" s="1" t="s">
        <v>1014</v>
      </c>
      <c r="B105" s="1" t="s">
        <v>5241</v>
      </c>
    </row>
    <row r="106" spans="1:2" x14ac:dyDescent="0.25">
      <c r="A106" s="1" t="s">
        <v>1015</v>
      </c>
      <c r="B106" s="1" t="s">
        <v>5242</v>
      </c>
    </row>
    <row r="107" spans="1:2" x14ac:dyDescent="0.25">
      <c r="A107" s="1" t="s">
        <v>1016</v>
      </c>
      <c r="B107" s="1" t="s">
        <v>5243</v>
      </c>
    </row>
    <row r="108" spans="1:2" x14ac:dyDescent="0.25">
      <c r="A108" s="1" t="s">
        <v>1017</v>
      </c>
      <c r="B108" s="1" t="s">
        <v>5244</v>
      </c>
    </row>
    <row r="109" spans="1:2" x14ac:dyDescent="0.25">
      <c r="A109" s="1" t="s">
        <v>1018</v>
      </c>
      <c r="B109" s="1" t="s">
        <v>5201</v>
      </c>
    </row>
    <row r="110" spans="1:2" x14ac:dyDescent="0.25">
      <c r="A110" s="1" t="s">
        <v>1019</v>
      </c>
      <c r="B110" s="1" t="s">
        <v>4344</v>
      </c>
    </row>
    <row r="111" spans="1:2" x14ac:dyDescent="0.25">
      <c r="A111" s="1" t="s">
        <v>1020</v>
      </c>
      <c r="B111" s="1" t="s">
        <v>5245</v>
      </c>
    </row>
    <row r="112" spans="1:2" x14ac:dyDescent="0.25">
      <c r="A112" s="1" t="s">
        <v>1021</v>
      </c>
      <c r="B112" s="1" t="s">
        <v>5246</v>
      </c>
    </row>
    <row r="113" spans="1:2" x14ac:dyDescent="0.25">
      <c r="A113" s="1" t="s">
        <v>1022</v>
      </c>
      <c r="B113" s="1" t="s">
        <v>5247</v>
      </c>
    </row>
    <row r="114" spans="1:2" x14ac:dyDescent="0.25">
      <c r="A114" s="1" t="s">
        <v>1023</v>
      </c>
      <c r="B114" s="1" t="s">
        <v>5248</v>
      </c>
    </row>
    <row r="115" spans="1:2" x14ac:dyDescent="0.25">
      <c r="A115" s="1" t="s">
        <v>1024</v>
      </c>
      <c r="B115" s="1" t="s">
        <v>5249</v>
      </c>
    </row>
    <row r="116" spans="1:2" x14ac:dyDescent="0.25">
      <c r="A116" s="1" t="s">
        <v>1025</v>
      </c>
      <c r="B116" s="1" t="s">
        <v>5250</v>
      </c>
    </row>
    <row r="117" spans="1:2" x14ac:dyDescent="0.25">
      <c r="A117" s="1" t="s">
        <v>1026</v>
      </c>
      <c r="B117" s="1" t="s">
        <v>4340</v>
      </c>
    </row>
    <row r="118" spans="1:2" x14ac:dyDescent="0.25">
      <c r="A118" s="1" t="s">
        <v>1027</v>
      </c>
      <c r="B118" s="1" t="s">
        <v>5135</v>
      </c>
    </row>
    <row r="119" spans="1:2" x14ac:dyDescent="0.25">
      <c r="A119" s="1" t="s">
        <v>1028</v>
      </c>
      <c r="B119" s="1" t="s">
        <v>5251</v>
      </c>
    </row>
    <row r="120" spans="1:2" x14ac:dyDescent="0.25">
      <c r="A120" s="1" t="s">
        <v>1029</v>
      </c>
      <c r="B120" s="1" t="s">
        <v>5252</v>
      </c>
    </row>
    <row r="121" spans="1:2" x14ac:dyDescent="0.25">
      <c r="A121" s="1" t="s">
        <v>1030</v>
      </c>
      <c r="B121" s="1" t="s">
        <v>5253</v>
      </c>
    </row>
    <row r="122" spans="1:2" x14ac:dyDescent="0.25">
      <c r="A122" s="1" t="s">
        <v>1031</v>
      </c>
      <c r="B122" s="1" t="s">
        <v>5254</v>
      </c>
    </row>
    <row r="123" spans="1:2" x14ac:dyDescent="0.25">
      <c r="A123" s="1" t="s">
        <v>1032</v>
      </c>
      <c r="B123" s="1" t="s">
        <v>5255</v>
      </c>
    </row>
    <row r="124" spans="1:2" x14ac:dyDescent="0.25">
      <c r="A124" s="1" t="s">
        <v>1033</v>
      </c>
      <c r="B124" s="1" t="s">
        <v>5256</v>
      </c>
    </row>
    <row r="125" spans="1:2" x14ac:dyDescent="0.25">
      <c r="A125" s="1" t="s">
        <v>1034</v>
      </c>
      <c r="B125" s="1" t="s">
        <v>5257</v>
      </c>
    </row>
    <row r="126" spans="1:2" x14ac:dyDescent="0.25">
      <c r="A126" s="1" t="s">
        <v>1035</v>
      </c>
      <c r="B126" s="1" t="s">
        <v>5258</v>
      </c>
    </row>
    <row r="127" spans="1:2" x14ac:dyDescent="0.25">
      <c r="A127" s="1" t="s">
        <v>4265</v>
      </c>
      <c r="B127" s="1" t="s">
        <v>5259</v>
      </c>
    </row>
    <row r="128" spans="1:2" x14ac:dyDescent="0.25">
      <c r="A128" s="1" t="s">
        <v>820</v>
      </c>
      <c r="B128" s="1" t="s">
        <v>5260</v>
      </c>
    </row>
    <row r="129" spans="1:2" x14ac:dyDescent="0.25">
      <c r="A129" s="1" t="s">
        <v>1036</v>
      </c>
      <c r="B129" s="1" t="s">
        <v>5261</v>
      </c>
    </row>
    <row r="130" spans="1:2" x14ac:dyDescent="0.25">
      <c r="A130" s="1" t="s">
        <v>1037</v>
      </c>
      <c r="B130" s="1" t="s">
        <v>4570</v>
      </c>
    </row>
    <row r="131" spans="1:2" x14ac:dyDescent="0.25">
      <c r="A131" s="1" t="s">
        <v>1038</v>
      </c>
      <c r="B131" s="1" t="s">
        <v>4706</v>
      </c>
    </row>
    <row r="132" spans="1:2" x14ac:dyDescent="0.25">
      <c r="A132" s="1" t="s">
        <v>1039</v>
      </c>
      <c r="B132" s="1" t="s">
        <v>5262</v>
      </c>
    </row>
    <row r="133" spans="1:2" x14ac:dyDescent="0.25">
      <c r="A133" s="1" t="s">
        <v>1040</v>
      </c>
      <c r="B133" s="1" t="s">
        <v>4765</v>
      </c>
    </row>
    <row r="134" spans="1:2" x14ac:dyDescent="0.25">
      <c r="A134" s="1" t="s">
        <v>1041</v>
      </c>
      <c r="B134" s="1" t="s">
        <v>5263</v>
      </c>
    </row>
    <row r="135" spans="1:2" x14ac:dyDescent="0.25">
      <c r="A135" s="1" t="s">
        <v>1042</v>
      </c>
      <c r="B135" s="1" t="s">
        <v>5264</v>
      </c>
    </row>
    <row r="136" spans="1:2" x14ac:dyDescent="0.25">
      <c r="A136" s="1" t="s">
        <v>1043</v>
      </c>
      <c r="B136" s="1" t="s">
        <v>5265</v>
      </c>
    </row>
    <row r="137" spans="1:2" x14ac:dyDescent="0.25">
      <c r="A137" s="1" t="s">
        <v>1044</v>
      </c>
      <c r="B137" s="1" t="s">
        <v>5266</v>
      </c>
    </row>
    <row r="138" spans="1:2" x14ac:dyDescent="0.25">
      <c r="A138" s="1" t="s">
        <v>1045</v>
      </c>
      <c r="B138" s="1" t="s">
        <v>5267</v>
      </c>
    </row>
    <row r="139" spans="1:2" x14ac:dyDescent="0.25">
      <c r="A139" s="1" t="s">
        <v>1046</v>
      </c>
      <c r="B139" s="1" t="s">
        <v>4723</v>
      </c>
    </row>
    <row r="140" spans="1:2" x14ac:dyDescent="0.25">
      <c r="A140" s="1" t="s">
        <v>1047</v>
      </c>
      <c r="B140" s="1" t="s">
        <v>5268</v>
      </c>
    </row>
    <row r="141" spans="1:2" x14ac:dyDescent="0.25">
      <c r="A141" s="1" t="s">
        <v>1048</v>
      </c>
      <c r="B141" s="1" t="s">
        <v>4873</v>
      </c>
    </row>
    <row r="142" spans="1:2" x14ac:dyDescent="0.25">
      <c r="A142" s="1" t="s">
        <v>1049</v>
      </c>
      <c r="B142" s="1" t="s">
        <v>5269</v>
      </c>
    </row>
    <row r="143" spans="1:2" x14ac:dyDescent="0.25">
      <c r="A143" s="1" t="s">
        <v>1050</v>
      </c>
      <c r="B143" s="1" t="s">
        <v>5187</v>
      </c>
    </row>
    <row r="144" spans="1:2" x14ac:dyDescent="0.25">
      <c r="A144" s="1" t="s">
        <v>1051</v>
      </c>
      <c r="B144" s="1" t="s">
        <v>4349</v>
      </c>
    </row>
    <row r="145" spans="1:2" x14ac:dyDescent="0.25">
      <c r="A145" s="1" t="s">
        <v>1052</v>
      </c>
      <c r="B145" s="1" t="s">
        <v>5270</v>
      </c>
    </row>
    <row r="146" spans="1:2" x14ac:dyDescent="0.25">
      <c r="A146" s="1" t="s">
        <v>1053</v>
      </c>
      <c r="B146" s="1" t="s">
        <v>5271</v>
      </c>
    </row>
    <row r="147" spans="1:2" x14ac:dyDescent="0.25">
      <c r="A147" s="1" t="s">
        <v>1054</v>
      </c>
      <c r="B147" s="1" t="s">
        <v>5241</v>
      </c>
    </row>
    <row r="148" spans="1:2" x14ac:dyDescent="0.25">
      <c r="A148" s="1" t="s">
        <v>1055</v>
      </c>
      <c r="B148" s="1" t="s">
        <v>5272</v>
      </c>
    </row>
    <row r="149" spans="1:2" x14ac:dyDescent="0.25">
      <c r="A149" s="1" t="s">
        <v>1056</v>
      </c>
      <c r="B149" s="1" t="s">
        <v>4416</v>
      </c>
    </row>
    <row r="150" spans="1:2" x14ac:dyDescent="0.25">
      <c r="A150" s="1" t="s">
        <v>1057</v>
      </c>
      <c r="B150" s="1" t="s">
        <v>5273</v>
      </c>
    </row>
    <row r="151" spans="1:2" x14ac:dyDescent="0.25">
      <c r="A151" s="1" t="s">
        <v>1058</v>
      </c>
      <c r="B151" s="1" t="s">
        <v>5274</v>
      </c>
    </row>
    <row r="152" spans="1:2" x14ac:dyDescent="0.25">
      <c r="A152" s="1" t="s">
        <v>1059</v>
      </c>
      <c r="B152" s="1" t="s">
        <v>5275</v>
      </c>
    </row>
    <row r="153" spans="1:2" x14ac:dyDescent="0.25">
      <c r="A153" s="1" t="s">
        <v>1060</v>
      </c>
      <c r="B153" s="1" t="s">
        <v>5276</v>
      </c>
    </row>
    <row r="154" spans="1:2" x14ac:dyDescent="0.25">
      <c r="A154" s="1" t="s">
        <v>1061</v>
      </c>
      <c r="B154" s="1" t="s">
        <v>4620</v>
      </c>
    </row>
    <row r="155" spans="1:2" x14ac:dyDescent="0.25">
      <c r="A155" s="1" t="s">
        <v>4353</v>
      </c>
      <c r="B155" s="1" t="s">
        <v>5277</v>
      </c>
    </row>
    <row r="156" spans="1:2" x14ac:dyDescent="0.25">
      <c r="A156" s="1" t="s">
        <v>1062</v>
      </c>
      <c r="B156" s="1" t="s">
        <v>5278</v>
      </c>
    </row>
    <row r="157" spans="1:2" x14ac:dyDescent="0.25">
      <c r="A157" s="1" t="s">
        <v>1063</v>
      </c>
      <c r="B157" s="1" t="s">
        <v>5279</v>
      </c>
    </row>
    <row r="158" spans="1:2" x14ac:dyDescent="0.25">
      <c r="A158" s="1" t="s">
        <v>1064</v>
      </c>
      <c r="B158" s="1" t="s">
        <v>5280</v>
      </c>
    </row>
    <row r="159" spans="1:2" x14ac:dyDescent="0.25">
      <c r="A159" s="1" t="s">
        <v>1065</v>
      </c>
      <c r="B159" s="1" t="s">
        <v>5281</v>
      </c>
    </row>
    <row r="160" spans="1:2" x14ac:dyDescent="0.25">
      <c r="A160" s="1" t="s">
        <v>1066</v>
      </c>
      <c r="B160" s="1" t="s">
        <v>4892</v>
      </c>
    </row>
    <row r="161" spans="1:2" x14ac:dyDescent="0.25">
      <c r="A161" s="1" t="s">
        <v>1067</v>
      </c>
      <c r="B161" s="1" t="s">
        <v>5282</v>
      </c>
    </row>
    <row r="162" spans="1:2" x14ac:dyDescent="0.25">
      <c r="A162" s="1" t="s">
        <v>1068</v>
      </c>
      <c r="B162" s="1" t="s">
        <v>5283</v>
      </c>
    </row>
    <row r="163" spans="1:2" x14ac:dyDescent="0.25">
      <c r="A163" s="1" t="s">
        <v>1069</v>
      </c>
      <c r="B163" s="1" t="s">
        <v>5206</v>
      </c>
    </row>
    <row r="164" spans="1:2" x14ac:dyDescent="0.25">
      <c r="A164" s="1" t="s">
        <v>1070</v>
      </c>
      <c r="B164" s="1" t="s">
        <v>4865</v>
      </c>
    </row>
    <row r="165" spans="1:2" x14ac:dyDescent="0.25">
      <c r="A165" s="1" t="s">
        <v>1071</v>
      </c>
      <c r="B165" s="1" t="s">
        <v>5284</v>
      </c>
    </row>
    <row r="166" spans="1:2" x14ac:dyDescent="0.25">
      <c r="A166" s="1" t="s">
        <v>1072</v>
      </c>
      <c r="B166" s="1" t="s">
        <v>5285</v>
      </c>
    </row>
    <row r="167" spans="1:2" x14ac:dyDescent="0.25">
      <c r="A167" s="1" t="s">
        <v>1073</v>
      </c>
      <c r="B167" s="1" t="s">
        <v>4354</v>
      </c>
    </row>
    <row r="168" spans="1:2" x14ac:dyDescent="0.25">
      <c r="A168" s="1" t="s">
        <v>1074</v>
      </c>
      <c r="B168" s="1" t="s">
        <v>5286</v>
      </c>
    </row>
    <row r="169" spans="1:2" x14ac:dyDescent="0.25">
      <c r="A169" s="1" t="s">
        <v>1075</v>
      </c>
      <c r="B169" s="1" t="s">
        <v>5287</v>
      </c>
    </row>
    <row r="170" spans="1:2" x14ac:dyDescent="0.25">
      <c r="A170" s="1" t="s">
        <v>1076</v>
      </c>
      <c r="B170" s="1" t="s">
        <v>5288</v>
      </c>
    </row>
    <row r="171" spans="1:2" x14ac:dyDescent="0.25">
      <c r="A171" s="1" t="s">
        <v>1077</v>
      </c>
      <c r="B171" s="1" t="s">
        <v>5289</v>
      </c>
    </row>
    <row r="172" spans="1:2" x14ac:dyDescent="0.25">
      <c r="A172" s="1" t="s">
        <v>1078</v>
      </c>
      <c r="B172" s="1" t="s">
        <v>4605</v>
      </c>
    </row>
    <row r="173" spans="1:2" x14ac:dyDescent="0.25">
      <c r="A173" s="1" t="s">
        <v>1079</v>
      </c>
      <c r="B173" s="1" t="s">
        <v>5290</v>
      </c>
    </row>
    <row r="174" spans="1:2" x14ac:dyDescent="0.25">
      <c r="A174" s="1" t="s">
        <v>1080</v>
      </c>
      <c r="B174" s="1" t="s">
        <v>5291</v>
      </c>
    </row>
    <row r="175" spans="1:2" x14ac:dyDescent="0.25">
      <c r="A175" s="1" t="s">
        <v>1081</v>
      </c>
      <c r="B175" s="1" t="s">
        <v>5292</v>
      </c>
    </row>
    <row r="176" spans="1:2" x14ac:dyDescent="0.25">
      <c r="A176" s="1" t="s">
        <v>1082</v>
      </c>
      <c r="B176" s="1" t="s">
        <v>5293</v>
      </c>
    </row>
    <row r="177" spans="1:2" x14ac:dyDescent="0.25">
      <c r="A177" s="1" t="s">
        <v>4311</v>
      </c>
      <c r="B177" s="1" t="s">
        <v>4800</v>
      </c>
    </row>
    <row r="178" spans="1:2" x14ac:dyDescent="0.25">
      <c r="A178" s="1" t="s">
        <v>1083</v>
      </c>
      <c r="B178" s="1" t="s">
        <v>5294</v>
      </c>
    </row>
    <row r="179" spans="1:2" x14ac:dyDescent="0.25">
      <c r="A179" s="1" t="s">
        <v>1084</v>
      </c>
      <c r="B179" s="1" t="s">
        <v>5295</v>
      </c>
    </row>
    <row r="180" spans="1:2" x14ac:dyDescent="0.25">
      <c r="A180" s="1" t="s">
        <v>1085</v>
      </c>
      <c r="B180" s="1" t="s">
        <v>5296</v>
      </c>
    </row>
    <row r="181" spans="1:2" x14ac:dyDescent="0.25">
      <c r="A181" s="1" t="s">
        <v>1086</v>
      </c>
      <c r="B181" s="1" t="s">
        <v>5297</v>
      </c>
    </row>
    <row r="182" spans="1:2" x14ac:dyDescent="0.25">
      <c r="A182" s="1" t="s">
        <v>1087</v>
      </c>
      <c r="B182" s="1" t="s">
        <v>5298</v>
      </c>
    </row>
    <row r="183" spans="1:2" x14ac:dyDescent="0.25">
      <c r="A183" s="1" t="s">
        <v>1088</v>
      </c>
      <c r="B183" s="1" t="s">
        <v>5299</v>
      </c>
    </row>
    <row r="184" spans="1:2" x14ac:dyDescent="0.25">
      <c r="A184" s="1" t="s">
        <v>1089</v>
      </c>
      <c r="B184" s="1" t="s">
        <v>5300</v>
      </c>
    </row>
    <row r="185" spans="1:2" x14ac:dyDescent="0.25">
      <c r="A185" s="1" t="s">
        <v>1090</v>
      </c>
      <c r="B185" s="1" t="s">
        <v>5301</v>
      </c>
    </row>
    <row r="186" spans="1:2" x14ac:dyDescent="0.25">
      <c r="A186" s="1" t="s">
        <v>1091</v>
      </c>
      <c r="B186" s="1" t="s">
        <v>5302</v>
      </c>
    </row>
    <row r="187" spans="1:2" x14ac:dyDescent="0.25">
      <c r="A187" s="1" t="s">
        <v>1092</v>
      </c>
      <c r="B187" s="1" t="s">
        <v>5303</v>
      </c>
    </row>
    <row r="188" spans="1:2" x14ac:dyDescent="0.25">
      <c r="A188" s="1" t="s">
        <v>1093</v>
      </c>
      <c r="B188" s="1" t="s">
        <v>5304</v>
      </c>
    </row>
    <row r="189" spans="1:2" x14ac:dyDescent="0.25">
      <c r="A189" s="1" t="s">
        <v>1094</v>
      </c>
      <c r="B189" s="1" t="s">
        <v>5305</v>
      </c>
    </row>
    <row r="190" spans="1:2" x14ac:dyDescent="0.25">
      <c r="A190" s="1" t="s">
        <v>1095</v>
      </c>
      <c r="B190" s="1" t="s">
        <v>5306</v>
      </c>
    </row>
    <row r="191" spans="1:2" x14ac:dyDescent="0.25">
      <c r="A191" s="1" t="s">
        <v>1096</v>
      </c>
      <c r="B191" s="1" t="s">
        <v>5307</v>
      </c>
    </row>
    <row r="192" spans="1:2" x14ac:dyDescent="0.25">
      <c r="A192" s="1" t="s">
        <v>1097</v>
      </c>
      <c r="B192" s="1" t="s">
        <v>5308</v>
      </c>
    </row>
    <row r="193" spans="1:2" x14ac:dyDescent="0.25">
      <c r="A193" s="1" t="s">
        <v>1098</v>
      </c>
      <c r="B193" s="1" t="s">
        <v>5309</v>
      </c>
    </row>
    <row r="194" spans="1:2" x14ac:dyDescent="0.25">
      <c r="A194" s="1" t="s">
        <v>1099</v>
      </c>
      <c r="B194" s="1" t="s">
        <v>5310</v>
      </c>
    </row>
    <row r="195" spans="1:2" x14ac:dyDescent="0.25">
      <c r="A195" s="1" t="s">
        <v>1100</v>
      </c>
      <c r="B195" s="1" t="s">
        <v>5311</v>
      </c>
    </row>
    <row r="196" spans="1:2" x14ac:dyDescent="0.25">
      <c r="A196" s="1" t="s">
        <v>1101</v>
      </c>
      <c r="B196" s="1" t="s">
        <v>5312</v>
      </c>
    </row>
    <row r="197" spans="1:2" x14ac:dyDescent="0.25">
      <c r="A197" s="1" t="s">
        <v>1102</v>
      </c>
      <c r="B197" s="1" t="s">
        <v>5313</v>
      </c>
    </row>
    <row r="198" spans="1:2" x14ac:dyDescent="0.25">
      <c r="A198" s="1" t="s">
        <v>1103</v>
      </c>
      <c r="B198" s="1" t="s">
        <v>5314</v>
      </c>
    </row>
    <row r="199" spans="1:2" x14ac:dyDescent="0.25">
      <c r="A199" s="1" t="s">
        <v>1104</v>
      </c>
      <c r="B199" s="1" t="s">
        <v>5315</v>
      </c>
    </row>
    <row r="200" spans="1:2" x14ac:dyDescent="0.25">
      <c r="A200" s="1" t="s">
        <v>1105</v>
      </c>
      <c r="B200" s="1" t="s">
        <v>5187</v>
      </c>
    </row>
    <row r="201" spans="1:2" x14ac:dyDescent="0.25">
      <c r="A201" s="1" t="s">
        <v>1106</v>
      </c>
      <c r="B201" s="1" t="s">
        <v>5316</v>
      </c>
    </row>
    <row r="202" spans="1:2" x14ac:dyDescent="0.25">
      <c r="A202" s="1" t="s">
        <v>1107</v>
      </c>
      <c r="B202" s="1" t="s">
        <v>5317</v>
      </c>
    </row>
    <row r="203" spans="1:2" x14ac:dyDescent="0.25">
      <c r="A203" s="1" t="s">
        <v>1108</v>
      </c>
      <c r="B203" s="1" t="s">
        <v>5318</v>
      </c>
    </row>
    <row r="204" spans="1:2" x14ac:dyDescent="0.25">
      <c r="A204" s="1" t="s">
        <v>1109</v>
      </c>
      <c r="B204" s="1" t="s">
        <v>5319</v>
      </c>
    </row>
    <row r="205" spans="1:2" x14ac:dyDescent="0.25">
      <c r="A205" s="1" t="s">
        <v>1110</v>
      </c>
      <c r="B205" s="1" t="s">
        <v>5320</v>
      </c>
    </row>
    <row r="206" spans="1:2" x14ac:dyDescent="0.25">
      <c r="A206" s="1" t="s">
        <v>1111</v>
      </c>
      <c r="B206" s="1" t="s">
        <v>5321</v>
      </c>
    </row>
    <row r="207" spans="1:2" x14ac:dyDescent="0.25">
      <c r="A207" s="1" t="s">
        <v>1112</v>
      </c>
      <c r="B207" s="1" t="s">
        <v>5322</v>
      </c>
    </row>
    <row r="208" spans="1:2" x14ac:dyDescent="0.25">
      <c r="A208" s="1" t="s">
        <v>1113</v>
      </c>
      <c r="B208" s="1" t="s">
        <v>4567</v>
      </c>
    </row>
    <row r="209" spans="1:2" x14ac:dyDescent="0.25">
      <c r="A209" s="1" t="s">
        <v>1114</v>
      </c>
      <c r="B209" s="1" t="s">
        <v>5323</v>
      </c>
    </row>
    <row r="210" spans="1:2" x14ac:dyDescent="0.25">
      <c r="A210" s="1" t="s">
        <v>1115</v>
      </c>
      <c r="B210" s="1" t="s">
        <v>4574</v>
      </c>
    </row>
    <row r="211" spans="1:2" x14ac:dyDescent="0.25">
      <c r="A211" s="1" t="s">
        <v>1116</v>
      </c>
      <c r="B211" s="1" t="s">
        <v>5324</v>
      </c>
    </row>
    <row r="212" spans="1:2" x14ac:dyDescent="0.25">
      <c r="A212" s="1" t="s">
        <v>1117</v>
      </c>
      <c r="B212" s="1" t="s">
        <v>5325</v>
      </c>
    </row>
    <row r="213" spans="1:2" x14ac:dyDescent="0.25">
      <c r="A213" s="1" t="s">
        <v>1118</v>
      </c>
      <c r="B213" s="1" t="s">
        <v>5219</v>
      </c>
    </row>
    <row r="214" spans="1:2" x14ac:dyDescent="0.25">
      <c r="A214" s="1" t="s">
        <v>1119</v>
      </c>
      <c r="B214" s="1" t="s">
        <v>5326</v>
      </c>
    </row>
    <row r="215" spans="1:2" x14ac:dyDescent="0.25">
      <c r="A215" s="1" t="s">
        <v>1120</v>
      </c>
      <c r="B215" s="1" t="s">
        <v>5327</v>
      </c>
    </row>
    <row r="216" spans="1:2" x14ac:dyDescent="0.25">
      <c r="A216" s="1" t="s">
        <v>1121</v>
      </c>
      <c r="B216" s="1" t="s">
        <v>5328</v>
      </c>
    </row>
    <row r="217" spans="1:2" x14ac:dyDescent="0.25">
      <c r="A217" s="1" t="s">
        <v>1122</v>
      </c>
      <c r="B217" s="1" t="s">
        <v>5329</v>
      </c>
    </row>
    <row r="218" spans="1:2" x14ac:dyDescent="0.25">
      <c r="A218" s="1" t="s">
        <v>1123</v>
      </c>
      <c r="B218" s="1" t="s">
        <v>5330</v>
      </c>
    </row>
    <row r="219" spans="1:2" x14ac:dyDescent="0.25">
      <c r="A219" s="1" t="s">
        <v>1124</v>
      </c>
      <c r="B219" s="1" t="s">
        <v>5331</v>
      </c>
    </row>
    <row r="220" spans="1:2" x14ac:dyDescent="0.25">
      <c r="A220" s="1" t="s">
        <v>1125</v>
      </c>
      <c r="B220" s="1" t="s">
        <v>4744</v>
      </c>
    </row>
    <row r="221" spans="1:2" x14ac:dyDescent="0.25">
      <c r="A221" s="1" t="s">
        <v>4312</v>
      </c>
      <c r="B221" s="1" t="s">
        <v>5332</v>
      </c>
    </row>
    <row r="222" spans="1:2" x14ac:dyDescent="0.25">
      <c r="A222" s="1" t="s">
        <v>1126</v>
      </c>
      <c r="B222" s="1" t="s">
        <v>5333</v>
      </c>
    </row>
    <row r="223" spans="1:2" x14ac:dyDescent="0.25">
      <c r="A223" s="1" t="s">
        <v>1127</v>
      </c>
      <c r="B223" s="1" t="s">
        <v>4389</v>
      </c>
    </row>
    <row r="224" spans="1:2" x14ac:dyDescent="0.25">
      <c r="A224" s="1" t="s">
        <v>1128</v>
      </c>
      <c r="B224" s="1" t="s">
        <v>5334</v>
      </c>
    </row>
    <row r="225" spans="1:2" x14ac:dyDescent="0.25">
      <c r="A225" s="1" t="s">
        <v>1129</v>
      </c>
      <c r="B225" s="1" t="s">
        <v>5335</v>
      </c>
    </row>
    <row r="226" spans="1:2" x14ac:dyDescent="0.25">
      <c r="A226" s="1" t="s">
        <v>1130</v>
      </c>
      <c r="B226" s="1" t="s">
        <v>5336</v>
      </c>
    </row>
    <row r="227" spans="1:2" x14ac:dyDescent="0.25">
      <c r="A227" s="1" t="s">
        <v>1131</v>
      </c>
      <c r="B227" s="1" t="s">
        <v>5337</v>
      </c>
    </row>
    <row r="228" spans="1:2" x14ac:dyDescent="0.25">
      <c r="A228" s="1" t="s">
        <v>1132</v>
      </c>
      <c r="B228" s="1" t="s">
        <v>4676</v>
      </c>
    </row>
    <row r="229" spans="1:2" x14ac:dyDescent="0.25">
      <c r="A229" s="1" t="s">
        <v>1133</v>
      </c>
      <c r="B229" s="1" t="s">
        <v>5338</v>
      </c>
    </row>
    <row r="230" spans="1:2" x14ac:dyDescent="0.25">
      <c r="A230" s="1" t="s">
        <v>1134</v>
      </c>
      <c r="B230" s="1" t="s">
        <v>5339</v>
      </c>
    </row>
    <row r="231" spans="1:2" x14ac:dyDescent="0.25">
      <c r="A231" s="1" t="s">
        <v>1135</v>
      </c>
      <c r="B231" s="1" t="s">
        <v>4683</v>
      </c>
    </row>
    <row r="232" spans="1:2" x14ac:dyDescent="0.25">
      <c r="A232" s="1" t="s">
        <v>1136</v>
      </c>
      <c r="B232" s="1" t="s">
        <v>4667</v>
      </c>
    </row>
    <row r="233" spans="1:2" x14ac:dyDescent="0.25">
      <c r="A233" s="1" t="s">
        <v>1137</v>
      </c>
      <c r="B233" s="1" t="s">
        <v>5340</v>
      </c>
    </row>
    <row r="234" spans="1:2" x14ac:dyDescent="0.25">
      <c r="A234" s="1" t="s">
        <v>1138</v>
      </c>
      <c r="B234" s="1" t="s">
        <v>5341</v>
      </c>
    </row>
    <row r="235" spans="1:2" x14ac:dyDescent="0.25">
      <c r="A235" s="1" t="s">
        <v>1139</v>
      </c>
      <c r="B235" s="1" t="s">
        <v>4576</v>
      </c>
    </row>
    <row r="236" spans="1:2" x14ac:dyDescent="0.25">
      <c r="A236" s="1" t="s">
        <v>1140</v>
      </c>
      <c r="B236" s="1" t="s">
        <v>5342</v>
      </c>
    </row>
    <row r="237" spans="1:2" x14ac:dyDescent="0.25">
      <c r="A237" s="1" t="s">
        <v>1141</v>
      </c>
      <c r="B237" s="1" t="s">
        <v>5262</v>
      </c>
    </row>
    <row r="238" spans="1:2" x14ac:dyDescent="0.25">
      <c r="A238" s="1" t="s">
        <v>1142</v>
      </c>
      <c r="B238" s="1" t="s">
        <v>5261</v>
      </c>
    </row>
    <row r="239" spans="1:2" x14ac:dyDescent="0.25">
      <c r="A239" s="1" t="s">
        <v>1143</v>
      </c>
      <c r="B239" s="1" t="s">
        <v>4731</v>
      </c>
    </row>
    <row r="240" spans="1:2" x14ac:dyDescent="0.25">
      <c r="A240" s="1" t="s">
        <v>1144</v>
      </c>
      <c r="B240" s="1" t="s">
        <v>4366</v>
      </c>
    </row>
    <row r="241" spans="1:2" x14ac:dyDescent="0.25">
      <c r="A241" s="1" t="s">
        <v>1145</v>
      </c>
      <c r="B241" s="1" t="s">
        <v>5249</v>
      </c>
    </row>
    <row r="242" spans="1:2" x14ac:dyDescent="0.25">
      <c r="A242" s="1" t="s">
        <v>1146</v>
      </c>
      <c r="B242" s="1" t="s">
        <v>5343</v>
      </c>
    </row>
    <row r="243" spans="1:2" x14ac:dyDescent="0.25">
      <c r="A243" s="1" t="s">
        <v>1147</v>
      </c>
      <c r="B243" s="1" t="s">
        <v>4703</v>
      </c>
    </row>
    <row r="244" spans="1:2" x14ac:dyDescent="0.25">
      <c r="A244" s="1" t="s">
        <v>1148</v>
      </c>
      <c r="B244" s="1" t="s">
        <v>5344</v>
      </c>
    </row>
    <row r="245" spans="1:2" x14ac:dyDescent="0.25">
      <c r="A245" s="1" t="s">
        <v>1149</v>
      </c>
      <c r="B245" s="1" t="s">
        <v>5345</v>
      </c>
    </row>
    <row r="246" spans="1:2" x14ac:dyDescent="0.25">
      <c r="A246" s="1" t="s">
        <v>1150</v>
      </c>
      <c r="B246" s="1" t="s">
        <v>5346</v>
      </c>
    </row>
    <row r="247" spans="1:2" x14ac:dyDescent="0.25">
      <c r="A247" s="1" t="s">
        <v>1151</v>
      </c>
      <c r="B247" s="1" t="s">
        <v>5347</v>
      </c>
    </row>
    <row r="248" spans="1:2" x14ac:dyDescent="0.25">
      <c r="A248" s="1" t="s">
        <v>1152</v>
      </c>
      <c r="B248" s="1" t="s">
        <v>5348</v>
      </c>
    </row>
    <row r="249" spans="1:2" x14ac:dyDescent="0.25">
      <c r="A249" s="1" t="s">
        <v>1153</v>
      </c>
      <c r="B249" s="1" t="s">
        <v>5349</v>
      </c>
    </row>
    <row r="250" spans="1:2" x14ac:dyDescent="0.25">
      <c r="A250" s="1" t="s">
        <v>1154</v>
      </c>
      <c r="B250" s="1" t="s">
        <v>4415</v>
      </c>
    </row>
    <row r="251" spans="1:2" x14ac:dyDescent="0.25">
      <c r="A251" s="1" t="s">
        <v>1155</v>
      </c>
      <c r="B251" s="1" t="s">
        <v>5350</v>
      </c>
    </row>
    <row r="252" spans="1:2" x14ac:dyDescent="0.25">
      <c r="A252" s="1" t="s">
        <v>1156</v>
      </c>
      <c r="B252" s="1" t="s">
        <v>5351</v>
      </c>
    </row>
    <row r="253" spans="1:2" x14ac:dyDescent="0.25">
      <c r="A253" s="1" t="s">
        <v>1157</v>
      </c>
      <c r="B253" s="1" t="s">
        <v>5352</v>
      </c>
    </row>
    <row r="254" spans="1:2" x14ac:dyDescent="0.25">
      <c r="A254" s="1" t="s">
        <v>1158</v>
      </c>
      <c r="B254" s="1" t="s">
        <v>4752</v>
      </c>
    </row>
    <row r="255" spans="1:2" x14ac:dyDescent="0.25">
      <c r="A255" s="1" t="s">
        <v>1159</v>
      </c>
      <c r="B255" s="1" t="s">
        <v>5353</v>
      </c>
    </row>
    <row r="256" spans="1:2" x14ac:dyDescent="0.25">
      <c r="A256" s="1" t="s">
        <v>1160</v>
      </c>
      <c r="B256" s="1" t="s">
        <v>5354</v>
      </c>
    </row>
    <row r="257" spans="1:2" x14ac:dyDescent="0.25">
      <c r="A257" s="1" t="s">
        <v>1161</v>
      </c>
      <c r="B257" s="1" t="s">
        <v>5355</v>
      </c>
    </row>
    <row r="258" spans="1:2" x14ac:dyDescent="0.25">
      <c r="A258" s="1" t="s">
        <v>1162</v>
      </c>
      <c r="B258" s="1" t="s">
        <v>4663</v>
      </c>
    </row>
    <row r="259" spans="1:2" x14ac:dyDescent="0.25">
      <c r="A259" s="1" t="s">
        <v>1163</v>
      </c>
      <c r="B259" s="1" t="s">
        <v>4709</v>
      </c>
    </row>
    <row r="260" spans="1:2" x14ac:dyDescent="0.25">
      <c r="A260" s="1" t="s">
        <v>1164</v>
      </c>
      <c r="B260" s="1" t="s">
        <v>5356</v>
      </c>
    </row>
    <row r="261" spans="1:2" x14ac:dyDescent="0.25">
      <c r="A261" s="1" t="s">
        <v>1165</v>
      </c>
      <c r="B261" s="1" t="s">
        <v>5357</v>
      </c>
    </row>
    <row r="262" spans="1:2" x14ac:dyDescent="0.25">
      <c r="A262" s="1" t="s">
        <v>1166</v>
      </c>
      <c r="B262" s="1" t="s">
        <v>4578</v>
      </c>
    </row>
    <row r="263" spans="1:2" x14ac:dyDescent="0.25">
      <c r="A263" s="1" t="s">
        <v>1167</v>
      </c>
      <c r="B263" s="1" t="s">
        <v>5358</v>
      </c>
    </row>
    <row r="264" spans="1:2" x14ac:dyDescent="0.25">
      <c r="A264" s="1" t="s">
        <v>1168</v>
      </c>
      <c r="B264" s="1" t="s">
        <v>5359</v>
      </c>
    </row>
    <row r="265" spans="1:2" x14ac:dyDescent="0.25">
      <c r="A265" s="1" t="s">
        <v>1169</v>
      </c>
      <c r="B265" s="1" t="s">
        <v>5360</v>
      </c>
    </row>
    <row r="266" spans="1:2" x14ac:dyDescent="0.25">
      <c r="A266" s="1" t="s">
        <v>1170</v>
      </c>
      <c r="B266" s="1" t="s">
        <v>5361</v>
      </c>
    </row>
    <row r="267" spans="1:2" x14ac:dyDescent="0.25">
      <c r="A267" s="1" t="s">
        <v>1171</v>
      </c>
      <c r="B267" s="1" t="s">
        <v>4802</v>
      </c>
    </row>
    <row r="268" spans="1:2" x14ac:dyDescent="0.25">
      <c r="A268" s="1" t="s">
        <v>1172</v>
      </c>
      <c r="B268" s="1" t="s">
        <v>5362</v>
      </c>
    </row>
    <row r="269" spans="1:2" x14ac:dyDescent="0.25">
      <c r="A269" s="1" t="s">
        <v>1173</v>
      </c>
      <c r="B269" s="1" t="s">
        <v>5363</v>
      </c>
    </row>
    <row r="270" spans="1:2" x14ac:dyDescent="0.25">
      <c r="A270" s="1" t="s">
        <v>1174</v>
      </c>
      <c r="B270" s="1" t="s">
        <v>4392</v>
      </c>
    </row>
    <row r="271" spans="1:2" x14ac:dyDescent="0.25">
      <c r="A271" s="1" t="s">
        <v>1175</v>
      </c>
      <c r="B271" s="1" t="s">
        <v>5364</v>
      </c>
    </row>
    <row r="272" spans="1:2" x14ac:dyDescent="0.25">
      <c r="A272" s="1" t="s">
        <v>1176</v>
      </c>
      <c r="B272" s="1" t="s">
        <v>5365</v>
      </c>
    </row>
    <row r="273" spans="1:2" x14ac:dyDescent="0.25">
      <c r="A273" s="1" t="s">
        <v>1177</v>
      </c>
      <c r="B273" s="1" t="s">
        <v>5366</v>
      </c>
    </row>
    <row r="274" spans="1:2" x14ac:dyDescent="0.25">
      <c r="A274" s="1" t="s">
        <v>1178</v>
      </c>
      <c r="B274" s="1" t="s">
        <v>5367</v>
      </c>
    </row>
    <row r="275" spans="1:2" x14ac:dyDescent="0.25">
      <c r="A275" s="1" t="s">
        <v>1179</v>
      </c>
      <c r="B275" s="1" t="s">
        <v>5182</v>
      </c>
    </row>
    <row r="276" spans="1:2" x14ac:dyDescent="0.25">
      <c r="A276" s="1" t="s">
        <v>1180</v>
      </c>
      <c r="B276" s="1" t="s">
        <v>5368</v>
      </c>
    </row>
    <row r="277" spans="1:2" x14ac:dyDescent="0.25">
      <c r="A277" s="1" t="s">
        <v>1181</v>
      </c>
      <c r="B277" s="1" t="s">
        <v>5369</v>
      </c>
    </row>
    <row r="278" spans="1:2" x14ac:dyDescent="0.25">
      <c r="A278" s="1" t="s">
        <v>4579</v>
      </c>
      <c r="B278" s="1" t="s">
        <v>4394</v>
      </c>
    </row>
    <row r="279" spans="1:2" x14ac:dyDescent="0.25">
      <c r="A279" s="1" t="s">
        <v>1182</v>
      </c>
      <c r="B279" s="1" t="s">
        <v>5370</v>
      </c>
    </row>
    <row r="280" spans="1:2" x14ac:dyDescent="0.25">
      <c r="A280" s="1" t="s">
        <v>1183</v>
      </c>
      <c r="B280" s="1" t="s">
        <v>5371</v>
      </c>
    </row>
    <row r="281" spans="1:2" x14ac:dyDescent="0.25">
      <c r="A281" s="1" t="s">
        <v>1184</v>
      </c>
      <c r="B281" s="1" t="s">
        <v>4416</v>
      </c>
    </row>
    <row r="282" spans="1:2" x14ac:dyDescent="0.25">
      <c r="A282" s="1" t="s">
        <v>1185</v>
      </c>
      <c r="B282" s="1" t="s">
        <v>5372</v>
      </c>
    </row>
    <row r="283" spans="1:2" x14ac:dyDescent="0.25">
      <c r="A283" s="1" t="s">
        <v>1186</v>
      </c>
      <c r="B283" s="1" t="s">
        <v>5373</v>
      </c>
    </row>
    <row r="284" spans="1:2" x14ac:dyDescent="0.25">
      <c r="A284" s="1" t="s">
        <v>1187</v>
      </c>
      <c r="B284" s="1" t="s">
        <v>5374</v>
      </c>
    </row>
    <row r="285" spans="1:2" x14ac:dyDescent="0.25">
      <c r="A285" s="1" t="s">
        <v>1188</v>
      </c>
      <c r="B285" s="1" t="s">
        <v>5375</v>
      </c>
    </row>
    <row r="286" spans="1:2" x14ac:dyDescent="0.25">
      <c r="A286" s="1" t="s">
        <v>1189</v>
      </c>
      <c r="B286" s="1" t="s">
        <v>5345</v>
      </c>
    </row>
    <row r="287" spans="1:2" x14ac:dyDescent="0.25">
      <c r="A287" s="1" t="s">
        <v>1190</v>
      </c>
      <c r="B287" s="1" t="s">
        <v>5376</v>
      </c>
    </row>
    <row r="288" spans="1:2" x14ac:dyDescent="0.25">
      <c r="A288" s="1" t="s">
        <v>1191</v>
      </c>
      <c r="B288" s="1" t="s">
        <v>4878</v>
      </c>
    </row>
    <row r="289" spans="1:2" x14ac:dyDescent="0.25">
      <c r="A289" s="1" t="s">
        <v>1192</v>
      </c>
      <c r="B289" s="1" t="s">
        <v>5377</v>
      </c>
    </row>
    <row r="290" spans="1:2" x14ac:dyDescent="0.25">
      <c r="A290" s="1" t="s">
        <v>1193</v>
      </c>
      <c r="B290" s="1" t="s">
        <v>5378</v>
      </c>
    </row>
    <row r="291" spans="1:2" x14ac:dyDescent="0.25">
      <c r="A291" s="1" t="s">
        <v>1194</v>
      </c>
      <c r="B291" s="1" t="s">
        <v>5379</v>
      </c>
    </row>
    <row r="292" spans="1:2" x14ac:dyDescent="0.25">
      <c r="A292" s="1" t="s">
        <v>1195</v>
      </c>
      <c r="B292" s="1" t="s">
        <v>4334</v>
      </c>
    </row>
    <row r="293" spans="1:2" x14ac:dyDescent="0.25">
      <c r="A293" s="1" t="s">
        <v>1196</v>
      </c>
      <c r="B293" s="1" t="s">
        <v>4638</v>
      </c>
    </row>
    <row r="294" spans="1:2" x14ac:dyDescent="0.25">
      <c r="A294" s="1" t="s">
        <v>1197</v>
      </c>
      <c r="B294" s="1" t="s">
        <v>5380</v>
      </c>
    </row>
    <row r="295" spans="1:2" x14ac:dyDescent="0.25">
      <c r="A295" s="1" t="s">
        <v>1198</v>
      </c>
      <c r="B295" s="1" t="s">
        <v>4849</v>
      </c>
    </row>
    <row r="296" spans="1:2" x14ac:dyDescent="0.25">
      <c r="A296" s="1" t="s">
        <v>1199</v>
      </c>
      <c r="B296" s="1" t="s">
        <v>5381</v>
      </c>
    </row>
    <row r="297" spans="1:2" x14ac:dyDescent="0.25">
      <c r="A297" s="1" t="s">
        <v>1200</v>
      </c>
      <c r="B297" s="1" t="s">
        <v>4748</v>
      </c>
    </row>
    <row r="298" spans="1:2" x14ac:dyDescent="0.25">
      <c r="A298" s="1" t="s">
        <v>616</v>
      </c>
      <c r="B298" s="1" t="s">
        <v>5382</v>
      </c>
    </row>
    <row r="299" spans="1:2" x14ac:dyDescent="0.25">
      <c r="A299" s="1" t="s">
        <v>1201</v>
      </c>
      <c r="B299" s="1" t="s">
        <v>5383</v>
      </c>
    </row>
    <row r="300" spans="1:2" x14ac:dyDescent="0.25">
      <c r="A300" s="1" t="s">
        <v>1202</v>
      </c>
      <c r="B300" s="1" t="s">
        <v>5384</v>
      </c>
    </row>
    <row r="301" spans="1:2" x14ac:dyDescent="0.25">
      <c r="A301" s="1" t="s">
        <v>1203</v>
      </c>
      <c r="B301" s="1" t="s">
        <v>4694</v>
      </c>
    </row>
    <row r="302" spans="1:2" x14ac:dyDescent="0.25">
      <c r="A302" s="1" t="s">
        <v>1204</v>
      </c>
      <c r="B302" s="1" t="s">
        <v>5385</v>
      </c>
    </row>
    <row r="303" spans="1:2" x14ac:dyDescent="0.25">
      <c r="A303" s="1" t="s">
        <v>1205</v>
      </c>
      <c r="B303" s="1" t="s">
        <v>5386</v>
      </c>
    </row>
    <row r="304" spans="1:2" x14ac:dyDescent="0.25">
      <c r="A304" s="1" t="s">
        <v>1206</v>
      </c>
      <c r="B304" s="1" t="s">
        <v>4574</v>
      </c>
    </row>
    <row r="305" spans="1:2" x14ac:dyDescent="0.25">
      <c r="A305" s="1" t="s">
        <v>1207</v>
      </c>
      <c r="B305" s="1" t="s">
        <v>5380</v>
      </c>
    </row>
    <row r="306" spans="1:2" x14ac:dyDescent="0.25">
      <c r="A306" s="1" t="s">
        <v>1208</v>
      </c>
      <c r="B306" s="1" t="s">
        <v>5387</v>
      </c>
    </row>
    <row r="307" spans="1:2" x14ac:dyDescent="0.25">
      <c r="A307" s="1" t="s">
        <v>1209</v>
      </c>
      <c r="B307" s="1" t="s">
        <v>5388</v>
      </c>
    </row>
    <row r="308" spans="1:2" x14ac:dyDescent="0.25">
      <c r="A308" s="1" t="s">
        <v>1210</v>
      </c>
      <c r="B308" s="1" t="s">
        <v>4601</v>
      </c>
    </row>
    <row r="309" spans="1:2" x14ac:dyDescent="0.25">
      <c r="A309" s="1" t="s">
        <v>1211</v>
      </c>
      <c r="B309" s="1" t="s">
        <v>5389</v>
      </c>
    </row>
    <row r="310" spans="1:2" x14ac:dyDescent="0.25">
      <c r="A310" s="1" t="s">
        <v>1212</v>
      </c>
      <c r="B310" s="1" t="s">
        <v>4718</v>
      </c>
    </row>
    <row r="311" spans="1:2" x14ac:dyDescent="0.25">
      <c r="A311" s="1" t="s">
        <v>1213</v>
      </c>
      <c r="B311" s="1" t="s">
        <v>4759</v>
      </c>
    </row>
    <row r="312" spans="1:2" x14ac:dyDescent="0.25">
      <c r="A312" s="1" t="s">
        <v>1214</v>
      </c>
      <c r="B312" s="1" t="s">
        <v>4343</v>
      </c>
    </row>
    <row r="313" spans="1:2" x14ac:dyDescent="0.25">
      <c r="A313" s="1" t="s">
        <v>1215</v>
      </c>
      <c r="B313" s="1" t="s">
        <v>5390</v>
      </c>
    </row>
    <row r="314" spans="1:2" x14ac:dyDescent="0.25">
      <c r="A314" s="1" t="s">
        <v>845</v>
      </c>
      <c r="B314" s="1" t="s">
        <v>5391</v>
      </c>
    </row>
    <row r="315" spans="1:2" x14ac:dyDescent="0.25">
      <c r="A315" s="1" t="s">
        <v>1216</v>
      </c>
      <c r="B315" s="1" t="s">
        <v>4926</v>
      </c>
    </row>
    <row r="316" spans="1:2" x14ac:dyDescent="0.25">
      <c r="A316" s="1" t="s">
        <v>1217</v>
      </c>
      <c r="B316" s="1" t="s">
        <v>5392</v>
      </c>
    </row>
    <row r="317" spans="1:2" x14ac:dyDescent="0.25">
      <c r="A317" s="1" t="s">
        <v>1218</v>
      </c>
      <c r="B317" s="1" t="s">
        <v>5393</v>
      </c>
    </row>
    <row r="318" spans="1:2" x14ac:dyDescent="0.25">
      <c r="A318" s="1" t="s">
        <v>1219</v>
      </c>
      <c r="B318" s="1" t="s">
        <v>5394</v>
      </c>
    </row>
    <row r="319" spans="1:2" x14ac:dyDescent="0.25">
      <c r="A319" s="1" t="s">
        <v>1220</v>
      </c>
      <c r="B319" s="1" t="s">
        <v>4708</v>
      </c>
    </row>
    <row r="320" spans="1:2" x14ac:dyDescent="0.25">
      <c r="A320" s="1" t="s">
        <v>1221</v>
      </c>
      <c r="B320" s="1" t="s">
        <v>5193</v>
      </c>
    </row>
    <row r="321" spans="1:2" x14ac:dyDescent="0.25">
      <c r="A321" s="1" t="s">
        <v>1222</v>
      </c>
      <c r="B321" s="1" t="s">
        <v>5395</v>
      </c>
    </row>
    <row r="322" spans="1:2" x14ac:dyDescent="0.25">
      <c r="A322" s="1" t="s">
        <v>1223</v>
      </c>
      <c r="B322" s="1" t="s">
        <v>5396</v>
      </c>
    </row>
    <row r="323" spans="1:2" x14ac:dyDescent="0.25">
      <c r="A323" s="1" t="s">
        <v>1224</v>
      </c>
      <c r="B323" s="1" t="s">
        <v>5397</v>
      </c>
    </row>
    <row r="324" spans="1:2" x14ac:dyDescent="0.25">
      <c r="A324" s="1" t="s">
        <v>1225</v>
      </c>
      <c r="B324" s="1" t="s">
        <v>5398</v>
      </c>
    </row>
    <row r="325" spans="1:2" x14ac:dyDescent="0.25">
      <c r="A325" s="1" t="s">
        <v>1226</v>
      </c>
      <c r="B325" s="1" t="s">
        <v>5399</v>
      </c>
    </row>
    <row r="326" spans="1:2" x14ac:dyDescent="0.25">
      <c r="A326" s="1" t="s">
        <v>1227</v>
      </c>
      <c r="B326" s="1" t="s">
        <v>5400</v>
      </c>
    </row>
    <row r="327" spans="1:2" x14ac:dyDescent="0.25">
      <c r="A327" s="1" t="s">
        <v>1228</v>
      </c>
      <c r="B327" s="1" t="s">
        <v>5401</v>
      </c>
    </row>
    <row r="328" spans="1:2" x14ac:dyDescent="0.25">
      <c r="A328" s="1" t="s">
        <v>1229</v>
      </c>
      <c r="B328" s="1" t="s">
        <v>5402</v>
      </c>
    </row>
    <row r="329" spans="1:2" x14ac:dyDescent="0.25">
      <c r="A329" s="1" t="s">
        <v>1230</v>
      </c>
      <c r="B329" s="1" t="s">
        <v>5403</v>
      </c>
    </row>
    <row r="330" spans="1:2" x14ac:dyDescent="0.25">
      <c r="A330" s="1" t="s">
        <v>1231</v>
      </c>
      <c r="B330" s="1" t="s">
        <v>5404</v>
      </c>
    </row>
    <row r="331" spans="1:2" x14ac:dyDescent="0.25">
      <c r="A331" s="1" t="s">
        <v>1232</v>
      </c>
      <c r="B331" s="1" t="s">
        <v>5405</v>
      </c>
    </row>
    <row r="332" spans="1:2" x14ac:dyDescent="0.25">
      <c r="A332" s="1" t="s">
        <v>1233</v>
      </c>
      <c r="B332" s="1" t="s">
        <v>5406</v>
      </c>
    </row>
    <row r="333" spans="1:2" x14ac:dyDescent="0.25">
      <c r="A333" s="1" t="s">
        <v>1234</v>
      </c>
      <c r="B333" s="1" t="s">
        <v>5407</v>
      </c>
    </row>
    <row r="334" spans="1:2" x14ac:dyDescent="0.25">
      <c r="A334" s="1" t="s">
        <v>1235</v>
      </c>
      <c r="B334" s="1" t="s">
        <v>5117</v>
      </c>
    </row>
    <row r="335" spans="1:2" x14ac:dyDescent="0.25">
      <c r="A335" s="1" t="s">
        <v>1236</v>
      </c>
      <c r="B335" s="1" t="s">
        <v>5408</v>
      </c>
    </row>
    <row r="336" spans="1:2" x14ac:dyDescent="0.25">
      <c r="A336" s="1" t="s">
        <v>1237</v>
      </c>
      <c r="B336" s="1" t="s">
        <v>5409</v>
      </c>
    </row>
    <row r="337" spans="1:2" x14ac:dyDescent="0.25">
      <c r="A337" s="1" t="s">
        <v>1238</v>
      </c>
      <c r="B337" s="1" t="s">
        <v>5301</v>
      </c>
    </row>
    <row r="338" spans="1:2" x14ac:dyDescent="0.25">
      <c r="A338" s="1" t="s">
        <v>1239</v>
      </c>
      <c r="B338" s="1" t="s">
        <v>5410</v>
      </c>
    </row>
    <row r="339" spans="1:2" x14ac:dyDescent="0.25">
      <c r="A339" s="1" t="s">
        <v>1240</v>
      </c>
      <c r="B339" s="1" t="s">
        <v>5411</v>
      </c>
    </row>
    <row r="340" spans="1:2" x14ac:dyDescent="0.25">
      <c r="A340" s="1" t="s">
        <v>1241</v>
      </c>
      <c r="B340" s="1" t="s">
        <v>5412</v>
      </c>
    </row>
    <row r="341" spans="1:2" x14ac:dyDescent="0.25">
      <c r="A341" s="1" t="s">
        <v>1242</v>
      </c>
      <c r="B341" s="1" t="s">
        <v>5413</v>
      </c>
    </row>
    <row r="342" spans="1:2" x14ac:dyDescent="0.25">
      <c r="A342" s="1" t="s">
        <v>1243</v>
      </c>
      <c r="B342" s="1" t="s">
        <v>4634</v>
      </c>
    </row>
    <row r="343" spans="1:2" x14ac:dyDescent="0.25">
      <c r="A343" s="1" t="s">
        <v>1244</v>
      </c>
      <c r="B343" s="1" t="s">
        <v>4737</v>
      </c>
    </row>
    <row r="344" spans="1:2" x14ac:dyDescent="0.25">
      <c r="A344" s="1" t="s">
        <v>1245</v>
      </c>
      <c r="B344" s="1" t="s">
        <v>4745</v>
      </c>
    </row>
    <row r="345" spans="1:2" x14ac:dyDescent="0.25">
      <c r="A345" s="1" t="s">
        <v>1246</v>
      </c>
      <c r="B345" s="1" t="s">
        <v>4860</v>
      </c>
    </row>
    <row r="346" spans="1:2" x14ac:dyDescent="0.25">
      <c r="A346" s="1" t="s">
        <v>1247</v>
      </c>
      <c r="B346" s="1" t="s">
        <v>5414</v>
      </c>
    </row>
    <row r="347" spans="1:2" x14ac:dyDescent="0.25">
      <c r="A347" s="1" t="s">
        <v>1248</v>
      </c>
      <c r="B347" s="1" t="s">
        <v>5415</v>
      </c>
    </row>
    <row r="348" spans="1:2" x14ac:dyDescent="0.25">
      <c r="A348" s="1" t="s">
        <v>1249</v>
      </c>
      <c r="B348" s="1" t="s">
        <v>4953</v>
      </c>
    </row>
    <row r="349" spans="1:2" x14ac:dyDescent="0.25">
      <c r="A349" s="1" t="s">
        <v>1250</v>
      </c>
      <c r="B349" s="1" t="s">
        <v>5416</v>
      </c>
    </row>
    <row r="350" spans="1:2" x14ac:dyDescent="0.25">
      <c r="A350" s="1" t="s">
        <v>709</v>
      </c>
      <c r="B350" s="1" t="s">
        <v>5417</v>
      </c>
    </row>
    <row r="351" spans="1:2" x14ac:dyDescent="0.25">
      <c r="A351" s="1" t="s">
        <v>1251</v>
      </c>
      <c r="B351" s="1" t="s">
        <v>5418</v>
      </c>
    </row>
    <row r="352" spans="1:2" x14ac:dyDescent="0.25">
      <c r="A352" s="1" t="s">
        <v>1252</v>
      </c>
      <c r="B352" s="1" t="s">
        <v>5419</v>
      </c>
    </row>
    <row r="353" spans="1:2" x14ac:dyDescent="0.25">
      <c r="A353" s="1" t="s">
        <v>1253</v>
      </c>
      <c r="B353" s="1" t="s">
        <v>5420</v>
      </c>
    </row>
    <row r="354" spans="1:2" x14ac:dyDescent="0.25">
      <c r="A354" s="1" t="s">
        <v>1254</v>
      </c>
      <c r="B354" s="1" t="s">
        <v>4772</v>
      </c>
    </row>
    <row r="355" spans="1:2" x14ac:dyDescent="0.25">
      <c r="A355" s="1" t="s">
        <v>1255</v>
      </c>
      <c r="B355" s="1" t="s">
        <v>4468</v>
      </c>
    </row>
    <row r="356" spans="1:2" x14ac:dyDescent="0.25">
      <c r="A356" s="1" t="s">
        <v>1256</v>
      </c>
      <c r="B356" s="1" t="s">
        <v>5421</v>
      </c>
    </row>
    <row r="357" spans="1:2" x14ac:dyDescent="0.25">
      <c r="A357" s="1" t="s">
        <v>1257</v>
      </c>
      <c r="B357" s="1" t="s">
        <v>5422</v>
      </c>
    </row>
    <row r="358" spans="1:2" x14ac:dyDescent="0.25">
      <c r="A358" s="1" t="s">
        <v>1258</v>
      </c>
      <c r="B358" s="1" t="s">
        <v>5423</v>
      </c>
    </row>
    <row r="359" spans="1:2" x14ac:dyDescent="0.25">
      <c r="A359" s="1" t="s">
        <v>1259</v>
      </c>
      <c r="B359" s="1" t="s">
        <v>5424</v>
      </c>
    </row>
    <row r="360" spans="1:2" x14ac:dyDescent="0.25">
      <c r="A360" s="1" t="s">
        <v>1260</v>
      </c>
      <c r="B360" s="1" t="s">
        <v>4583</v>
      </c>
    </row>
    <row r="361" spans="1:2" x14ac:dyDescent="0.25">
      <c r="A361" s="1" t="s">
        <v>1261</v>
      </c>
      <c r="B361" s="1" t="s">
        <v>5425</v>
      </c>
    </row>
    <row r="362" spans="1:2" x14ac:dyDescent="0.25">
      <c r="A362" s="1" t="s">
        <v>1262</v>
      </c>
      <c r="B362" s="1" t="s">
        <v>4736</v>
      </c>
    </row>
    <row r="363" spans="1:2" x14ac:dyDescent="0.25">
      <c r="A363" s="1" t="s">
        <v>1263</v>
      </c>
      <c r="B363" s="1" t="s">
        <v>5426</v>
      </c>
    </row>
    <row r="364" spans="1:2" x14ac:dyDescent="0.25">
      <c r="A364" s="1" t="s">
        <v>1264</v>
      </c>
      <c r="B364" s="1" t="s">
        <v>5427</v>
      </c>
    </row>
    <row r="365" spans="1:2" x14ac:dyDescent="0.25">
      <c r="A365" s="1" t="s">
        <v>1265</v>
      </c>
      <c r="B365" s="1" t="s">
        <v>5428</v>
      </c>
    </row>
    <row r="366" spans="1:2" x14ac:dyDescent="0.25">
      <c r="A366" s="1" t="s">
        <v>1266</v>
      </c>
      <c r="B366" s="1" t="s">
        <v>5429</v>
      </c>
    </row>
    <row r="367" spans="1:2" x14ac:dyDescent="0.25">
      <c r="A367" s="1" t="s">
        <v>1267</v>
      </c>
      <c r="B367" s="1" t="s">
        <v>5430</v>
      </c>
    </row>
    <row r="368" spans="1:2" x14ac:dyDescent="0.25">
      <c r="A368" s="1" t="s">
        <v>4266</v>
      </c>
      <c r="B368" s="1" t="s">
        <v>5431</v>
      </c>
    </row>
    <row r="369" spans="1:2" x14ac:dyDescent="0.25">
      <c r="A369" s="1" t="s">
        <v>1268</v>
      </c>
      <c r="B369" s="1" t="s">
        <v>5020</v>
      </c>
    </row>
    <row r="370" spans="1:2" x14ac:dyDescent="0.25">
      <c r="A370" s="1" t="s">
        <v>1269</v>
      </c>
      <c r="B370" s="1" t="s">
        <v>4488</v>
      </c>
    </row>
    <row r="371" spans="1:2" x14ac:dyDescent="0.25">
      <c r="A371" s="1" t="s">
        <v>1270</v>
      </c>
      <c r="B371" s="1" t="s">
        <v>5432</v>
      </c>
    </row>
    <row r="372" spans="1:2" x14ac:dyDescent="0.25">
      <c r="A372" s="1" t="s">
        <v>1271</v>
      </c>
      <c r="B372" s="1" t="s">
        <v>5433</v>
      </c>
    </row>
    <row r="373" spans="1:2" x14ac:dyDescent="0.25">
      <c r="A373" s="1" t="s">
        <v>4313</v>
      </c>
      <c r="B373" s="1" t="s">
        <v>5434</v>
      </c>
    </row>
    <row r="374" spans="1:2" x14ac:dyDescent="0.25">
      <c r="A374" s="1" t="s">
        <v>1272</v>
      </c>
      <c r="B374" s="1" t="s">
        <v>5308</v>
      </c>
    </row>
    <row r="375" spans="1:2" x14ac:dyDescent="0.25">
      <c r="A375" s="1" t="s">
        <v>1273</v>
      </c>
      <c r="B375" s="1" t="s">
        <v>5435</v>
      </c>
    </row>
    <row r="376" spans="1:2" x14ac:dyDescent="0.25">
      <c r="A376" s="1" t="s">
        <v>1274</v>
      </c>
      <c r="B376" s="1" t="s">
        <v>5436</v>
      </c>
    </row>
    <row r="377" spans="1:2" x14ac:dyDescent="0.25">
      <c r="A377" s="1" t="s">
        <v>1275</v>
      </c>
      <c r="B377" s="1" t="s">
        <v>5437</v>
      </c>
    </row>
    <row r="378" spans="1:2" x14ac:dyDescent="0.25">
      <c r="A378" s="1" t="s">
        <v>1276</v>
      </c>
      <c r="B378" s="1" t="s">
        <v>4978</v>
      </c>
    </row>
    <row r="379" spans="1:2" x14ac:dyDescent="0.25">
      <c r="A379" s="1" t="s">
        <v>1277</v>
      </c>
      <c r="B379" s="1" t="s">
        <v>5438</v>
      </c>
    </row>
    <row r="380" spans="1:2" x14ac:dyDescent="0.25">
      <c r="A380" s="1" t="s">
        <v>1278</v>
      </c>
      <c r="B380" s="1" t="s">
        <v>4630</v>
      </c>
    </row>
    <row r="381" spans="1:2" x14ac:dyDescent="0.25">
      <c r="A381" s="1" t="s">
        <v>1279</v>
      </c>
      <c r="B381" s="1" t="s">
        <v>5439</v>
      </c>
    </row>
    <row r="382" spans="1:2" x14ac:dyDescent="0.25">
      <c r="A382" s="1" t="s">
        <v>1280</v>
      </c>
      <c r="B382" s="1" t="s">
        <v>5293</v>
      </c>
    </row>
    <row r="383" spans="1:2" x14ac:dyDescent="0.25">
      <c r="A383" s="1" t="s">
        <v>1281</v>
      </c>
      <c r="B383" s="1" t="s">
        <v>5440</v>
      </c>
    </row>
    <row r="384" spans="1:2" x14ac:dyDescent="0.25">
      <c r="A384" s="1" t="s">
        <v>1282</v>
      </c>
      <c r="B384" s="1" t="s">
        <v>5441</v>
      </c>
    </row>
    <row r="385" spans="1:2" x14ac:dyDescent="0.25">
      <c r="A385" s="1" t="s">
        <v>1283</v>
      </c>
      <c r="B385" s="1" t="s">
        <v>5442</v>
      </c>
    </row>
    <row r="386" spans="1:2" x14ac:dyDescent="0.25">
      <c r="A386" s="1" t="s">
        <v>1284</v>
      </c>
      <c r="B386" s="1" t="s">
        <v>5443</v>
      </c>
    </row>
    <row r="387" spans="1:2" x14ac:dyDescent="0.25">
      <c r="A387" s="1" t="s">
        <v>1285</v>
      </c>
      <c r="B387" s="1" t="s">
        <v>5444</v>
      </c>
    </row>
    <row r="388" spans="1:2" x14ac:dyDescent="0.25">
      <c r="A388" s="1" t="s">
        <v>1286</v>
      </c>
      <c r="B388" s="1" t="s">
        <v>5445</v>
      </c>
    </row>
    <row r="389" spans="1:2" x14ac:dyDescent="0.25">
      <c r="A389" s="1" t="s">
        <v>1287</v>
      </c>
      <c r="B389" s="1" t="s">
        <v>5446</v>
      </c>
    </row>
    <row r="390" spans="1:2" x14ac:dyDescent="0.25">
      <c r="A390" s="1" t="s">
        <v>1288</v>
      </c>
      <c r="B390" s="1" t="s">
        <v>5447</v>
      </c>
    </row>
    <row r="391" spans="1:2" x14ac:dyDescent="0.25">
      <c r="A391" s="1" t="s">
        <v>1289</v>
      </c>
      <c r="B391" s="1" t="s">
        <v>5448</v>
      </c>
    </row>
    <row r="392" spans="1:2" x14ac:dyDescent="0.25">
      <c r="A392" s="1" t="s">
        <v>1290</v>
      </c>
      <c r="B392" s="1" t="s">
        <v>5218</v>
      </c>
    </row>
    <row r="393" spans="1:2" x14ac:dyDescent="0.25">
      <c r="A393" s="1" t="s">
        <v>1291</v>
      </c>
      <c r="B393" s="1" t="s">
        <v>5449</v>
      </c>
    </row>
    <row r="394" spans="1:2" x14ac:dyDescent="0.25">
      <c r="A394" s="1" t="s">
        <v>1292</v>
      </c>
      <c r="B394" s="1" t="s">
        <v>5450</v>
      </c>
    </row>
    <row r="395" spans="1:2" x14ac:dyDescent="0.25">
      <c r="A395" s="1" t="s">
        <v>1293</v>
      </c>
      <c r="B395" s="1" t="s">
        <v>5451</v>
      </c>
    </row>
    <row r="396" spans="1:2" x14ac:dyDescent="0.25">
      <c r="A396" s="1" t="s">
        <v>1294</v>
      </c>
      <c r="B396" s="1" t="s">
        <v>4737</v>
      </c>
    </row>
    <row r="397" spans="1:2" x14ac:dyDescent="0.25">
      <c r="A397" s="1" t="s">
        <v>1295</v>
      </c>
      <c r="B397" s="1" t="s">
        <v>5452</v>
      </c>
    </row>
    <row r="398" spans="1:2" x14ac:dyDescent="0.25">
      <c r="A398" s="1" t="s">
        <v>1296</v>
      </c>
      <c r="B398" s="1" t="s">
        <v>5453</v>
      </c>
    </row>
    <row r="399" spans="1:2" x14ac:dyDescent="0.25">
      <c r="A399" s="1" t="s">
        <v>1297</v>
      </c>
      <c r="B399" s="1" t="s">
        <v>5454</v>
      </c>
    </row>
    <row r="400" spans="1:2" x14ac:dyDescent="0.25">
      <c r="A400" s="1" t="s">
        <v>1298</v>
      </c>
      <c r="B400" s="1" t="s">
        <v>5455</v>
      </c>
    </row>
    <row r="401" spans="1:2" x14ac:dyDescent="0.25">
      <c r="A401" s="1" t="s">
        <v>1299</v>
      </c>
      <c r="B401" s="1" t="s">
        <v>5456</v>
      </c>
    </row>
    <row r="402" spans="1:2" x14ac:dyDescent="0.25">
      <c r="A402" s="1" t="s">
        <v>1300</v>
      </c>
      <c r="B402" s="1" t="s">
        <v>4586</v>
      </c>
    </row>
    <row r="403" spans="1:2" x14ac:dyDescent="0.25">
      <c r="A403" s="1" t="s">
        <v>1301</v>
      </c>
      <c r="B403" s="1" t="s">
        <v>5457</v>
      </c>
    </row>
    <row r="404" spans="1:2" x14ac:dyDescent="0.25">
      <c r="A404" s="1" t="s">
        <v>1302</v>
      </c>
      <c r="B404" s="1" t="s">
        <v>5458</v>
      </c>
    </row>
    <row r="405" spans="1:2" x14ac:dyDescent="0.25">
      <c r="A405" s="1" t="s">
        <v>1303</v>
      </c>
      <c r="B405" s="1" t="s">
        <v>5459</v>
      </c>
    </row>
    <row r="406" spans="1:2" x14ac:dyDescent="0.25">
      <c r="A406" s="1" t="s">
        <v>1304</v>
      </c>
      <c r="B406" s="1" t="s">
        <v>4836</v>
      </c>
    </row>
    <row r="407" spans="1:2" x14ac:dyDescent="0.25">
      <c r="A407" s="1" t="s">
        <v>1305</v>
      </c>
      <c r="B407" s="1" t="s">
        <v>4779</v>
      </c>
    </row>
    <row r="408" spans="1:2" x14ac:dyDescent="0.25">
      <c r="A408" s="1" t="s">
        <v>1306</v>
      </c>
      <c r="B408" s="1" t="s">
        <v>5430</v>
      </c>
    </row>
    <row r="409" spans="1:2" x14ac:dyDescent="0.25">
      <c r="A409" s="1" t="s">
        <v>1307</v>
      </c>
      <c r="B409" s="1" t="s">
        <v>5460</v>
      </c>
    </row>
    <row r="410" spans="1:2" x14ac:dyDescent="0.25">
      <c r="A410" s="1" t="s">
        <v>1308</v>
      </c>
      <c r="B410" s="1" t="s">
        <v>5461</v>
      </c>
    </row>
    <row r="411" spans="1:2" x14ac:dyDescent="0.25">
      <c r="A411" s="1" t="s">
        <v>1309</v>
      </c>
      <c r="B411" s="1" t="s">
        <v>5462</v>
      </c>
    </row>
    <row r="412" spans="1:2" x14ac:dyDescent="0.25">
      <c r="A412" s="1" t="s">
        <v>1310</v>
      </c>
      <c r="B412" s="1" t="s">
        <v>5463</v>
      </c>
    </row>
    <row r="413" spans="1:2" x14ac:dyDescent="0.25">
      <c r="A413" s="1" t="s">
        <v>1311</v>
      </c>
      <c r="B413" s="1" t="s">
        <v>5464</v>
      </c>
    </row>
    <row r="414" spans="1:2" x14ac:dyDescent="0.25">
      <c r="A414" s="1" t="s">
        <v>1312</v>
      </c>
      <c r="B414" s="1" t="s">
        <v>5465</v>
      </c>
    </row>
    <row r="415" spans="1:2" x14ac:dyDescent="0.25">
      <c r="A415" s="1" t="s">
        <v>1313</v>
      </c>
      <c r="B415" s="1" t="s">
        <v>4588</v>
      </c>
    </row>
    <row r="416" spans="1:2" x14ac:dyDescent="0.25">
      <c r="A416" s="1" t="s">
        <v>1314</v>
      </c>
      <c r="B416" s="1" t="s">
        <v>4664</v>
      </c>
    </row>
    <row r="417" spans="1:2" x14ac:dyDescent="0.25">
      <c r="A417" s="1" t="s">
        <v>1315</v>
      </c>
      <c r="B417" s="1" t="s">
        <v>4378</v>
      </c>
    </row>
    <row r="418" spans="1:2" x14ac:dyDescent="0.25">
      <c r="A418" s="1" t="s">
        <v>1316</v>
      </c>
      <c r="B418" s="1" t="s">
        <v>5466</v>
      </c>
    </row>
    <row r="419" spans="1:2" x14ac:dyDescent="0.25">
      <c r="A419" s="1" t="s">
        <v>4335</v>
      </c>
      <c r="B419" s="1" t="s">
        <v>5467</v>
      </c>
    </row>
    <row r="420" spans="1:2" x14ac:dyDescent="0.25">
      <c r="A420" s="1" t="s">
        <v>1317</v>
      </c>
      <c r="B420" s="1" t="s">
        <v>5468</v>
      </c>
    </row>
    <row r="421" spans="1:2" x14ac:dyDescent="0.25">
      <c r="A421" s="1" t="s">
        <v>1318</v>
      </c>
      <c r="B421" s="1" t="s">
        <v>5469</v>
      </c>
    </row>
    <row r="422" spans="1:2" x14ac:dyDescent="0.25">
      <c r="A422" s="1" t="s">
        <v>1319</v>
      </c>
      <c r="B422" s="1" t="s">
        <v>5077</v>
      </c>
    </row>
    <row r="423" spans="1:2" x14ac:dyDescent="0.25">
      <c r="A423" s="1" t="s">
        <v>1320</v>
      </c>
      <c r="B423" s="1" t="s">
        <v>5470</v>
      </c>
    </row>
    <row r="424" spans="1:2" x14ac:dyDescent="0.25">
      <c r="A424" s="1" t="s">
        <v>1321</v>
      </c>
      <c r="B424" s="1" t="s">
        <v>5471</v>
      </c>
    </row>
    <row r="425" spans="1:2" x14ac:dyDescent="0.25">
      <c r="A425" s="1" t="s">
        <v>1322</v>
      </c>
      <c r="B425" s="1" t="s">
        <v>5472</v>
      </c>
    </row>
    <row r="426" spans="1:2" x14ac:dyDescent="0.25">
      <c r="A426" s="1" t="s">
        <v>1323</v>
      </c>
      <c r="B426" s="1" t="s">
        <v>5473</v>
      </c>
    </row>
    <row r="427" spans="1:2" x14ac:dyDescent="0.25">
      <c r="A427" s="1" t="s">
        <v>1324</v>
      </c>
      <c r="B427" s="1" t="s">
        <v>5474</v>
      </c>
    </row>
    <row r="428" spans="1:2" x14ac:dyDescent="0.25">
      <c r="A428" s="1" t="s">
        <v>1325</v>
      </c>
      <c r="B428" s="1" t="s">
        <v>5475</v>
      </c>
    </row>
    <row r="429" spans="1:2" x14ac:dyDescent="0.25">
      <c r="A429" s="1" t="s">
        <v>1326</v>
      </c>
      <c r="B429" s="1" t="s">
        <v>5476</v>
      </c>
    </row>
    <row r="430" spans="1:2" x14ac:dyDescent="0.25">
      <c r="A430" s="1" t="s">
        <v>1327</v>
      </c>
      <c r="B430" s="1" t="s">
        <v>5477</v>
      </c>
    </row>
    <row r="431" spans="1:2" x14ac:dyDescent="0.25">
      <c r="A431" s="1" t="s">
        <v>1328</v>
      </c>
      <c r="B431" s="1" t="s">
        <v>5001</v>
      </c>
    </row>
    <row r="432" spans="1:2" x14ac:dyDescent="0.25">
      <c r="A432" s="1" t="s">
        <v>1329</v>
      </c>
      <c r="B432" s="1" t="s">
        <v>5478</v>
      </c>
    </row>
    <row r="433" spans="1:2" x14ac:dyDescent="0.25">
      <c r="A433" s="1" t="s">
        <v>1330</v>
      </c>
      <c r="B433" s="1" t="s">
        <v>5479</v>
      </c>
    </row>
    <row r="434" spans="1:2" x14ac:dyDescent="0.25">
      <c r="A434" s="1" t="s">
        <v>1331</v>
      </c>
      <c r="B434" s="1" t="s">
        <v>5480</v>
      </c>
    </row>
    <row r="435" spans="1:2" x14ac:dyDescent="0.25">
      <c r="A435" s="1" t="s">
        <v>1332</v>
      </c>
      <c r="B435" s="1" t="s">
        <v>5481</v>
      </c>
    </row>
    <row r="436" spans="1:2" x14ac:dyDescent="0.25">
      <c r="A436" s="1" t="s">
        <v>1333</v>
      </c>
      <c r="B436" s="1" t="s">
        <v>4558</v>
      </c>
    </row>
    <row r="437" spans="1:2" x14ac:dyDescent="0.25">
      <c r="A437" s="1" t="s">
        <v>1334</v>
      </c>
      <c r="B437" s="1" t="s">
        <v>5482</v>
      </c>
    </row>
    <row r="438" spans="1:2" x14ac:dyDescent="0.25">
      <c r="A438" s="1" t="s">
        <v>1335</v>
      </c>
      <c r="B438" s="1" t="s">
        <v>5483</v>
      </c>
    </row>
    <row r="439" spans="1:2" x14ac:dyDescent="0.25">
      <c r="A439" s="1" t="s">
        <v>1336</v>
      </c>
      <c r="B439" s="1" t="s">
        <v>4613</v>
      </c>
    </row>
    <row r="440" spans="1:2" x14ac:dyDescent="0.25">
      <c r="A440" s="1" t="s">
        <v>1337</v>
      </c>
      <c r="B440" s="1" t="s">
        <v>5484</v>
      </c>
    </row>
    <row r="441" spans="1:2" x14ac:dyDescent="0.25">
      <c r="A441" s="1" t="s">
        <v>1338</v>
      </c>
      <c r="B441" s="1" t="s">
        <v>5485</v>
      </c>
    </row>
    <row r="442" spans="1:2" x14ac:dyDescent="0.25">
      <c r="A442" s="1" t="s">
        <v>1339</v>
      </c>
      <c r="B442" s="1" t="s">
        <v>5486</v>
      </c>
    </row>
    <row r="443" spans="1:2" x14ac:dyDescent="0.25">
      <c r="A443" s="1" t="s">
        <v>1340</v>
      </c>
      <c r="B443" s="1" t="s">
        <v>5487</v>
      </c>
    </row>
    <row r="444" spans="1:2" x14ac:dyDescent="0.25">
      <c r="A444" s="1" t="s">
        <v>1341</v>
      </c>
      <c r="B444" s="1" t="s">
        <v>5488</v>
      </c>
    </row>
    <row r="445" spans="1:2" x14ac:dyDescent="0.25">
      <c r="A445" s="1" t="s">
        <v>1342</v>
      </c>
      <c r="B445" s="1" t="s">
        <v>5489</v>
      </c>
    </row>
    <row r="446" spans="1:2" x14ac:dyDescent="0.25">
      <c r="A446" s="1" t="s">
        <v>1343</v>
      </c>
      <c r="B446" s="1" t="s">
        <v>5261</v>
      </c>
    </row>
    <row r="447" spans="1:2" x14ac:dyDescent="0.25">
      <c r="A447" s="1" t="s">
        <v>1344</v>
      </c>
      <c r="B447" s="1" t="s">
        <v>4867</v>
      </c>
    </row>
    <row r="448" spans="1:2" x14ac:dyDescent="0.25">
      <c r="A448" s="1" t="s">
        <v>1345</v>
      </c>
      <c r="B448" s="1" t="s">
        <v>5490</v>
      </c>
    </row>
    <row r="449" spans="1:2" x14ac:dyDescent="0.25">
      <c r="A449" s="1" t="s">
        <v>1346</v>
      </c>
      <c r="B449" s="1" t="s">
        <v>5491</v>
      </c>
    </row>
    <row r="450" spans="1:2" x14ac:dyDescent="0.25">
      <c r="A450" s="1" t="s">
        <v>1347</v>
      </c>
      <c r="B450" s="1" t="s">
        <v>5492</v>
      </c>
    </row>
    <row r="451" spans="1:2" x14ac:dyDescent="0.25">
      <c r="A451" s="1" t="s">
        <v>1348</v>
      </c>
      <c r="B451" s="1" t="s">
        <v>5493</v>
      </c>
    </row>
    <row r="452" spans="1:2" x14ac:dyDescent="0.25">
      <c r="A452" s="1" t="s">
        <v>1349</v>
      </c>
      <c r="B452" s="1" t="s">
        <v>5494</v>
      </c>
    </row>
    <row r="453" spans="1:2" x14ac:dyDescent="0.25">
      <c r="A453" s="1" t="s">
        <v>1350</v>
      </c>
      <c r="B453" s="1" t="s">
        <v>5495</v>
      </c>
    </row>
    <row r="454" spans="1:2" x14ac:dyDescent="0.25">
      <c r="A454" s="1" t="s">
        <v>1351</v>
      </c>
      <c r="B454" s="1" t="s">
        <v>5496</v>
      </c>
    </row>
    <row r="455" spans="1:2" x14ac:dyDescent="0.25">
      <c r="A455" s="1" t="s">
        <v>1352</v>
      </c>
      <c r="B455" s="1" t="s">
        <v>5497</v>
      </c>
    </row>
    <row r="456" spans="1:2" x14ac:dyDescent="0.25">
      <c r="A456" s="1" t="s">
        <v>1353</v>
      </c>
      <c r="B456" s="1" t="s">
        <v>5395</v>
      </c>
    </row>
    <row r="457" spans="1:2" x14ac:dyDescent="0.25">
      <c r="A457" s="1" t="s">
        <v>1354</v>
      </c>
      <c r="B457" s="1" t="s">
        <v>5484</v>
      </c>
    </row>
    <row r="458" spans="1:2" x14ac:dyDescent="0.25">
      <c r="A458" s="1" t="s">
        <v>1355</v>
      </c>
      <c r="B458" s="1" t="s">
        <v>5498</v>
      </c>
    </row>
    <row r="459" spans="1:2" x14ac:dyDescent="0.25">
      <c r="A459" s="1" t="s">
        <v>1356</v>
      </c>
      <c r="B459" s="1" t="s">
        <v>5499</v>
      </c>
    </row>
    <row r="460" spans="1:2" x14ac:dyDescent="0.25">
      <c r="A460" s="1" t="s">
        <v>1357</v>
      </c>
      <c r="B460" s="1" t="s">
        <v>5500</v>
      </c>
    </row>
    <row r="461" spans="1:2" x14ac:dyDescent="0.25">
      <c r="A461" s="1" t="s">
        <v>1358</v>
      </c>
      <c r="B461" s="1" t="s">
        <v>5501</v>
      </c>
    </row>
    <row r="462" spans="1:2" x14ac:dyDescent="0.25">
      <c r="A462" s="1" t="s">
        <v>1359</v>
      </c>
      <c r="B462" s="1" t="s">
        <v>4840</v>
      </c>
    </row>
    <row r="463" spans="1:2" x14ac:dyDescent="0.25">
      <c r="A463" s="1" t="s">
        <v>1360</v>
      </c>
      <c r="B463" s="1" t="s">
        <v>5502</v>
      </c>
    </row>
    <row r="464" spans="1:2" x14ac:dyDescent="0.25">
      <c r="A464" s="1" t="s">
        <v>1361</v>
      </c>
      <c r="B464" s="1" t="s">
        <v>5503</v>
      </c>
    </row>
    <row r="465" spans="1:2" x14ac:dyDescent="0.25">
      <c r="A465" s="1" t="s">
        <v>1362</v>
      </c>
      <c r="B465" s="1" t="s">
        <v>5504</v>
      </c>
    </row>
    <row r="466" spans="1:2" x14ac:dyDescent="0.25">
      <c r="A466" s="1" t="s">
        <v>1363</v>
      </c>
      <c r="B466" s="1" t="s">
        <v>5434</v>
      </c>
    </row>
    <row r="467" spans="1:2" x14ac:dyDescent="0.25">
      <c r="A467" s="1" t="s">
        <v>1364</v>
      </c>
      <c r="B467" s="1" t="s">
        <v>5505</v>
      </c>
    </row>
    <row r="468" spans="1:2" x14ac:dyDescent="0.25">
      <c r="A468" s="1" t="s">
        <v>1365</v>
      </c>
      <c r="B468" s="1" t="s">
        <v>4967</v>
      </c>
    </row>
    <row r="469" spans="1:2" x14ac:dyDescent="0.25">
      <c r="A469" s="1" t="s">
        <v>1366</v>
      </c>
      <c r="B469" s="1" t="s">
        <v>5506</v>
      </c>
    </row>
    <row r="470" spans="1:2" x14ac:dyDescent="0.25">
      <c r="A470" s="1" t="s">
        <v>1367</v>
      </c>
      <c r="B470" s="1" t="s">
        <v>5507</v>
      </c>
    </row>
    <row r="471" spans="1:2" x14ac:dyDescent="0.25">
      <c r="A471" s="1" t="s">
        <v>1368</v>
      </c>
      <c r="B471" s="1" t="s">
        <v>5508</v>
      </c>
    </row>
    <row r="472" spans="1:2" x14ac:dyDescent="0.25">
      <c r="A472" s="1" t="s">
        <v>1369</v>
      </c>
      <c r="B472" s="1" t="s">
        <v>5509</v>
      </c>
    </row>
    <row r="473" spans="1:2" x14ac:dyDescent="0.25">
      <c r="A473" s="1" t="s">
        <v>1370</v>
      </c>
      <c r="B473" s="1" t="s">
        <v>5510</v>
      </c>
    </row>
    <row r="474" spans="1:2" x14ac:dyDescent="0.25">
      <c r="A474" s="1" t="s">
        <v>1371</v>
      </c>
      <c r="B474" s="1" t="s">
        <v>5511</v>
      </c>
    </row>
    <row r="475" spans="1:2" x14ac:dyDescent="0.25">
      <c r="A475" s="1" t="s">
        <v>1372</v>
      </c>
      <c r="B475" s="1" t="s">
        <v>5512</v>
      </c>
    </row>
    <row r="476" spans="1:2" x14ac:dyDescent="0.25">
      <c r="A476" s="1" t="s">
        <v>1373</v>
      </c>
      <c r="B476" s="1" t="s">
        <v>5513</v>
      </c>
    </row>
    <row r="477" spans="1:2" x14ac:dyDescent="0.25">
      <c r="A477" s="1" t="s">
        <v>1374</v>
      </c>
      <c r="B477" s="1" t="s">
        <v>5514</v>
      </c>
    </row>
    <row r="478" spans="1:2" x14ac:dyDescent="0.25">
      <c r="A478" s="1" t="s">
        <v>1375</v>
      </c>
      <c r="B478" s="1" t="s">
        <v>5515</v>
      </c>
    </row>
    <row r="479" spans="1:2" x14ac:dyDescent="0.25">
      <c r="A479" s="1" t="s">
        <v>1376</v>
      </c>
      <c r="B479" s="1" t="s">
        <v>5516</v>
      </c>
    </row>
    <row r="480" spans="1:2" x14ac:dyDescent="0.25">
      <c r="A480" s="1" t="s">
        <v>1377</v>
      </c>
      <c r="B480" s="1" t="s">
        <v>5517</v>
      </c>
    </row>
    <row r="481" spans="1:2" x14ac:dyDescent="0.25">
      <c r="A481" s="1" t="s">
        <v>1378</v>
      </c>
      <c r="B481" s="1" t="s">
        <v>5518</v>
      </c>
    </row>
    <row r="482" spans="1:2" x14ac:dyDescent="0.25">
      <c r="A482" s="1" t="s">
        <v>1379</v>
      </c>
      <c r="B482" s="1" t="s">
        <v>5519</v>
      </c>
    </row>
    <row r="483" spans="1:2" x14ac:dyDescent="0.25">
      <c r="A483" s="1" t="s">
        <v>1380</v>
      </c>
      <c r="B483" s="1" t="s">
        <v>5520</v>
      </c>
    </row>
    <row r="484" spans="1:2" x14ac:dyDescent="0.25">
      <c r="A484" s="1" t="s">
        <v>1381</v>
      </c>
      <c r="B484" s="1" t="s">
        <v>5210</v>
      </c>
    </row>
    <row r="485" spans="1:2" x14ac:dyDescent="0.25">
      <c r="A485" s="1" t="s">
        <v>1382</v>
      </c>
      <c r="B485" s="1" t="s">
        <v>5521</v>
      </c>
    </row>
    <row r="486" spans="1:2" x14ac:dyDescent="0.25">
      <c r="A486" s="1" t="s">
        <v>1383</v>
      </c>
      <c r="B486" s="1" t="s">
        <v>4526</v>
      </c>
    </row>
    <row r="487" spans="1:2" x14ac:dyDescent="0.25">
      <c r="A487" s="1" t="s">
        <v>1384</v>
      </c>
      <c r="B487" s="1" t="s">
        <v>5522</v>
      </c>
    </row>
    <row r="488" spans="1:2" x14ac:dyDescent="0.25">
      <c r="A488" s="1" t="s">
        <v>1385</v>
      </c>
      <c r="B488" s="1" t="s">
        <v>5523</v>
      </c>
    </row>
    <row r="489" spans="1:2" x14ac:dyDescent="0.25">
      <c r="A489" s="1" t="s">
        <v>1386</v>
      </c>
      <c r="B489" s="1" t="s">
        <v>5466</v>
      </c>
    </row>
    <row r="490" spans="1:2" x14ac:dyDescent="0.25">
      <c r="A490" s="1" t="s">
        <v>1387</v>
      </c>
      <c r="B490" s="1" t="s">
        <v>4870</v>
      </c>
    </row>
    <row r="491" spans="1:2" x14ac:dyDescent="0.25">
      <c r="A491" s="1" t="s">
        <v>1388</v>
      </c>
      <c r="B491" s="1" t="s">
        <v>5524</v>
      </c>
    </row>
    <row r="492" spans="1:2" x14ac:dyDescent="0.25">
      <c r="A492" s="1" t="s">
        <v>1389</v>
      </c>
      <c r="B492" s="1" t="s">
        <v>5525</v>
      </c>
    </row>
    <row r="493" spans="1:2" x14ac:dyDescent="0.25">
      <c r="A493" s="1" t="s">
        <v>1390</v>
      </c>
      <c r="B493" s="1" t="s">
        <v>5218</v>
      </c>
    </row>
    <row r="494" spans="1:2" x14ac:dyDescent="0.25">
      <c r="A494" s="1" t="s">
        <v>1391</v>
      </c>
      <c r="B494" s="1" t="s">
        <v>4595</v>
      </c>
    </row>
    <row r="495" spans="1:2" x14ac:dyDescent="0.25">
      <c r="A495" s="1" t="s">
        <v>1392</v>
      </c>
      <c r="B495" s="1" t="s">
        <v>5526</v>
      </c>
    </row>
    <row r="496" spans="1:2" x14ac:dyDescent="0.25">
      <c r="A496" s="1" t="s">
        <v>1393</v>
      </c>
      <c r="B496" s="1" t="s">
        <v>5345</v>
      </c>
    </row>
    <row r="497" spans="1:2" x14ac:dyDescent="0.25">
      <c r="A497" s="1" t="s">
        <v>1394</v>
      </c>
      <c r="B497" s="1" t="s">
        <v>5527</v>
      </c>
    </row>
    <row r="498" spans="1:2" x14ac:dyDescent="0.25">
      <c r="A498" s="1" t="s">
        <v>1395</v>
      </c>
      <c r="B498" s="1" t="s">
        <v>4596</v>
      </c>
    </row>
    <row r="499" spans="1:2" x14ac:dyDescent="0.25">
      <c r="A499" s="1" t="s">
        <v>1396</v>
      </c>
      <c r="B499" s="1" t="s">
        <v>4493</v>
      </c>
    </row>
    <row r="500" spans="1:2" x14ac:dyDescent="0.25">
      <c r="A500" s="1" t="s">
        <v>1397</v>
      </c>
      <c r="B500" s="1" t="s">
        <v>5528</v>
      </c>
    </row>
    <row r="501" spans="1:2" x14ac:dyDescent="0.25">
      <c r="A501" s="1" t="s">
        <v>1398</v>
      </c>
      <c r="B501" s="1" t="s">
        <v>5529</v>
      </c>
    </row>
    <row r="502" spans="1:2" x14ac:dyDescent="0.25">
      <c r="A502" s="1" t="s">
        <v>1399</v>
      </c>
      <c r="B502" s="1" t="s">
        <v>5530</v>
      </c>
    </row>
    <row r="503" spans="1:2" x14ac:dyDescent="0.25">
      <c r="A503" s="1" t="s">
        <v>1400</v>
      </c>
      <c r="B503" s="1" t="s">
        <v>5531</v>
      </c>
    </row>
    <row r="504" spans="1:2" x14ac:dyDescent="0.25">
      <c r="A504" s="1" t="s">
        <v>1401</v>
      </c>
      <c r="B504" s="1" t="s">
        <v>5430</v>
      </c>
    </row>
    <row r="505" spans="1:2" x14ac:dyDescent="0.25">
      <c r="A505" s="1" t="s">
        <v>1402</v>
      </c>
      <c r="B505" s="1" t="s">
        <v>5532</v>
      </c>
    </row>
    <row r="506" spans="1:2" x14ac:dyDescent="0.25">
      <c r="A506" s="1" t="s">
        <v>1403</v>
      </c>
      <c r="B506" s="1" t="s">
        <v>4974</v>
      </c>
    </row>
    <row r="507" spans="1:2" x14ac:dyDescent="0.25">
      <c r="A507" s="1" t="s">
        <v>1404</v>
      </c>
      <c r="B507" s="1" t="s">
        <v>5532</v>
      </c>
    </row>
    <row r="508" spans="1:2" x14ac:dyDescent="0.25">
      <c r="A508" s="1" t="s">
        <v>1405</v>
      </c>
      <c r="B508" s="1" t="s">
        <v>5533</v>
      </c>
    </row>
    <row r="509" spans="1:2" x14ac:dyDescent="0.25">
      <c r="A509" s="1" t="s">
        <v>1406</v>
      </c>
      <c r="B509" s="1" t="s">
        <v>4549</v>
      </c>
    </row>
    <row r="510" spans="1:2" x14ac:dyDescent="0.25">
      <c r="A510" s="1" t="s">
        <v>1407</v>
      </c>
      <c r="B510" s="1" t="s">
        <v>5534</v>
      </c>
    </row>
    <row r="511" spans="1:2" x14ac:dyDescent="0.25">
      <c r="A511" s="1" t="s">
        <v>1408</v>
      </c>
      <c r="B511" s="1" t="s">
        <v>5535</v>
      </c>
    </row>
    <row r="512" spans="1:2" x14ac:dyDescent="0.25">
      <c r="A512" s="1" t="s">
        <v>1409</v>
      </c>
      <c r="B512" s="1" t="s">
        <v>5536</v>
      </c>
    </row>
    <row r="513" spans="1:2" x14ac:dyDescent="0.25">
      <c r="A513" s="1" t="s">
        <v>1410</v>
      </c>
      <c r="B513" s="1" t="s">
        <v>5305</v>
      </c>
    </row>
    <row r="514" spans="1:2" x14ac:dyDescent="0.25">
      <c r="A514" s="1" t="s">
        <v>1411</v>
      </c>
      <c r="B514" s="1" t="s">
        <v>5345</v>
      </c>
    </row>
    <row r="515" spans="1:2" x14ac:dyDescent="0.25">
      <c r="A515" s="1" t="s">
        <v>1412</v>
      </c>
      <c r="B515" s="1" t="s">
        <v>4730</v>
      </c>
    </row>
    <row r="516" spans="1:2" x14ac:dyDescent="0.25">
      <c r="A516" s="1" t="s">
        <v>1413</v>
      </c>
      <c r="B516" s="1" t="s">
        <v>5537</v>
      </c>
    </row>
    <row r="517" spans="1:2" x14ac:dyDescent="0.25">
      <c r="A517" s="1" t="s">
        <v>1414</v>
      </c>
      <c r="B517" s="1" t="s">
        <v>5538</v>
      </c>
    </row>
    <row r="518" spans="1:2" x14ac:dyDescent="0.25">
      <c r="A518" s="1" t="s">
        <v>1415</v>
      </c>
      <c r="B518" s="1" t="s">
        <v>5045</v>
      </c>
    </row>
    <row r="519" spans="1:2" x14ac:dyDescent="0.25">
      <c r="A519" s="1" t="s">
        <v>1416</v>
      </c>
      <c r="B519" s="1" t="s">
        <v>5539</v>
      </c>
    </row>
    <row r="520" spans="1:2" x14ac:dyDescent="0.25">
      <c r="A520" s="1" t="s">
        <v>1417</v>
      </c>
      <c r="B520" s="1" t="s">
        <v>5540</v>
      </c>
    </row>
    <row r="521" spans="1:2" x14ac:dyDescent="0.25">
      <c r="A521" s="1" t="s">
        <v>1418</v>
      </c>
      <c r="B521" s="1" t="s">
        <v>4378</v>
      </c>
    </row>
    <row r="522" spans="1:2" x14ac:dyDescent="0.25">
      <c r="A522" s="1" t="s">
        <v>1419</v>
      </c>
      <c r="B522" s="1" t="s">
        <v>4597</v>
      </c>
    </row>
    <row r="523" spans="1:2" x14ac:dyDescent="0.25">
      <c r="A523" s="1" t="s">
        <v>1420</v>
      </c>
      <c r="B523" s="1" t="s">
        <v>5541</v>
      </c>
    </row>
    <row r="524" spans="1:2" x14ac:dyDescent="0.25">
      <c r="A524" s="1" t="s">
        <v>1421</v>
      </c>
      <c r="B524" s="1" t="s">
        <v>4812</v>
      </c>
    </row>
    <row r="525" spans="1:2" x14ac:dyDescent="0.25">
      <c r="A525" s="1" t="s">
        <v>1422</v>
      </c>
      <c r="B525" s="1" t="s">
        <v>5542</v>
      </c>
    </row>
    <row r="526" spans="1:2" x14ac:dyDescent="0.25">
      <c r="A526" s="1" t="s">
        <v>1423</v>
      </c>
      <c r="B526" s="1" t="s">
        <v>5054</v>
      </c>
    </row>
    <row r="527" spans="1:2" x14ac:dyDescent="0.25">
      <c r="A527" s="1" t="s">
        <v>1424</v>
      </c>
      <c r="B527" s="1" t="s">
        <v>5543</v>
      </c>
    </row>
    <row r="528" spans="1:2" x14ac:dyDescent="0.25">
      <c r="A528" s="1" t="s">
        <v>1425</v>
      </c>
      <c r="B528" s="1" t="s">
        <v>5544</v>
      </c>
    </row>
    <row r="529" spans="1:2" x14ac:dyDescent="0.25">
      <c r="A529" s="1" t="s">
        <v>1426</v>
      </c>
      <c r="B529" s="1" t="s">
        <v>5545</v>
      </c>
    </row>
    <row r="530" spans="1:2" x14ac:dyDescent="0.25">
      <c r="A530" s="1" t="s">
        <v>1427</v>
      </c>
      <c r="B530" s="1" t="s">
        <v>5546</v>
      </c>
    </row>
    <row r="531" spans="1:2" x14ac:dyDescent="0.25">
      <c r="A531" s="1" t="s">
        <v>676</v>
      </c>
      <c r="B531" s="1" t="s">
        <v>5547</v>
      </c>
    </row>
    <row r="532" spans="1:2" x14ac:dyDescent="0.25">
      <c r="A532" s="1" t="s">
        <v>1428</v>
      </c>
      <c r="B532" s="1" t="s">
        <v>4598</v>
      </c>
    </row>
    <row r="533" spans="1:2" x14ac:dyDescent="0.25">
      <c r="A533" s="1" t="s">
        <v>1429</v>
      </c>
      <c r="B533" s="1" t="s">
        <v>5548</v>
      </c>
    </row>
    <row r="534" spans="1:2" x14ac:dyDescent="0.25">
      <c r="A534" s="1" t="s">
        <v>1430</v>
      </c>
      <c r="B534" s="1" t="s">
        <v>5549</v>
      </c>
    </row>
    <row r="535" spans="1:2" x14ac:dyDescent="0.25">
      <c r="A535" s="1" t="s">
        <v>1431</v>
      </c>
      <c r="B535" s="1" t="s">
        <v>5550</v>
      </c>
    </row>
    <row r="536" spans="1:2" x14ac:dyDescent="0.25">
      <c r="A536" s="1" t="s">
        <v>1432</v>
      </c>
      <c r="B536" s="1" t="s">
        <v>5551</v>
      </c>
    </row>
    <row r="537" spans="1:2" x14ac:dyDescent="0.25">
      <c r="A537" s="1" t="s">
        <v>1433</v>
      </c>
      <c r="B537" s="1" t="s">
        <v>4653</v>
      </c>
    </row>
    <row r="538" spans="1:2" x14ac:dyDescent="0.25">
      <c r="A538" s="1" t="s">
        <v>1434</v>
      </c>
      <c r="B538" s="1" t="s">
        <v>5552</v>
      </c>
    </row>
    <row r="539" spans="1:2" x14ac:dyDescent="0.25">
      <c r="A539" s="1" t="s">
        <v>1435</v>
      </c>
      <c r="B539" s="1" t="s">
        <v>5344</v>
      </c>
    </row>
    <row r="540" spans="1:2" x14ac:dyDescent="0.25">
      <c r="A540" s="1" t="s">
        <v>1436</v>
      </c>
      <c r="B540" s="1" t="s">
        <v>4574</v>
      </c>
    </row>
    <row r="541" spans="1:2" x14ac:dyDescent="0.25">
      <c r="A541" s="1" t="s">
        <v>1437</v>
      </c>
      <c r="B541" s="1" t="s">
        <v>5553</v>
      </c>
    </row>
    <row r="542" spans="1:2" x14ac:dyDescent="0.25">
      <c r="A542" s="1" t="s">
        <v>1438</v>
      </c>
      <c r="B542" s="1" t="s">
        <v>5554</v>
      </c>
    </row>
    <row r="543" spans="1:2" x14ac:dyDescent="0.25">
      <c r="A543" s="1" t="s">
        <v>1439</v>
      </c>
      <c r="B543" s="1" t="s">
        <v>5555</v>
      </c>
    </row>
    <row r="544" spans="1:2" x14ac:dyDescent="0.25">
      <c r="A544" s="1" t="s">
        <v>1440</v>
      </c>
      <c r="B544" s="1" t="s">
        <v>5556</v>
      </c>
    </row>
    <row r="545" spans="1:2" x14ac:dyDescent="0.25">
      <c r="A545" s="1" t="s">
        <v>1441</v>
      </c>
      <c r="B545" s="1" t="s">
        <v>5557</v>
      </c>
    </row>
    <row r="546" spans="1:2" x14ac:dyDescent="0.25">
      <c r="A546" s="1" t="s">
        <v>1442</v>
      </c>
      <c r="B546" s="1" t="s">
        <v>5558</v>
      </c>
    </row>
    <row r="547" spans="1:2" x14ac:dyDescent="0.25">
      <c r="A547" s="1" t="s">
        <v>1443</v>
      </c>
      <c r="B547" s="1" t="s">
        <v>5559</v>
      </c>
    </row>
    <row r="548" spans="1:2" x14ac:dyDescent="0.25">
      <c r="A548" s="1" t="s">
        <v>1444</v>
      </c>
      <c r="B548" s="1" t="s">
        <v>4628</v>
      </c>
    </row>
    <row r="549" spans="1:2" x14ac:dyDescent="0.25">
      <c r="A549" s="1" t="s">
        <v>1445</v>
      </c>
      <c r="B549" s="1" t="s">
        <v>5560</v>
      </c>
    </row>
    <row r="550" spans="1:2" x14ac:dyDescent="0.25">
      <c r="A550" s="1" t="s">
        <v>1446</v>
      </c>
      <c r="B550" s="1" t="s">
        <v>5561</v>
      </c>
    </row>
    <row r="551" spans="1:2" x14ac:dyDescent="0.25">
      <c r="A551" s="1" t="s">
        <v>1447</v>
      </c>
      <c r="B551" s="1" t="s">
        <v>4709</v>
      </c>
    </row>
    <row r="552" spans="1:2" x14ac:dyDescent="0.25">
      <c r="A552" s="1" t="s">
        <v>1448</v>
      </c>
      <c r="B552" s="1" t="s">
        <v>5562</v>
      </c>
    </row>
    <row r="553" spans="1:2" x14ac:dyDescent="0.25">
      <c r="A553" s="1" t="s">
        <v>1449</v>
      </c>
      <c r="B553" s="1" t="s">
        <v>4601</v>
      </c>
    </row>
    <row r="554" spans="1:2" x14ac:dyDescent="0.25">
      <c r="A554" s="1" t="s">
        <v>1450</v>
      </c>
      <c r="B554" s="1" t="s">
        <v>5563</v>
      </c>
    </row>
    <row r="555" spans="1:2" x14ac:dyDescent="0.25">
      <c r="A555" s="1" t="s">
        <v>1451</v>
      </c>
      <c r="B555" s="1" t="s">
        <v>5564</v>
      </c>
    </row>
    <row r="556" spans="1:2" x14ac:dyDescent="0.25">
      <c r="A556" s="1" t="s">
        <v>1452</v>
      </c>
      <c r="B556" s="1" t="s">
        <v>5045</v>
      </c>
    </row>
    <row r="557" spans="1:2" x14ac:dyDescent="0.25">
      <c r="A557" s="1" t="s">
        <v>1453</v>
      </c>
      <c r="B557" s="1" t="s">
        <v>4822</v>
      </c>
    </row>
    <row r="558" spans="1:2" x14ac:dyDescent="0.25">
      <c r="A558" s="1" t="s">
        <v>1454</v>
      </c>
      <c r="B558" s="1" t="s">
        <v>4865</v>
      </c>
    </row>
    <row r="559" spans="1:2" x14ac:dyDescent="0.25">
      <c r="A559" s="1" t="s">
        <v>1455</v>
      </c>
      <c r="B559" s="1" t="s">
        <v>5565</v>
      </c>
    </row>
    <row r="560" spans="1:2" x14ac:dyDescent="0.25">
      <c r="A560" s="1" t="s">
        <v>1456</v>
      </c>
      <c r="B560" s="1" t="s">
        <v>5566</v>
      </c>
    </row>
    <row r="561" spans="1:2" x14ac:dyDescent="0.25">
      <c r="A561" s="1" t="s">
        <v>1457</v>
      </c>
      <c r="B561" s="1" t="s">
        <v>5567</v>
      </c>
    </row>
    <row r="562" spans="1:2" x14ac:dyDescent="0.25">
      <c r="A562" s="1" t="s">
        <v>1458</v>
      </c>
      <c r="B562" s="1" t="s">
        <v>5568</v>
      </c>
    </row>
    <row r="563" spans="1:2" x14ac:dyDescent="0.25">
      <c r="A563" s="1" t="s">
        <v>1459</v>
      </c>
      <c r="B563" s="1" t="s">
        <v>5569</v>
      </c>
    </row>
    <row r="564" spans="1:2" x14ac:dyDescent="0.25">
      <c r="A564" s="1" t="s">
        <v>1460</v>
      </c>
      <c r="B564" s="1" t="s">
        <v>5570</v>
      </c>
    </row>
    <row r="565" spans="1:2" x14ac:dyDescent="0.25">
      <c r="A565" s="1" t="s">
        <v>1461</v>
      </c>
      <c r="B565" s="1" t="s">
        <v>5571</v>
      </c>
    </row>
    <row r="566" spans="1:2" x14ac:dyDescent="0.25">
      <c r="A566" s="1" t="s">
        <v>1462</v>
      </c>
      <c r="B566" s="1" t="s">
        <v>5572</v>
      </c>
    </row>
    <row r="567" spans="1:2" x14ac:dyDescent="0.25">
      <c r="A567" s="1" t="s">
        <v>1463</v>
      </c>
      <c r="B567" s="1" t="s">
        <v>5573</v>
      </c>
    </row>
    <row r="568" spans="1:2" x14ac:dyDescent="0.25">
      <c r="A568" s="1" t="s">
        <v>1464</v>
      </c>
      <c r="B568" s="1" t="s">
        <v>5574</v>
      </c>
    </row>
    <row r="569" spans="1:2" x14ac:dyDescent="0.25">
      <c r="A569" s="1" t="s">
        <v>1465</v>
      </c>
      <c r="B569" s="1" t="s">
        <v>5575</v>
      </c>
    </row>
    <row r="570" spans="1:2" x14ac:dyDescent="0.25">
      <c r="A570" s="1" t="s">
        <v>1466</v>
      </c>
      <c r="B570" s="1" t="s">
        <v>5576</v>
      </c>
    </row>
    <row r="571" spans="1:2" x14ac:dyDescent="0.25">
      <c r="A571" s="1" t="s">
        <v>1467</v>
      </c>
      <c r="B571" s="1" t="s">
        <v>4618</v>
      </c>
    </row>
    <row r="572" spans="1:2" x14ac:dyDescent="0.25">
      <c r="A572" s="1" t="s">
        <v>1468</v>
      </c>
      <c r="B572" s="1" t="s">
        <v>5577</v>
      </c>
    </row>
    <row r="573" spans="1:2" x14ac:dyDescent="0.25">
      <c r="A573" s="1" t="s">
        <v>1469</v>
      </c>
      <c r="B573" s="1" t="s">
        <v>5391</v>
      </c>
    </row>
    <row r="574" spans="1:2" x14ac:dyDescent="0.25">
      <c r="A574" s="1" t="s">
        <v>1470</v>
      </c>
      <c r="B574" s="1" t="s">
        <v>5578</v>
      </c>
    </row>
    <row r="575" spans="1:2" x14ac:dyDescent="0.25">
      <c r="A575" s="1" t="s">
        <v>1471</v>
      </c>
      <c r="B575" s="1" t="s">
        <v>4837</v>
      </c>
    </row>
    <row r="576" spans="1:2" x14ac:dyDescent="0.25">
      <c r="A576" s="1" t="s">
        <v>1472</v>
      </c>
      <c r="B576" s="1" t="s">
        <v>5579</v>
      </c>
    </row>
    <row r="577" spans="1:2" x14ac:dyDescent="0.25">
      <c r="A577" s="1" t="s">
        <v>1473</v>
      </c>
      <c r="B577" s="1" t="s">
        <v>5580</v>
      </c>
    </row>
    <row r="578" spans="1:2" x14ac:dyDescent="0.25">
      <c r="A578" s="1" t="s">
        <v>1474</v>
      </c>
      <c r="B578" s="1" t="s">
        <v>5581</v>
      </c>
    </row>
    <row r="579" spans="1:2" x14ac:dyDescent="0.25">
      <c r="A579" s="1" t="s">
        <v>1475</v>
      </c>
      <c r="B579" s="1" t="s">
        <v>5582</v>
      </c>
    </row>
    <row r="580" spans="1:2" x14ac:dyDescent="0.25">
      <c r="A580" s="1" t="s">
        <v>1476</v>
      </c>
      <c r="B580" s="1" t="s">
        <v>5227</v>
      </c>
    </row>
    <row r="581" spans="1:2" x14ac:dyDescent="0.25">
      <c r="A581" s="1" t="s">
        <v>1477</v>
      </c>
      <c r="B581" s="1" t="s">
        <v>5583</v>
      </c>
    </row>
    <row r="582" spans="1:2" x14ac:dyDescent="0.25">
      <c r="A582" s="1" t="s">
        <v>1478</v>
      </c>
      <c r="B582" s="1" t="s">
        <v>5584</v>
      </c>
    </row>
    <row r="583" spans="1:2" x14ac:dyDescent="0.25">
      <c r="A583" s="1" t="s">
        <v>1479</v>
      </c>
      <c r="B583" s="1" t="s">
        <v>5585</v>
      </c>
    </row>
    <row r="584" spans="1:2" x14ac:dyDescent="0.25">
      <c r="A584" s="1" t="s">
        <v>1480</v>
      </c>
      <c r="B584" s="1" t="s">
        <v>5586</v>
      </c>
    </row>
    <row r="585" spans="1:2" x14ac:dyDescent="0.25">
      <c r="A585" s="1" t="s">
        <v>1481</v>
      </c>
      <c r="B585" s="1" t="s">
        <v>5587</v>
      </c>
    </row>
    <row r="586" spans="1:2" x14ac:dyDescent="0.25">
      <c r="A586" s="1" t="s">
        <v>1482</v>
      </c>
      <c r="B586" s="1" t="s">
        <v>5588</v>
      </c>
    </row>
    <row r="587" spans="1:2" x14ac:dyDescent="0.25">
      <c r="A587" s="1" t="s">
        <v>1483</v>
      </c>
      <c r="B587" s="1" t="s">
        <v>5589</v>
      </c>
    </row>
    <row r="588" spans="1:2" x14ac:dyDescent="0.25">
      <c r="A588" s="1" t="s">
        <v>1484</v>
      </c>
      <c r="B588" s="1" t="s">
        <v>5590</v>
      </c>
    </row>
    <row r="589" spans="1:2" x14ac:dyDescent="0.25">
      <c r="A589" s="1" t="s">
        <v>1485</v>
      </c>
      <c r="B589" s="1" t="s">
        <v>5591</v>
      </c>
    </row>
    <row r="590" spans="1:2" x14ac:dyDescent="0.25">
      <c r="A590" s="1" t="s">
        <v>1486</v>
      </c>
      <c r="B590" s="1" t="s">
        <v>5592</v>
      </c>
    </row>
    <row r="591" spans="1:2" x14ac:dyDescent="0.25">
      <c r="A591" s="1" t="s">
        <v>1487</v>
      </c>
      <c r="B591" s="1" t="s">
        <v>5593</v>
      </c>
    </row>
    <row r="592" spans="1:2" x14ac:dyDescent="0.25">
      <c r="A592" s="1" t="s">
        <v>1488</v>
      </c>
      <c r="B592" s="1" t="s">
        <v>5594</v>
      </c>
    </row>
    <row r="593" spans="1:2" x14ac:dyDescent="0.25">
      <c r="A593" s="1" t="s">
        <v>1489</v>
      </c>
      <c r="B593" s="1" t="s">
        <v>5595</v>
      </c>
    </row>
    <row r="594" spans="1:2" x14ac:dyDescent="0.25">
      <c r="A594" s="1" t="s">
        <v>1490</v>
      </c>
      <c r="B594" s="1" t="s">
        <v>5596</v>
      </c>
    </row>
    <row r="595" spans="1:2" x14ac:dyDescent="0.25">
      <c r="A595" s="1" t="s">
        <v>1491</v>
      </c>
      <c r="B595" s="1" t="s">
        <v>5597</v>
      </c>
    </row>
    <row r="596" spans="1:2" x14ac:dyDescent="0.25">
      <c r="A596" s="1" t="s">
        <v>1492</v>
      </c>
      <c r="B596" s="1" t="s">
        <v>4553</v>
      </c>
    </row>
    <row r="597" spans="1:2" x14ac:dyDescent="0.25">
      <c r="A597" s="1" t="s">
        <v>1493</v>
      </c>
      <c r="B597" s="1" t="s">
        <v>5592</v>
      </c>
    </row>
    <row r="598" spans="1:2" x14ac:dyDescent="0.25">
      <c r="A598" s="1" t="s">
        <v>1494</v>
      </c>
      <c r="B598" s="1" t="s">
        <v>5598</v>
      </c>
    </row>
    <row r="599" spans="1:2" x14ac:dyDescent="0.25">
      <c r="A599" s="1" t="s">
        <v>1495</v>
      </c>
      <c r="B599" s="1" t="s">
        <v>5599</v>
      </c>
    </row>
    <row r="600" spans="1:2" x14ac:dyDescent="0.25">
      <c r="A600" s="1" t="s">
        <v>1496</v>
      </c>
      <c r="B600" s="1" t="s">
        <v>5600</v>
      </c>
    </row>
    <row r="601" spans="1:2" x14ac:dyDescent="0.25">
      <c r="A601" s="1" t="s">
        <v>1497</v>
      </c>
      <c r="B601" s="1" t="s">
        <v>5601</v>
      </c>
    </row>
    <row r="602" spans="1:2" x14ac:dyDescent="0.25">
      <c r="A602" s="1" t="s">
        <v>1498</v>
      </c>
      <c r="B602" s="1" t="s">
        <v>5602</v>
      </c>
    </row>
    <row r="603" spans="1:2" x14ac:dyDescent="0.25">
      <c r="A603" s="1" t="s">
        <v>1499</v>
      </c>
      <c r="B603" s="1" t="s">
        <v>5603</v>
      </c>
    </row>
    <row r="604" spans="1:2" x14ac:dyDescent="0.25">
      <c r="A604" s="1" t="s">
        <v>1500</v>
      </c>
      <c r="B604" s="1" t="s">
        <v>4818</v>
      </c>
    </row>
    <row r="605" spans="1:2" x14ac:dyDescent="0.25">
      <c r="A605" s="1" t="s">
        <v>1501</v>
      </c>
      <c r="B605" s="1" t="s">
        <v>5190</v>
      </c>
    </row>
    <row r="606" spans="1:2" x14ac:dyDescent="0.25">
      <c r="A606" s="1" t="s">
        <v>1502</v>
      </c>
      <c r="B606" s="1" t="s">
        <v>4385</v>
      </c>
    </row>
    <row r="607" spans="1:2" x14ac:dyDescent="0.25">
      <c r="A607" s="1" t="s">
        <v>1503</v>
      </c>
      <c r="B607" s="1" t="s">
        <v>4607</v>
      </c>
    </row>
    <row r="608" spans="1:2" x14ac:dyDescent="0.25">
      <c r="A608" s="1" t="s">
        <v>1504</v>
      </c>
      <c r="B608" s="1" t="s">
        <v>5604</v>
      </c>
    </row>
    <row r="609" spans="1:2" x14ac:dyDescent="0.25">
      <c r="A609" s="1" t="s">
        <v>1505</v>
      </c>
      <c r="B609" s="1" t="s">
        <v>5218</v>
      </c>
    </row>
    <row r="610" spans="1:2" x14ac:dyDescent="0.25">
      <c r="A610" s="1" t="s">
        <v>1506</v>
      </c>
      <c r="B610" s="1" t="s">
        <v>5605</v>
      </c>
    </row>
    <row r="611" spans="1:2" x14ac:dyDescent="0.25">
      <c r="A611" s="1" t="s">
        <v>1507</v>
      </c>
      <c r="B611" s="1" t="s">
        <v>5606</v>
      </c>
    </row>
    <row r="612" spans="1:2" x14ac:dyDescent="0.25">
      <c r="A612" s="1" t="s">
        <v>1508</v>
      </c>
      <c r="B612" s="1" t="s">
        <v>5607</v>
      </c>
    </row>
    <row r="613" spans="1:2" x14ac:dyDescent="0.25">
      <c r="A613" s="1" t="s">
        <v>1509</v>
      </c>
      <c r="B613" s="1" t="s">
        <v>5608</v>
      </c>
    </row>
    <row r="614" spans="1:2" x14ac:dyDescent="0.25">
      <c r="A614" s="1" t="s">
        <v>1510</v>
      </c>
      <c r="B614" s="1" t="s">
        <v>5609</v>
      </c>
    </row>
    <row r="615" spans="1:2" x14ac:dyDescent="0.25">
      <c r="A615" s="1" t="s">
        <v>4306</v>
      </c>
      <c r="B615" s="1" t="s">
        <v>5259</v>
      </c>
    </row>
    <row r="616" spans="1:2" x14ac:dyDescent="0.25">
      <c r="A616" s="1" t="s">
        <v>1511</v>
      </c>
      <c r="B616" s="1" t="s">
        <v>5374</v>
      </c>
    </row>
    <row r="617" spans="1:2" x14ac:dyDescent="0.25">
      <c r="A617" s="1" t="s">
        <v>4267</v>
      </c>
      <c r="B617" s="1" t="s">
        <v>5487</v>
      </c>
    </row>
    <row r="618" spans="1:2" x14ac:dyDescent="0.25">
      <c r="A618" s="1" t="s">
        <v>1512</v>
      </c>
      <c r="B618" s="1" t="s">
        <v>5610</v>
      </c>
    </row>
    <row r="619" spans="1:2" x14ac:dyDescent="0.25">
      <c r="A619" s="1" t="s">
        <v>1513</v>
      </c>
      <c r="B619" s="1" t="s">
        <v>4573</v>
      </c>
    </row>
    <row r="620" spans="1:2" x14ac:dyDescent="0.25">
      <c r="A620" s="1" t="s">
        <v>1514</v>
      </c>
      <c r="B620" s="1" t="s">
        <v>5611</v>
      </c>
    </row>
    <row r="621" spans="1:2" x14ac:dyDescent="0.25">
      <c r="A621" s="1" t="s">
        <v>1515</v>
      </c>
      <c r="B621" s="1" t="s">
        <v>5612</v>
      </c>
    </row>
    <row r="622" spans="1:2" x14ac:dyDescent="0.25">
      <c r="A622" s="1" t="s">
        <v>1516</v>
      </c>
      <c r="B622" s="1" t="s">
        <v>5613</v>
      </c>
    </row>
    <row r="623" spans="1:2" x14ac:dyDescent="0.25">
      <c r="A623" s="1" t="s">
        <v>1517</v>
      </c>
      <c r="B623" s="1" t="s">
        <v>5230</v>
      </c>
    </row>
    <row r="624" spans="1:2" x14ac:dyDescent="0.25">
      <c r="A624" s="1" t="s">
        <v>1518</v>
      </c>
      <c r="B624" s="1" t="s">
        <v>5614</v>
      </c>
    </row>
    <row r="625" spans="1:2" x14ac:dyDescent="0.25">
      <c r="A625" s="1" t="s">
        <v>1519</v>
      </c>
      <c r="B625" s="1" t="s">
        <v>5615</v>
      </c>
    </row>
    <row r="626" spans="1:2" x14ac:dyDescent="0.25">
      <c r="A626" s="1" t="s">
        <v>1520</v>
      </c>
      <c r="B626" s="1" t="s">
        <v>5616</v>
      </c>
    </row>
    <row r="627" spans="1:2" x14ac:dyDescent="0.25">
      <c r="A627" s="1" t="s">
        <v>1521</v>
      </c>
      <c r="B627" s="1" t="s">
        <v>5617</v>
      </c>
    </row>
    <row r="628" spans="1:2" x14ac:dyDescent="0.25">
      <c r="A628" s="1" t="s">
        <v>1522</v>
      </c>
      <c r="B628" s="1" t="s">
        <v>5618</v>
      </c>
    </row>
    <row r="629" spans="1:2" x14ac:dyDescent="0.25">
      <c r="A629" s="1" t="s">
        <v>1523</v>
      </c>
      <c r="B629" s="1" t="s">
        <v>5619</v>
      </c>
    </row>
    <row r="630" spans="1:2" x14ac:dyDescent="0.25">
      <c r="A630" s="1" t="s">
        <v>1524</v>
      </c>
      <c r="B630" s="1" t="s">
        <v>5620</v>
      </c>
    </row>
    <row r="631" spans="1:2" x14ac:dyDescent="0.25">
      <c r="A631" s="1" t="s">
        <v>1525</v>
      </c>
      <c r="B631" s="1" t="s">
        <v>5621</v>
      </c>
    </row>
    <row r="632" spans="1:2" x14ac:dyDescent="0.25">
      <c r="A632" s="1" t="s">
        <v>1526</v>
      </c>
      <c r="B632" s="1" t="s">
        <v>5622</v>
      </c>
    </row>
    <row r="633" spans="1:2" x14ac:dyDescent="0.25">
      <c r="A633" s="1" t="s">
        <v>1527</v>
      </c>
      <c r="B633" s="1" t="s">
        <v>5125</v>
      </c>
    </row>
    <row r="634" spans="1:2" x14ac:dyDescent="0.25">
      <c r="A634" s="1" t="s">
        <v>1528</v>
      </c>
      <c r="B634" s="1" t="s">
        <v>5623</v>
      </c>
    </row>
    <row r="635" spans="1:2" x14ac:dyDescent="0.25">
      <c r="A635" s="1" t="s">
        <v>1529</v>
      </c>
      <c r="B635" s="1" t="s">
        <v>5624</v>
      </c>
    </row>
    <row r="636" spans="1:2" x14ac:dyDescent="0.25">
      <c r="A636" s="1" t="s">
        <v>1530</v>
      </c>
      <c r="B636" s="1" t="s">
        <v>5625</v>
      </c>
    </row>
    <row r="637" spans="1:2" x14ac:dyDescent="0.25">
      <c r="A637" s="1" t="s">
        <v>1531</v>
      </c>
      <c r="B637" s="1" t="s">
        <v>4399</v>
      </c>
    </row>
    <row r="638" spans="1:2" x14ac:dyDescent="0.25">
      <c r="A638" s="1" t="s">
        <v>1532</v>
      </c>
      <c r="B638" s="1" t="s">
        <v>5626</v>
      </c>
    </row>
    <row r="639" spans="1:2" x14ac:dyDescent="0.25">
      <c r="A639" s="1" t="s">
        <v>1533</v>
      </c>
      <c r="B639" s="1" t="s">
        <v>5627</v>
      </c>
    </row>
    <row r="640" spans="1:2" x14ac:dyDescent="0.25">
      <c r="A640" s="1" t="s">
        <v>1534</v>
      </c>
      <c r="B640" s="1" t="s">
        <v>5628</v>
      </c>
    </row>
    <row r="641" spans="1:2" x14ac:dyDescent="0.25">
      <c r="A641" s="1" t="s">
        <v>1535</v>
      </c>
      <c r="B641" s="1" t="s">
        <v>4566</v>
      </c>
    </row>
    <row r="642" spans="1:2" x14ac:dyDescent="0.25">
      <c r="A642" s="1" t="s">
        <v>1536</v>
      </c>
      <c r="B642" s="1" t="s">
        <v>5611</v>
      </c>
    </row>
    <row r="643" spans="1:2" x14ac:dyDescent="0.25">
      <c r="A643" s="1" t="s">
        <v>1537</v>
      </c>
      <c r="B643" s="1" t="s">
        <v>4763</v>
      </c>
    </row>
    <row r="644" spans="1:2" x14ac:dyDescent="0.25">
      <c r="A644" s="1" t="s">
        <v>1538</v>
      </c>
      <c r="B644" s="1" t="s">
        <v>5629</v>
      </c>
    </row>
    <row r="645" spans="1:2" x14ac:dyDescent="0.25">
      <c r="A645" s="1" t="s">
        <v>1539</v>
      </c>
      <c r="B645" s="1" t="s">
        <v>5630</v>
      </c>
    </row>
    <row r="646" spans="1:2" x14ac:dyDescent="0.25">
      <c r="A646" s="1" t="s">
        <v>1540</v>
      </c>
      <c r="B646" s="1" t="s">
        <v>5631</v>
      </c>
    </row>
    <row r="647" spans="1:2" x14ac:dyDescent="0.25">
      <c r="A647" s="1" t="s">
        <v>1541</v>
      </c>
      <c r="B647" s="1" t="s">
        <v>4756</v>
      </c>
    </row>
    <row r="648" spans="1:2" x14ac:dyDescent="0.25">
      <c r="A648" s="1" t="s">
        <v>1542</v>
      </c>
      <c r="B648" s="1" t="s">
        <v>5632</v>
      </c>
    </row>
    <row r="649" spans="1:2" x14ac:dyDescent="0.25">
      <c r="A649" s="1" t="s">
        <v>1543</v>
      </c>
      <c r="B649" s="1" t="s">
        <v>5633</v>
      </c>
    </row>
    <row r="650" spans="1:2" x14ac:dyDescent="0.25">
      <c r="A650" s="1" t="s">
        <v>1544</v>
      </c>
      <c r="B650" s="1" t="s">
        <v>5634</v>
      </c>
    </row>
    <row r="651" spans="1:2" x14ac:dyDescent="0.25">
      <c r="A651" s="1" t="s">
        <v>1545</v>
      </c>
      <c r="B651" s="1" t="s">
        <v>5635</v>
      </c>
    </row>
    <row r="652" spans="1:2" x14ac:dyDescent="0.25">
      <c r="A652" s="1" t="s">
        <v>1546</v>
      </c>
      <c r="B652" s="1" t="s">
        <v>5636</v>
      </c>
    </row>
    <row r="653" spans="1:2" x14ac:dyDescent="0.25">
      <c r="A653" s="1" t="s">
        <v>1547</v>
      </c>
      <c r="B653" s="1" t="s">
        <v>5637</v>
      </c>
    </row>
    <row r="654" spans="1:2" x14ac:dyDescent="0.25">
      <c r="A654" s="1" t="s">
        <v>1548</v>
      </c>
      <c r="B654" s="1" t="s">
        <v>4761</v>
      </c>
    </row>
    <row r="655" spans="1:2" x14ac:dyDescent="0.25">
      <c r="A655" s="1" t="s">
        <v>1549</v>
      </c>
      <c r="B655" s="1" t="s">
        <v>5638</v>
      </c>
    </row>
    <row r="656" spans="1:2" x14ac:dyDescent="0.25">
      <c r="A656" s="1" t="s">
        <v>1550</v>
      </c>
      <c r="B656" s="1" t="s">
        <v>4610</v>
      </c>
    </row>
    <row r="657" spans="1:2" x14ac:dyDescent="0.25">
      <c r="A657" s="1" t="s">
        <v>1551</v>
      </c>
      <c r="B657" s="1" t="s">
        <v>5639</v>
      </c>
    </row>
    <row r="658" spans="1:2" x14ac:dyDescent="0.25">
      <c r="A658" s="1" t="s">
        <v>4289</v>
      </c>
      <c r="B658" s="1" t="s">
        <v>4533</v>
      </c>
    </row>
    <row r="659" spans="1:2" x14ac:dyDescent="0.25">
      <c r="A659" s="1" t="s">
        <v>1552</v>
      </c>
      <c r="B659" s="1" t="s">
        <v>5640</v>
      </c>
    </row>
    <row r="660" spans="1:2" x14ac:dyDescent="0.25">
      <c r="A660" s="1" t="s">
        <v>1553</v>
      </c>
      <c r="B660" s="1" t="s">
        <v>5641</v>
      </c>
    </row>
    <row r="661" spans="1:2" x14ac:dyDescent="0.25">
      <c r="A661" s="1" t="s">
        <v>1554</v>
      </c>
      <c r="B661" s="1" t="s">
        <v>5253</v>
      </c>
    </row>
    <row r="662" spans="1:2" x14ac:dyDescent="0.25">
      <c r="A662" s="1" t="s">
        <v>1555</v>
      </c>
      <c r="B662" s="1" t="s">
        <v>4677</v>
      </c>
    </row>
    <row r="663" spans="1:2" x14ac:dyDescent="0.25">
      <c r="A663" s="1" t="s">
        <v>1556</v>
      </c>
      <c r="B663" s="1" t="s">
        <v>5642</v>
      </c>
    </row>
    <row r="664" spans="1:2" x14ac:dyDescent="0.25">
      <c r="A664" s="1" t="s">
        <v>1557</v>
      </c>
      <c r="B664" s="1" t="s">
        <v>5643</v>
      </c>
    </row>
    <row r="665" spans="1:2" x14ac:dyDescent="0.25">
      <c r="A665" s="1" t="s">
        <v>1558</v>
      </c>
      <c r="B665" s="1" t="s">
        <v>5644</v>
      </c>
    </row>
    <row r="666" spans="1:2" x14ac:dyDescent="0.25">
      <c r="A666" s="1" t="s">
        <v>1559</v>
      </c>
      <c r="B666" s="1" t="s">
        <v>5645</v>
      </c>
    </row>
    <row r="667" spans="1:2" x14ac:dyDescent="0.25">
      <c r="A667" s="1" t="s">
        <v>1560</v>
      </c>
      <c r="B667" s="1" t="s">
        <v>5646</v>
      </c>
    </row>
    <row r="668" spans="1:2" x14ac:dyDescent="0.25">
      <c r="A668" s="1" t="s">
        <v>1561</v>
      </c>
      <c r="B668" s="1" t="s">
        <v>5647</v>
      </c>
    </row>
    <row r="669" spans="1:2" x14ac:dyDescent="0.25">
      <c r="A669" s="1" t="s">
        <v>1562</v>
      </c>
      <c r="B669" s="1" t="s">
        <v>5488</v>
      </c>
    </row>
    <row r="670" spans="1:2" x14ac:dyDescent="0.25">
      <c r="A670" s="1" t="s">
        <v>1563</v>
      </c>
      <c r="B670" s="1" t="s">
        <v>4707</v>
      </c>
    </row>
    <row r="671" spans="1:2" x14ac:dyDescent="0.25">
      <c r="A671" s="1" t="s">
        <v>1564</v>
      </c>
      <c r="B671" s="1" t="s">
        <v>5648</v>
      </c>
    </row>
    <row r="672" spans="1:2" x14ac:dyDescent="0.25">
      <c r="A672" s="1" t="s">
        <v>1565</v>
      </c>
      <c r="B672" s="1" t="s">
        <v>5649</v>
      </c>
    </row>
    <row r="673" spans="1:2" x14ac:dyDescent="0.25">
      <c r="A673" s="1" t="s">
        <v>1566</v>
      </c>
      <c r="B673" s="1" t="s">
        <v>5303</v>
      </c>
    </row>
    <row r="674" spans="1:2" x14ac:dyDescent="0.25">
      <c r="A674" s="1" t="s">
        <v>1567</v>
      </c>
      <c r="B674" s="1" t="s">
        <v>5650</v>
      </c>
    </row>
    <row r="675" spans="1:2" x14ac:dyDescent="0.25">
      <c r="A675" s="1" t="s">
        <v>1568</v>
      </c>
      <c r="B675" s="1" t="s">
        <v>5651</v>
      </c>
    </row>
    <row r="676" spans="1:2" x14ac:dyDescent="0.25">
      <c r="A676" s="1" t="s">
        <v>1569</v>
      </c>
      <c r="B676" s="1" t="s">
        <v>4451</v>
      </c>
    </row>
    <row r="677" spans="1:2" x14ac:dyDescent="0.25">
      <c r="A677" s="1" t="s">
        <v>1570</v>
      </c>
      <c r="B677" s="1" t="s">
        <v>5652</v>
      </c>
    </row>
    <row r="678" spans="1:2" x14ac:dyDescent="0.25">
      <c r="A678" s="1" t="s">
        <v>1571</v>
      </c>
      <c r="B678" s="1" t="s">
        <v>4342</v>
      </c>
    </row>
    <row r="679" spans="1:2" x14ac:dyDescent="0.25">
      <c r="A679" s="1" t="s">
        <v>1572</v>
      </c>
      <c r="B679" s="1" t="s">
        <v>5653</v>
      </c>
    </row>
    <row r="680" spans="1:2" x14ac:dyDescent="0.25">
      <c r="A680" s="1" t="s">
        <v>1573</v>
      </c>
      <c r="B680" s="1" t="s">
        <v>5461</v>
      </c>
    </row>
    <row r="681" spans="1:2" x14ac:dyDescent="0.25">
      <c r="A681" s="1" t="s">
        <v>1574</v>
      </c>
      <c r="B681" s="1" t="s">
        <v>4516</v>
      </c>
    </row>
    <row r="682" spans="1:2" x14ac:dyDescent="0.25">
      <c r="A682" s="1" t="s">
        <v>1575</v>
      </c>
      <c r="B682" s="1" t="s">
        <v>4619</v>
      </c>
    </row>
    <row r="683" spans="1:2" x14ac:dyDescent="0.25">
      <c r="A683" s="1" t="s">
        <v>1576</v>
      </c>
      <c r="B683" s="1" t="s">
        <v>5642</v>
      </c>
    </row>
    <row r="684" spans="1:2" x14ac:dyDescent="0.25">
      <c r="A684" s="1" t="s">
        <v>1577</v>
      </c>
      <c r="B684" s="1" t="s">
        <v>5654</v>
      </c>
    </row>
    <row r="685" spans="1:2" x14ac:dyDescent="0.25">
      <c r="A685" s="1" t="s">
        <v>1578</v>
      </c>
      <c r="B685" s="1" t="s">
        <v>5201</v>
      </c>
    </row>
    <row r="686" spans="1:2" x14ac:dyDescent="0.25">
      <c r="A686" s="1" t="s">
        <v>1579</v>
      </c>
      <c r="B686" s="1" t="s">
        <v>5655</v>
      </c>
    </row>
    <row r="687" spans="1:2" x14ac:dyDescent="0.25">
      <c r="A687" s="1" t="s">
        <v>1580</v>
      </c>
      <c r="B687" s="1" t="s">
        <v>4816</v>
      </c>
    </row>
    <row r="688" spans="1:2" x14ac:dyDescent="0.25">
      <c r="A688" s="1" t="s">
        <v>1581</v>
      </c>
      <c r="B688" s="1" t="s">
        <v>5656</v>
      </c>
    </row>
    <row r="689" spans="1:2" x14ac:dyDescent="0.25">
      <c r="A689" s="1" t="s">
        <v>1582</v>
      </c>
      <c r="B689" s="1" t="s">
        <v>5000</v>
      </c>
    </row>
    <row r="690" spans="1:2" x14ac:dyDescent="0.25">
      <c r="A690" s="1" t="s">
        <v>1583</v>
      </c>
      <c r="B690" s="1" t="s">
        <v>5657</v>
      </c>
    </row>
    <row r="691" spans="1:2" x14ac:dyDescent="0.25">
      <c r="A691" s="1" t="s">
        <v>1584</v>
      </c>
      <c r="B691" s="1" t="s">
        <v>5658</v>
      </c>
    </row>
    <row r="692" spans="1:2" x14ac:dyDescent="0.25">
      <c r="A692" s="1" t="s">
        <v>1585</v>
      </c>
      <c r="B692" s="1" t="s">
        <v>5659</v>
      </c>
    </row>
    <row r="693" spans="1:2" x14ac:dyDescent="0.25">
      <c r="A693" s="1" t="s">
        <v>1586</v>
      </c>
      <c r="B693" s="1" t="s">
        <v>5660</v>
      </c>
    </row>
    <row r="694" spans="1:2" x14ac:dyDescent="0.25">
      <c r="A694" s="1" t="s">
        <v>1587</v>
      </c>
      <c r="B694" s="1" t="s">
        <v>5596</v>
      </c>
    </row>
    <row r="695" spans="1:2" x14ac:dyDescent="0.25">
      <c r="A695" s="1" t="s">
        <v>1588</v>
      </c>
      <c r="B695" s="1" t="s">
        <v>5661</v>
      </c>
    </row>
    <row r="696" spans="1:2" x14ac:dyDescent="0.25">
      <c r="A696" s="1" t="s">
        <v>1589</v>
      </c>
      <c r="B696" s="1" t="s">
        <v>5662</v>
      </c>
    </row>
    <row r="697" spans="1:2" x14ac:dyDescent="0.25">
      <c r="A697" s="1" t="s">
        <v>1590</v>
      </c>
      <c r="B697" s="1" t="s">
        <v>5262</v>
      </c>
    </row>
    <row r="698" spans="1:2" x14ac:dyDescent="0.25">
      <c r="A698" s="1" t="s">
        <v>1591</v>
      </c>
      <c r="B698" s="1" t="s">
        <v>5663</v>
      </c>
    </row>
    <row r="699" spans="1:2" x14ac:dyDescent="0.25">
      <c r="A699" s="1" t="s">
        <v>1592</v>
      </c>
      <c r="B699" s="1" t="s">
        <v>4829</v>
      </c>
    </row>
    <row r="700" spans="1:2" x14ac:dyDescent="0.25">
      <c r="A700" s="1" t="s">
        <v>1593</v>
      </c>
      <c r="B700" s="1" t="s">
        <v>4955</v>
      </c>
    </row>
    <row r="701" spans="1:2" x14ac:dyDescent="0.25">
      <c r="A701" s="1" t="s">
        <v>1594</v>
      </c>
      <c r="B701" s="1" t="s">
        <v>5664</v>
      </c>
    </row>
    <row r="702" spans="1:2" x14ac:dyDescent="0.25">
      <c r="A702" s="1" t="s">
        <v>1595</v>
      </c>
      <c r="B702" s="1" t="s">
        <v>5665</v>
      </c>
    </row>
    <row r="703" spans="1:2" x14ac:dyDescent="0.25">
      <c r="A703" s="1" t="s">
        <v>1596</v>
      </c>
      <c r="B703" s="1" t="s">
        <v>5666</v>
      </c>
    </row>
    <row r="704" spans="1:2" x14ac:dyDescent="0.25">
      <c r="A704" s="1" t="s">
        <v>1597</v>
      </c>
      <c r="B704" s="1" t="s">
        <v>5667</v>
      </c>
    </row>
    <row r="705" spans="1:2" x14ac:dyDescent="0.25">
      <c r="A705" s="1" t="s">
        <v>1598</v>
      </c>
      <c r="B705" s="1" t="s">
        <v>5668</v>
      </c>
    </row>
    <row r="706" spans="1:2" x14ac:dyDescent="0.25">
      <c r="A706" s="1" t="s">
        <v>1599</v>
      </c>
      <c r="B706" s="1" t="s">
        <v>4515</v>
      </c>
    </row>
    <row r="707" spans="1:2" x14ac:dyDescent="0.25">
      <c r="A707" s="1" t="s">
        <v>1600</v>
      </c>
      <c r="B707" s="1" t="s">
        <v>5231</v>
      </c>
    </row>
    <row r="708" spans="1:2" x14ac:dyDescent="0.25">
      <c r="A708" s="1" t="s">
        <v>1601</v>
      </c>
      <c r="B708" s="1" t="s">
        <v>4365</v>
      </c>
    </row>
    <row r="709" spans="1:2" x14ac:dyDescent="0.25">
      <c r="A709" s="1" t="s">
        <v>1602</v>
      </c>
      <c r="B709" s="1" t="s">
        <v>5669</v>
      </c>
    </row>
    <row r="710" spans="1:2" x14ac:dyDescent="0.25">
      <c r="A710" s="1" t="s">
        <v>1603</v>
      </c>
      <c r="B710" s="1" t="s">
        <v>4351</v>
      </c>
    </row>
    <row r="711" spans="1:2" x14ac:dyDescent="0.25">
      <c r="A711" s="1" t="s">
        <v>1604</v>
      </c>
      <c r="B711" s="1" t="s">
        <v>5670</v>
      </c>
    </row>
    <row r="712" spans="1:2" x14ac:dyDescent="0.25">
      <c r="A712" s="1" t="s">
        <v>1605</v>
      </c>
      <c r="B712" s="1" t="s">
        <v>5671</v>
      </c>
    </row>
    <row r="713" spans="1:2" x14ac:dyDescent="0.25">
      <c r="A713" s="1" t="s">
        <v>1606</v>
      </c>
      <c r="B713" s="1" t="s">
        <v>5672</v>
      </c>
    </row>
    <row r="714" spans="1:2" x14ac:dyDescent="0.25">
      <c r="A714" s="1" t="s">
        <v>1607</v>
      </c>
      <c r="B714" s="1" t="s">
        <v>5595</v>
      </c>
    </row>
    <row r="715" spans="1:2" x14ac:dyDescent="0.25">
      <c r="A715" s="1" t="s">
        <v>1608</v>
      </c>
      <c r="B715" s="1" t="s">
        <v>5673</v>
      </c>
    </row>
    <row r="716" spans="1:2" x14ac:dyDescent="0.25">
      <c r="A716" s="1" t="s">
        <v>1609</v>
      </c>
      <c r="B716" s="1" t="s">
        <v>5674</v>
      </c>
    </row>
    <row r="717" spans="1:2" x14ac:dyDescent="0.25">
      <c r="A717" s="1" t="s">
        <v>1610</v>
      </c>
      <c r="B717" s="1" t="s">
        <v>5283</v>
      </c>
    </row>
    <row r="718" spans="1:2" x14ac:dyDescent="0.25">
      <c r="A718" s="1" t="s">
        <v>1611</v>
      </c>
      <c r="B718" s="1" t="s">
        <v>4252</v>
      </c>
    </row>
    <row r="719" spans="1:2" x14ac:dyDescent="0.25">
      <c r="A719" s="1" t="s">
        <v>1612</v>
      </c>
      <c r="B719" s="1" t="s">
        <v>5675</v>
      </c>
    </row>
    <row r="720" spans="1:2" x14ac:dyDescent="0.25">
      <c r="A720" s="1" t="s">
        <v>1613</v>
      </c>
      <c r="B720" s="1" t="s">
        <v>5676</v>
      </c>
    </row>
    <row r="721" spans="1:2" x14ac:dyDescent="0.25">
      <c r="A721" s="1" t="s">
        <v>1614</v>
      </c>
      <c r="B721" s="1" t="s">
        <v>4580</v>
      </c>
    </row>
    <row r="722" spans="1:2" x14ac:dyDescent="0.25">
      <c r="A722" s="1" t="s">
        <v>1615</v>
      </c>
      <c r="B722" s="1" t="s">
        <v>5677</v>
      </c>
    </row>
    <row r="723" spans="1:2" x14ac:dyDescent="0.25">
      <c r="A723" s="1" t="s">
        <v>1616</v>
      </c>
      <c r="B723" s="1" t="s">
        <v>5678</v>
      </c>
    </row>
    <row r="724" spans="1:2" x14ac:dyDescent="0.25">
      <c r="A724" s="1" t="s">
        <v>1617</v>
      </c>
      <c r="B724" s="1" t="s">
        <v>5679</v>
      </c>
    </row>
    <row r="725" spans="1:2" x14ac:dyDescent="0.25">
      <c r="A725" s="1" t="s">
        <v>1618</v>
      </c>
      <c r="B725" s="1" t="s">
        <v>5680</v>
      </c>
    </row>
    <row r="726" spans="1:2" x14ac:dyDescent="0.25">
      <c r="A726" s="1" t="s">
        <v>1619</v>
      </c>
      <c r="B726" s="1" t="s">
        <v>5681</v>
      </c>
    </row>
    <row r="727" spans="1:2" x14ac:dyDescent="0.25">
      <c r="A727" s="1" t="s">
        <v>1620</v>
      </c>
      <c r="B727" s="1" t="s">
        <v>5682</v>
      </c>
    </row>
    <row r="728" spans="1:2" x14ac:dyDescent="0.25">
      <c r="A728" s="1" t="s">
        <v>1621</v>
      </c>
      <c r="B728" s="1" t="s">
        <v>5683</v>
      </c>
    </row>
    <row r="729" spans="1:2" x14ac:dyDescent="0.25">
      <c r="A729" s="1" t="s">
        <v>1622</v>
      </c>
      <c r="B729" s="1" t="s">
        <v>5684</v>
      </c>
    </row>
    <row r="730" spans="1:2" x14ac:dyDescent="0.25">
      <c r="A730" s="1" t="s">
        <v>1623</v>
      </c>
      <c r="B730" s="1" t="s">
        <v>5685</v>
      </c>
    </row>
    <row r="731" spans="1:2" x14ac:dyDescent="0.25">
      <c r="A731" s="1" t="s">
        <v>1624</v>
      </c>
      <c r="B731" s="1" t="s">
        <v>5686</v>
      </c>
    </row>
    <row r="732" spans="1:2" x14ac:dyDescent="0.25">
      <c r="A732" s="1" t="s">
        <v>1625</v>
      </c>
      <c r="B732" s="1" t="s">
        <v>5687</v>
      </c>
    </row>
    <row r="733" spans="1:2" x14ac:dyDescent="0.25">
      <c r="A733" s="1" t="s">
        <v>1626</v>
      </c>
      <c r="B733" s="1" t="s">
        <v>5688</v>
      </c>
    </row>
    <row r="734" spans="1:2" x14ac:dyDescent="0.25">
      <c r="A734" s="1" t="s">
        <v>1627</v>
      </c>
      <c r="B734" s="1" t="s">
        <v>5689</v>
      </c>
    </row>
    <row r="735" spans="1:2" x14ac:dyDescent="0.25">
      <c r="A735" s="1" t="s">
        <v>1628</v>
      </c>
      <c r="B735" s="1" t="s">
        <v>5690</v>
      </c>
    </row>
    <row r="736" spans="1:2" x14ac:dyDescent="0.25">
      <c r="A736" s="1" t="s">
        <v>1629</v>
      </c>
      <c r="B736" s="1" t="s">
        <v>5691</v>
      </c>
    </row>
    <row r="737" spans="1:2" x14ac:dyDescent="0.25">
      <c r="A737" s="1" t="s">
        <v>1630</v>
      </c>
      <c r="B737" s="1" t="s">
        <v>5692</v>
      </c>
    </row>
    <row r="738" spans="1:2" x14ac:dyDescent="0.25">
      <c r="A738" s="1" t="s">
        <v>1631</v>
      </c>
      <c r="B738" s="1" t="s">
        <v>5693</v>
      </c>
    </row>
    <row r="739" spans="1:2" x14ac:dyDescent="0.25">
      <c r="A739" s="1" t="s">
        <v>1632</v>
      </c>
      <c r="B739" s="1" t="s">
        <v>5694</v>
      </c>
    </row>
    <row r="740" spans="1:2" x14ac:dyDescent="0.25">
      <c r="A740" s="1" t="s">
        <v>4268</v>
      </c>
      <c r="B740" s="1" t="s">
        <v>5345</v>
      </c>
    </row>
    <row r="741" spans="1:2" x14ac:dyDescent="0.25">
      <c r="A741" s="1" t="s">
        <v>1633</v>
      </c>
      <c r="B741" s="1" t="s">
        <v>5695</v>
      </c>
    </row>
    <row r="742" spans="1:2" x14ac:dyDescent="0.25">
      <c r="A742" s="1" t="s">
        <v>1634</v>
      </c>
      <c r="B742" s="1" t="s">
        <v>5696</v>
      </c>
    </row>
    <row r="743" spans="1:2" x14ac:dyDescent="0.25">
      <c r="A743" s="1" t="s">
        <v>1635</v>
      </c>
      <c r="B743" s="1" t="s">
        <v>5697</v>
      </c>
    </row>
    <row r="744" spans="1:2" x14ac:dyDescent="0.25">
      <c r="A744" s="1" t="s">
        <v>1636</v>
      </c>
      <c r="B744" s="1" t="s">
        <v>5698</v>
      </c>
    </row>
    <row r="745" spans="1:2" x14ac:dyDescent="0.25">
      <c r="A745" s="1" t="s">
        <v>1637</v>
      </c>
      <c r="B745" s="1" t="s">
        <v>5699</v>
      </c>
    </row>
    <row r="746" spans="1:2" x14ac:dyDescent="0.25">
      <c r="A746" s="1" t="s">
        <v>1638</v>
      </c>
      <c r="B746" s="1" t="s">
        <v>4880</v>
      </c>
    </row>
    <row r="747" spans="1:2" x14ac:dyDescent="0.25">
      <c r="A747" s="1" t="s">
        <v>1639</v>
      </c>
      <c r="B747" s="1" t="s">
        <v>5700</v>
      </c>
    </row>
    <row r="748" spans="1:2" x14ac:dyDescent="0.25">
      <c r="A748" s="1" t="s">
        <v>1640</v>
      </c>
      <c r="B748" s="1" t="s">
        <v>5701</v>
      </c>
    </row>
    <row r="749" spans="1:2" x14ac:dyDescent="0.25">
      <c r="A749" s="1" t="s">
        <v>1641</v>
      </c>
      <c r="B749" s="1" t="s">
        <v>5702</v>
      </c>
    </row>
    <row r="750" spans="1:2" x14ac:dyDescent="0.25">
      <c r="A750" s="1" t="s">
        <v>1642</v>
      </c>
      <c r="B750" s="1" t="s">
        <v>5703</v>
      </c>
    </row>
    <row r="751" spans="1:2" x14ac:dyDescent="0.25">
      <c r="A751" s="1" t="s">
        <v>1643</v>
      </c>
      <c r="B751" s="1" t="s">
        <v>5704</v>
      </c>
    </row>
    <row r="752" spans="1:2" x14ac:dyDescent="0.25">
      <c r="A752" s="1" t="s">
        <v>1644</v>
      </c>
      <c r="B752" s="1" t="s">
        <v>5705</v>
      </c>
    </row>
    <row r="753" spans="1:2" x14ac:dyDescent="0.25">
      <c r="A753" s="1" t="s">
        <v>1645</v>
      </c>
      <c r="B753" s="1" t="s">
        <v>4956</v>
      </c>
    </row>
    <row r="754" spans="1:2" x14ac:dyDescent="0.25">
      <c r="A754" s="1" t="s">
        <v>1646</v>
      </c>
      <c r="B754" s="1" t="s">
        <v>5706</v>
      </c>
    </row>
    <row r="755" spans="1:2" x14ac:dyDescent="0.25">
      <c r="A755" s="1" t="s">
        <v>1647</v>
      </c>
      <c r="B755" s="1" t="s">
        <v>4822</v>
      </c>
    </row>
    <row r="756" spans="1:2" x14ac:dyDescent="0.25">
      <c r="A756" s="1" t="s">
        <v>1648</v>
      </c>
      <c r="B756" s="1" t="s">
        <v>5707</v>
      </c>
    </row>
    <row r="757" spans="1:2" x14ac:dyDescent="0.25">
      <c r="A757" s="1" t="s">
        <v>1649</v>
      </c>
      <c r="B757" s="1" t="s">
        <v>4787</v>
      </c>
    </row>
    <row r="758" spans="1:2" x14ac:dyDescent="0.25">
      <c r="A758" s="1" t="s">
        <v>1650</v>
      </c>
      <c r="B758" s="1" t="s">
        <v>5708</v>
      </c>
    </row>
    <row r="759" spans="1:2" x14ac:dyDescent="0.25">
      <c r="A759" s="1" t="s">
        <v>1651</v>
      </c>
      <c r="B759" s="1" t="s">
        <v>5709</v>
      </c>
    </row>
    <row r="760" spans="1:2" x14ac:dyDescent="0.25">
      <c r="A760" s="1" t="s">
        <v>1652</v>
      </c>
      <c r="B760" s="1" t="s">
        <v>5710</v>
      </c>
    </row>
    <row r="761" spans="1:2" x14ac:dyDescent="0.25">
      <c r="A761" s="1" t="s">
        <v>1653</v>
      </c>
      <c r="B761" s="1" t="s">
        <v>5711</v>
      </c>
    </row>
    <row r="762" spans="1:2" x14ac:dyDescent="0.25">
      <c r="A762" s="1" t="s">
        <v>1654</v>
      </c>
      <c r="B762" s="1" t="s">
        <v>5524</v>
      </c>
    </row>
    <row r="763" spans="1:2" x14ac:dyDescent="0.25">
      <c r="A763" s="1" t="s">
        <v>1655</v>
      </c>
      <c r="B763" s="1" t="s">
        <v>5712</v>
      </c>
    </row>
    <row r="764" spans="1:2" x14ac:dyDescent="0.25">
      <c r="A764" s="1" t="s">
        <v>1656</v>
      </c>
      <c r="B764" s="1" t="s">
        <v>4395</v>
      </c>
    </row>
    <row r="765" spans="1:2" x14ac:dyDescent="0.25">
      <c r="A765" s="1" t="s">
        <v>1657</v>
      </c>
      <c r="B765" s="1" t="s">
        <v>5713</v>
      </c>
    </row>
    <row r="766" spans="1:2" x14ac:dyDescent="0.25">
      <c r="A766" s="1" t="s">
        <v>1658</v>
      </c>
      <c r="B766" s="1" t="s">
        <v>4716</v>
      </c>
    </row>
    <row r="767" spans="1:2" x14ac:dyDescent="0.25">
      <c r="A767" s="1" t="s">
        <v>1659</v>
      </c>
      <c r="B767" s="1" t="s">
        <v>5714</v>
      </c>
    </row>
    <row r="768" spans="1:2" x14ac:dyDescent="0.25">
      <c r="A768" s="1" t="s">
        <v>1660</v>
      </c>
      <c r="B768" s="1" t="s">
        <v>5715</v>
      </c>
    </row>
    <row r="769" spans="1:2" x14ac:dyDescent="0.25">
      <c r="A769" s="1" t="s">
        <v>1661</v>
      </c>
      <c r="B769" s="1" t="s">
        <v>5716</v>
      </c>
    </row>
    <row r="770" spans="1:2" x14ac:dyDescent="0.25">
      <c r="A770" s="1" t="s">
        <v>1662</v>
      </c>
      <c r="B770" s="1" t="s">
        <v>5717</v>
      </c>
    </row>
    <row r="771" spans="1:2" x14ac:dyDescent="0.25">
      <c r="A771" s="1" t="s">
        <v>1663</v>
      </c>
      <c r="B771" s="1" t="s">
        <v>5718</v>
      </c>
    </row>
    <row r="772" spans="1:2" x14ac:dyDescent="0.25">
      <c r="A772" s="1" t="s">
        <v>1664</v>
      </c>
      <c r="B772" s="1" t="s">
        <v>5719</v>
      </c>
    </row>
    <row r="773" spans="1:2" x14ac:dyDescent="0.25">
      <c r="A773" s="1" t="s">
        <v>1665</v>
      </c>
      <c r="B773" s="1" t="s">
        <v>5720</v>
      </c>
    </row>
    <row r="774" spans="1:2" x14ac:dyDescent="0.25">
      <c r="A774" s="1" t="s">
        <v>1666</v>
      </c>
      <c r="B774" s="1" t="s">
        <v>5721</v>
      </c>
    </row>
    <row r="775" spans="1:2" x14ac:dyDescent="0.25">
      <c r="A775" s="1" t="s">
        <v>1667</v>
      </c>
      <c r="B775" s="1" t="s">
        <v>5722</v>
      </c>
    </row>
    <row r="776" spans="1:2" x14ac:dyDescent="0.25">
      <c r="A776" s="1" t="s">
        <v>1668</v>
      </c>
      <c r="B776" s="1" t="s">
        <v>5417</v>
      </c>
    </row>
    <row r="777" spans="1:2" x14ac:dyDescent="0.25">
      <c r="A777" s="1" t="s">
        <v>1669</v>
      </c>
      <c r="B777" s="1" t="s">
        <v>5723</v>
      </c>
    </row>
    <row r="778" spans="1:2" x14ac:dyDescent="0.25">
      <c r="A778" s="1" t="s">
        <v>1670</v>
      </c>
      <c r="B778" s="1" t="s">
        <v>4556</v>
      </c>
    </row>
    <row r="779" spans="1:2" x14ac:dyDescent="0.25">
      <c r="A779" s="1" t="s">
        <v>1671</v>
      </c>
      <c r="B779" s="1" t="s">
        <v>5724</v>
      </c>
    </row>
    <row r="780" spans="1:2" x14ac:dyDescent="0.25">
      <c r="A780" s="1" t="s">
        <v>1672</v>
      </c>
      <c r="B780" s="1" t="s">
        <v>5725</v>
      </c>
    </row>
    <row r="781" spans="1:2" x14ac:dyDescent="0.25">
      <c r="A781" s="1" t="s">
        <v>1673</v>
      </c>
      <c r="B781" s="1" t="s">
        <v>5726</v>
      </c>
    </row>
    <row r="782" spans="1:2" x14ac:dyDescent="0.25">
      <c r="A782" s="1" t="s">
        <v>1674</v>
      </c>
      <c r="B782" s="1" t="s">
        <v>5727</v>
      </c>
    </row>
    <row r="783" spans="1:2" x14ac:dyDescent="0.25">
      <c r="A783" s="1" t="s">
        <v>1675</v>
      </c>
      <c r="B783" s="1" t="s">
        <v>4644</v>
      </c>
    </row>
    <row r="784" spans="1:2" x14ac:dyDescent="0.25">
      <c r="A784" s="1" t="s">
        <v>1676</v>
      </c>
      <c r="B784" s="1" t="s">
        <v>5728</v>
      </c>
    </row>
    <row r="785" spans="1:2" x14ac:dyDescent="0.25">
      <c r="A785" s="1" t="s">
        <v>1677</v>
      </c>
      <c r="B785" s="1" t="s">
        <v>4974</v>
      </c>
    </row>
    <row r="786" spans="1:2" x14ac:dyDescent="0.25">
      <c r="A786" s="1" t="s">
        <v>1678</v>
      </c>
      <c r="B786" s="1" t="s">
        <v>5729</v>
      </c>
    </row>
    <row r="787" spans="1:2" x14ac:dyDescent="0.25">
      <c r="A787" s="1" t="s">
        <v>1679</v>
      </c>
      <c r="B787" s="1" t="s">
        <v>5730</v>
      </c>
    </row>
    <row r="788" spans="1:2" x14ac:dyDescent="0.25">
      <c r="A788" s="1" t="s">
        <v>1680</v>
      </c>
      <c r="B788" s="1" t="s">
        <v>4367</v>
      </c>
    </row>
    <row r="789" spans="1:2" x14ac:dyDescent="0.25">
      <c r="A789" s="1" t="s">
        <v>1681</v>
      </c>
      <c r="B789" s="1" t="s">
        <v>5731</v>
      </c>
    </row>
    <row r="790" spans="1:2" x14ac:dyDescent="0.25">
      <c r="A790" s="1" t="s">
        <v>1682</v>
      </c>
      <c r="B790" s="1" t="s">
        <v>5732</v>
      </c>
    </row>
    <row r="791" spans="1:2" x14ac:dyDescent="0.25">
      <c r="A791" s="1" t="s">
        <v>1683</v>
      </c>
      <c r="B791" s="1" t="s">
        <v>5733</v>
      </c>
    </row>
    <row r="792" spans="1:2" x14ac:dyDescent="0.25">
      <c r="A792" s="1" t="s">
        <v>1684</v>
      </c>
      <c r="B792" s="1" t="s">
        <v>5734</v>
      </c>
    </row>
    <row r="793" spans="1:2" x14ac:dyDescent="0.25">
      <c r="A793" s="1" t="s">
        <v>1685</v>
      </c>
      <c r="B793" s="1" t="s">
        <v>5735</v>
      </c>
    </row>
    <row r="794" spans="1:2" x14ac:dyDescent="0.25">
      <c r="A794" s="1" t="s">
        <v>1686</v>
      </c>
      <c r="B794" s="1" t="s">
        <v>5736</v>
      </c>
    </row>
    <row r="795" spans="1:2" x14ac:dyDescent="0.25">
      <c r="A795" s="1" t="s">
        <v>1687</v>
      </c>
      <c r="B795" s="1" t="s">
        <v>5737</v>
      </c>
    </row>
    <row r="796" spans="1:2" x14ac:dyDescent="0.25">
      <c r="A796" s="1" t="s">
        <v>1688</v>
      </c>
      <c r="B796" s="1" t="s">
        <v>5738</v>
      </c>
    </row>
    <row r="797" spans="1:2" x14ac:dyDescent="0.25">
      <c r="A797" s="1" t="s">
        <v>1689</v>
      </c>
      <c r="B797" s="1" t="s">
        <v>5739</v>
      </c>
    </row>
    <row r="798" spans="1:2" x14ac:dyDescent="0.25">
      <c r="A798" s="1" t="s">
        <v>1690</v>
      </c>
      <c r="B798" s="1" t="s">
        <v>5740</v>
      </c>
    </row>
    <row r="799" spans="1:2" x14ac:dyDescent="0.25">
      <c r="A799" s="1" t="s">
        <v>1691</v>
      </c>
      <c r="B799" s="1" t="s">
        <v>5741</v>
      </c>
    </row>
    <row r="800" spans="1:2" x14ac:dyDescent="0.25">
      <c r="A800" s="1" t="s">
        <v>1692</v>
      </c>
      <c r="B800" s="1" t="s">
        <v>5742</v>
      </c>
    </row>
    <row r="801" spans="1:2" x14ac:dyDescent="0.25">
      <c r="A801" s="1" t="s">
        <v>1693</v>
      </c>
      <c r="B801" s="1" t="s">
        <v>4891</v>
      </c>
    </row>
    <row r="802" spans="1:2" x14ac:dyDescent="0.25">
      <c r="A802" s="1" t="s">
        <v>1694</v>
      </c>
      <c r="B802" s="1" t="s">
        <v>4875</v>
      </c>
    </row>
    <row r="803" spans="1:2" x14ac:dyDescent="0.25">
      <c r="A803" s="1" t="s">
        <v>1695</v>
      </c>
      <c r="B803" s="1" t="s">
        <v>5743</v>
      </c>
    </row>
    <row r="804" spans="1:2" x14ac:dyDescent="0.25">
      <c r="A804" s="1" t="s">
        <v>1696</v>
      </c>
      <c r="B804" s="1" t="s">
        <v>5744</v>
      </c>
    </row>
    <row r="805" spans="1:2" x14ac:dyDescent="0.25">
      <c r="A805" s="1" t="s">
        <v>1697</v>
      </c>
      <c r="B805" s="1" t="s">
        <v>5745</v>
      </c>
    </row>
    <row r="806" spans="1:2" x14ac:dyDescent="0.25">
      <c r="A806" s="1" t="s">
        <v>1698</v>
      </c>
      <c r="B806" s="1" t="s">
        <v>5466</v>
      </c>
    </row>
    <row r="807" spans="1:2" x14ac:dyDescent="0.25">
      <c r="A807" s="1" t="s">
        <v>1699</v>
      </c>
      <c r="B807" s="1" t="s">
        <v>5746</v>
      </c>
    </row>
    <row r="808" spans="1:2" x14ac:dyDescent="0.25">
      <c r="A808" s="1" t="s">
        <v>1700</v>
      </c>
      <c r="B808" s="1" t="s">
        <v>5747</v>
      </c>
    </row>
    <row r="809" spans="1:2" x14ac:dyDescent="0.25">
      <c r="A809" s="1" t="s">
        <v>1701</v>
      </c>
      <c r="B809" s="1" t="s">
        <v>5748</v>
      </c>
    </row>
    <row r="810" spans="1:2" x14ac:dyDescent="0.25">
      <c r="A810" s="1" t="s">
        <v>1702</v>
      </c>
      <c r="B810" s="1" t="s">
        <v>4645</v>
      </c>
    </row>
    <row r="811" spans="1:2" x14ac:dyDescent="0.25">
      <c r="A811" s="1" t="s">
        <v>1703</v>
      </c>
      <c r="B811" s="1" t="s">
        <v>5749</v>
      </c>
    </row>
    <row r="812" spans="1:2" x14ac:dyDescent="0.25">
      <c r="A812" s="1" t="s">
        <v>1704</v>
      </c>
      <c r="B812" s="1" t="s">
        <v>5506</v>
      </c>
    </row>
    <row r="813" spans="1:2" x14ac:dyDescent="0.25">
      <c r="A813" s="1" t="s">
        <v>1705</v>
      </c>
      <c r="B813" s="1" t="s">
        <v>5750</v>
      </c>
    </row>
    <row r="814" spans="1:2" x14ac:dyDescent="0.25">
      <c r="A814" s="1" t="s">
        <v>1706</v>
      </c>
      <c r="B814" s="1" t="s">
        <v>5751</v>
      </c>
    </row>
    <row r="815" spans="1:2" x14ac:dyDescent="0.25">
      <c r="A815" s="1" t="s">
        <v>1707</v>
      </c>
      <c r="B815" s="1" t="s">
        <v>5488</v>
      </c>
    </row>
    <row r="816" spans="1:2" x14ac:dyDescent="0.25">
      <c r="A816" s="1" t="s">
        <v>1708</v>
      </c>
      <c r="B816" s="1" t="s">
        <v>5752</v>
      </c>
    </row>
    <row r="817" spans="1:2" x14ac:dyDescent="0.25">
      <c r="A817" s="1" t="s">
        <v>1709</v>
      </c>
      <c r="B817" s="1" t="s">
        <v>5753</v>
      </c>
    </row>
    <row r="818" spans="1:2" x14ac:dyDescent="0.25">
      <c r="A818" s="1" t="s">
        <v>1710</v>
      </c>
      <c r="B818" s="1" t="s">
        <v>5754</v>
      </c>
    </row>
    <row r="819" spans="1:2" x14ac:dyDescent="0.25">
      <c r="A819" s="1" t="s">
        <v>1711</v>
      </c>
      <c r="B819" s="1" t="s">
        <v>4493</v>
      </c>
    </row>
    <row r="820" spans="1:2" x14ac:dyDescent="0.25">
      <c r="A820" s="1" t="s">
        <v>1712</v>
      </c>
      <c r="B820" s="1" t="s">
        <v>5755</v>
      </c>
    </row>
    <row r="821" spans="1:2" x14ac:dyDescent="0.25">
      <c r="A821" s="1" t="s">
        <v>1713</v>
      </c>
      <c r="B821" s="1" t="s">
        <v>5375</v>
      </c>
    </row>
    <row r="822" spans="1:2" x14ac:dyDescent="0.25">
      <c r="A822" s="1" t="s">
        <v>1714</v>
      </c>
      <c r="B822" s="1" t="s">
        <v>5756</v>
      </c>
    </row>
    <row r="823" spans="1:2" x14ac:dyDescent="0.25">
      <c r="A823" s="1" t="s">
        <v>1715</v>
      </c>
      <c r="B823" s="1" t="s">
        <v>4355</v>
      </c>
    </row>
    <row r="824" spans="1:2" x14ac:dyDescent="0.25">
      <c r="A824" s="1" t="s">
        <v>1716</v>
      </c>
      <c r="B824" s="1" t="s">
        <v>5757</v>
      </c>
    </row>
    <row r="825" spans="1:2" x14ac:dyDescent="0.25">
      <c r="A825" s="1" t="s">
        <v>1717</v>
      </c>
      <c r="B825" s="1" t="s">
        <v>5758</v>
      </c>
    </row>
    <row r="826" spans="1:2" x14ac:dyDescent="0.25">
      <c r="A826" s="1" t="s">
        <v>1718</v>
      </c>
      <c r="B826" s="1" t="s">
        <v>5759</v>
      </c>
    </row>
    <row r="827" spans="1:2" x14ac:dyDescent="0.25">
      <c r="A827" s="1" t="s">
        <v>1719</v>
      </c>
      <c r="B827" s="1" t="s">
        <v>4865</v>
      </c>
    </row>
    <row r="828" spans="1:2" x14ac:dyDescent="0.25">
      <c r="A828" s="1" t="s">
        <v>1720</v>
      </c>
      <c r="B828" s="1" t="s">
        <v>5760</v>
      </c>
    </row>
    <row r="829" spans="1:2" x14ac:dyDescent="0.25">
      <c r="A829" s="1" t="s">
        <v>1721</v>
      </c>
      <c r="B829" s="1" t="s">
        <v>5761</v>
      </c>
    </row>
    <row r="830" spans="1:2" x14ac:dyDescent="0.25">
      <c r="A830" s="1" t="s">
        <v>1722</v>
      </c>
      <c r="B830" s="1" t="s">
        <v>4770</v>
      </c>
    </row>
    <row r="831" spans="1:2" x14ac:dyDescent="0.25">
      <c r="A831" s="1" t="s">
        <v>1723</v>
      </c>
      <c r="B831" s="1" t="s">
        <v>4831</v>
      </c>
    </row>
    <row r="832" spans="1:2" x14ac:dyDescent="0.25">
      <c r="A832" s="1" t="s">
        <v>1724</v>
      </c>
      <c r="B832" s="1" t="s">
        <v>5762</v>
      </c>
    </row>
    <row r="833" spans="1:2" x14ac:dyDescent="0.25">
      <c r="A833" s="1" t="s">
        <v>1725</v>
      </c>
      <c r="B833" s="1" t="s">
        <v>5763</v>
      </c>
    </row>
    <row r="834" spans="1:2" x14ac:dyDescent="0.25">
      <c r="A834" s="1" t="s">
        <v>1726</v>
      </c>
      <c r="B834" s="1" t="s">
        <v>5764</v>
      </c>
    </row>
    <row r="835" spans="1:2" x14ac:dyDescent="0.25">
      <c r="A835" s="1" t="s">
        <v>1727</v>
      </c>
      <c r="B835" s="1" t="s">
        <v>5765</v>
      </c>
    </row>
    <row r="836" spans="1:2" x14ac:dyDescent="0.25">
      <c r="A836" s="1" t="s">
        <v>1728</v>
      </c>
      <c r="B836" s="1" t="s">
        <v>4567</v>
      </c>
    </row>
    <row r="837" spans="1:2" x14ac:dyDescent="0.25">
      <c r="A837" s="1" t="s">
        <v>1729</v>
      </c>
      <c r="B837" s="1" t="s">
        <v>5766</v>
      </c>
    </row>
    <row r="838" spans="1:2" x14ac:dyDescent="0.25">
      <c r="A838" s="1" t="s">
        <v>1730</v>
      </c>
      <c r="B838" s="1" t="s">
        <v>5767</v>
      </c>
    </row>
    <row r="839" spans="1:2" x14ac:dyDescent="0.25">
      <c r="A839" s="1" t="s">
        <v>1731</v>
      </c>
      <c r="B839" s="1" t="s">
        <v>5768</v>
      </c>
    </row>
    <row r="840" spans="1:2" x14ac:dyDescent="0.25">
      <c r="A840" s="1" t="s">
        <v>1732</v>
      </c>
      <c r="B840" s="1" t="s">
        <v>5769</v>
      </c>
    </row>
    <row r="841" spans="1:2" x14ac:dyDescent="0.25">
      <c r="A841" s="1" t="s">
        <v>1733</v>
      </c>
      <c r="B841" s="1" t="s">
        <v>5770</v>
      </c>
    </row>
    <row r="842" spans="1:2" x14ac:dyDescent="0.25">
      <c r="A842" s="1" t="s">
        <v>1734</v>
      </c>
      <c r="B842" s="1" t="s">
        <v>4738</v>
      </c>
    </row>
    <row r="843" spans="1:2" x14ac:dyDescent="0.25">
      <c r="A843" s="1" t="s">
        <v>1735</v>
      </c>
      <c r="B843" s="1" t="s">
        <v>5566</v>
      </c>
    </row>
    <row r="844" spans="1:2" x14ac:dyDescent="0.25">
      <c r="A844" s="1" t="s">
        <v>1736</v>
      </c>
      <c r="B844" s="1" t="s">
        <v>4706</v>
      </c>
    </row>
    <row r="845" spans="1:2" x14ac:dyDescent="0.25">
      <c r="A845" s="1" t="s">
        <v>1737</v>
      </c>
      <c r="B845" s="1" t="s">
        <v>4713</v>
      </c>
    </row>
    <row r="846" spans="1:2" x14ac:dyDescent="0.25">
      <c r="A846" s="1" t="s">
        <v>1738</v>
      </c>
      <c r="B846" s="1" t="s">
        <v>5771</v>
      </c>
    </row>
    <row r="847" spans="1:2" x14ac:dyDescent="0.25">
      <c r="A847" s="1" t="s">
        <v>1739</v>
      </c>
      <c r="B847" s="1" t="s">
        <v>5772</v>
      </c>
    </row>
    <row r="848" spans="1:2" x14ac:dyDescent="0.25">
      <c r="A848" s="1" t="s">
        <v>1740</v>
      </c>
      <c r="B848" s="1" t="s">
        <v>5773</v>
      </c>
    </row>
    <row r="849" spans="1:2" x14ac:dyDescent="0.25">
      <c r="A849" s="1" t="s">
        <v>1741</v>
      </c>
      <c r="B849" s="1" t="s">
        <v>5774</v>
      </c>
    </row>
    <row r="850" spans="1:2" x14ac:dyDescent="0.25">
      <c r="A850" s="1" t="s">
        <v>1742</v>
      </c>
      <c r="B850" s="1" t="s">
        <v>5775</v>
      </c>
    </row>
    <row r="851" spans="1:2" x14ac:dyDescent="0.25">
      <c r="A851" s="1" t="s">
        <v>1743</v>
      </c>
      <c r="B851" s="1" t="s">
        <v>5776</v>
      </c>
    </row>
    <row r="852" spans="1:2" x14ac:dyDescent="0.25">
      <c r="A852" s="1" t="s">
        <v>1744</v>
      </c>
      <c r="B852" s="1" t="s">
        <v>4829</v>
      </c>
    </row>
    <row r="853" spans="1:2" x14ac:dyDescent="0.25">
      <c r="A853" s="1" t="s">
        <v>1745</v>
      </c>
      <c r="B853" s="1" t="s">
        <v>5777</v>
      </c>
    </row>
    <row r="854" spans="1:2" x14ac:dyDescent="0.25">
      <c r="A854" s="1" t="s">
        <v>1746</v>
      </c>
      <c r="B854" s="1" t="s">
        <v>5778</v>
      </c>
    </row>
    <row r="855" spans="1:2" x14ac:dyDescent="0.25">
      <c r="A855" s="1" t="s">
        <v>1747</v>
      </c>
      <c r="B855" s="1" t="s">
        <v>5779</v>
      </c>
    </row>
    <row r="856" spans="1:2" x14ac:dyDescent="0.25">
      <c r="A856" s="1" t="s">
        <v>1748</v>
      </c>
      <c r="B856" s="1" t="s">
        <v>5780</v>
      </c>
    </row>
    <row r="857" spans="1:2" x14ac:dyDescent="0.25">
      <c r="A857" s="1" t="s">
        <v>1749</v>
      </c>
      <c r="B857" s="1" t="s">
        <v>5781</v>
      </c>
    </row>
    <row r="858" spans="1:2" x14ac:dyDescent="0.25">
      <c r="A858" s="1" t="s">
        <v>1750</v>
      </c>
      <c r="B858" s="1" t="s">
        <v>5782</v>
      </c>
    </row>
    <row r="859" spans="1:2" x14ac:dyDescent="0.25">
      <c r="A859" s="1" t="s">
        <v>1751</v>
      </c>
      <c r="B859" s="1" t="s">
        <v>5783</v>
      </c>
    </row>
    <row r="860" spans="1:2" x14ac:dyDescent="0.25">
      <c r="A860" s="1" t="s">
        <v>1752</v>
      </c>
      <c r="B860" s="1" t="s">
        <v>4621</v>
      </c>
    </row>
    <row r="861" spans="1:2" x14ac:dyDescent="0.25">
      <c r="A861" s="1" t="s">
        <v>1753</v>
      </c>
      <c r="B861" s="1" t="s">
        <v>5261</v>
      </c>
    </row>
    <row r="862" spans="1:2" x14ac:dyDescent="0.25">
      <c r="A862" s="1" t="s">
        <v>1754</v>
      </c>
      <c r="B862" s="1" t="s">
        <v>5651</v>
      </c>
    </row>
    <row r="863" spans="1:2" x14ac:dyDescent="0.25">
      <c r="A863" s="1" t="s">
        <v>1755</v>
      </c>
      <c r="B863" s="1" t="s">
        <v>5719</v>
      </c>
    </row>
    <row r="864" spans="1:2" x14ac:dyDescent="0.25">
      <c r="A864" s="1" t="s">
        <v>1756</v>
      </c>
      <c r="B864" s="1" t="s">
        <v>5784</v>
      </c>
    </row>
    <row r="865" spans="1:2" x14ac:dyDescent="0.25">
      <c r="A865" s="1" t="s">
        <v>1757</v>
      </c>
      <c r="B865" s="1" t="s">
        <v>5785</v>
      </c>
    </row>
    <row r="866" spans="1:2" x14ac:dyDescent="0.25">
      <c r="A866" s="1" t="s">
        <v>1758</v>
      </c>
      <c r="B866" s="1" t="s">
        <v>5786</v>
      </c>
    </row>
    <row r="867" spans="1:2" x14ac:dyDescent="0.25">
      <c r="A867" s="1" t="s">
        <v>1759</v>
      </c>
      <c r="B867" s="1" t="s">
        <v>5787</v>
      </c>
    </row>
    <row r="868" spans="1:2" x14ac:dyDescent="0.25">
      <c r="A868" s="1" t="s">
        <v>1760</v>
      </c>
      <c r="B868" s="1" t="s">
        <v>5151</v>
      </c>
    </row>
    <row r="869" spans="1:2" x14ac:dyDescent="0.25">
      <c r="A869" s="1" t="s">
        <v>1761</v>
      </c>
      <c r="B869" s="1" t="s">
        <v>5788</v>
      </c>
    </row>
    <row r="870" spans="1:2" x14ac:dyDescent="0.25">
      <c r="A870" s="1" t="s">
        <v>1762</v>
      </c>
      <c r="B870" s="1" t="s">
        <v>5789</v>
      </c>
    </row>
    <row r="871" spans="1:2" x14ac:dyDescent="0.25">
      <c r="A871" s="1" t="s">
        <v>1763</v>
      </c>
      <c r="B871" s="1" t="s">
        <v>5790</v>
      </c>
    </row>
    <row r="872" spans="1:2" x14ac:dyDescent="0.25">
      <c r="A872" s="1" t="s">
        <v>1764</v>
      </c>
      <c r="B872" s="1" t="s">
        <v>4763</v>
      </c>
    </row>
    <row r="873" spans="1:2" x14ac:dyDescent="0.25">
      <c r="A873" s="1" t="s">
        <v>1765</v>
      </c>
      <c r="B873" s="1" t="s">
        <v>5791</v>
      </c>
    </row>
    <row r="874" spans="1:2" x14ac:dyDescent="0.25">
      <c r="A874" s="1" t="s">
        <v>1766</v>
      </c>
      <c r="B874" s="1" t="s">
        <v>5792</v>
      </c>
    </row>
    <row r="875" spans="1:2" x14ac:dyDescent="0.25">
      <c r="A875" s="1" t="s">
        <v>1767</v>
      </c>
      <c r="B875" s="1" t="s">
        <v>5176</v>
      </c>
    </row>
    <row r="876" spans="1:2" x14ac:dyDescent="0.25">
      <c r="A876" s="1" t="s">
        <v>1768</v>
      </c>
      <c r="B876" s="1" t="s">
        <v>5449</v>
      </c>
    </row>
    <row r="877" spans="1:2" x14ac:dyDescent="0.25">
      <c r="A877" s="1" t="s">
        <v>1769</v>
      </c>
      <c r="B877" s="1" t="s">
        <v>5793</v>
      </c>
    </row>
    <row r="878" spans="1:2" x14ac:dyDescent="0.25">
      <c r="A878" s="1" t="s">
        <v>1770</v>
      </c>
      <c r="B878" s="1" t="s">
        <v>5794</v>
      </c>
    </row>
    <row r="879" spans="1:2" x14ac:dyDescent="0.25">
      <c r="A879" s="1" t="s">
        <v>1771</v>
      </c>
      <c r="B879" s="1" t="s">
        <v>4377</v>
      </c>
    </row>
    <row r="880" spans="1:2" x14ac:dyDescent="0.25">
      <c r="A880" s="1" t="s">
        <v>1772</v>
      </c>
      <c r="B880" s="1" t="s">
        <v>5795</v>
      </c>
    </row>
    <row r="881" spans="1:2" x14ac:dyDescent="0.25">
      <c r="A881" s="1" t="s">
        <v>1773</v>
      </c>
      <c r="B881" s="1" t="s">
        <v>5796</v>
      </c>
    </row>
    <row r="882" spans="1:2" x14ac:dyDescent="0.25">
      <c r="A882" s="1" t="s">
        <v>1774</v>
      </c>
      <c r="B882" s="1" t="s">
        <v>5261</v>
      </c>
    </row>
    <row r="883" spans="1:2" x14ac:dyDescent="0.25">
      <c r="A883" s="1" t="s">
        <v>1775</v>
      </c>
      <c r="B883" s="1" t="s">
        <v>5252</v>
      </c>
    </row>
    <row r="884" spans="1:2" x14ac:dyDescent="0.25">
      <c r="A884" s="1" t="s">
        <v>1776</v>
      </c>
      <c r="B884" s="1" t="s">
        <v>5384</v>
      </c>
    </row>
    <row r="885" spans="1:2" x14ac:dyDescent="0.25">
      <c r="A885" s="1" t="s">
        <v>1777</v>
      </c>
      <c r="B885" s="1" t="s">
        <v>5797</v>
      </c>
    </row>
    <row r="886" spans="1:2" x14ac:dyDescent="0.25">
      <c r="A886" s="1" t="s">
        <v>1778</v>
      </c>
      <c r="B886" s="1" t="s">
        <v>4424</v>
      </c>
    </row>
    <row r="887" spans="1:2" x14ac:dyDescent="0.25">
      <c r="A887" s="1" t="s">
        <v>1779</v>
      </c>
      <c r="B887" s="1" t="s">
        <v>5440</v>
      </c>
    </row>
    <row r="888" spans="1:2" x14ac:dyDescent="0.25">
      <c r="A888" s="1" t="s">
        <v>1780</v>
      </c>
      <c r="B888" s="1" t="s">
        <v>5407</v>
      </c>
    </row>
    <row r="889" spans="1:2" x14ac:dyDescent="0.25">
      <c r="A889" s="1" t="s">
        <v>1781</v>
      </c>
      <c r="B889" s="1" t="s">
        <v>5453</v>
      </c>
    </row>
    <row r="890" spans="1:2" x14ac:dyDescent="0.25">
      <c r="A890" s="1" t="s">
        <v>1782</v>
      </c>
      <c r="B890" s="1" t="s">
        <v>5516</v>
      </c>
    </row>
    <row r="891" spans="1:2" x14ac:dyDescent="0.25">
      <c r="A891" s="1" t="s">
        <v>1783</v>
      </c>
      <c r="B891" s="1" t="s">
        <v>4986</v>
      </c>
    </row>
    <row r="892" spans="1:2" x14ac:dyDescent="0.25">
      <c r="A892" s="1" t="s">
        <v>1784</v>
      </c>
      <c r="B892" s="1" t="s">
        <v>5798</v>
      </c>
    </row>
    <row r="893" spans="1:2" x14ac:dyDescent="0.25">
      <c r="A893" s="1" t="s">
        <v>1785</v>
      </c>
      <c r="B893" s="1" t="s">
        <v>5799</v>
      </c>
    </row>
    <row r="894" spans="1:2" x14ac:dyDescent="0.25">
      <c r="A894" s="1" t="s">
        <v>1786</v>
      </c>
      <c r="B894" s="1" t="s">
        <v>5800</v>
      </c>
    </row>
    <row r="895" spans="1:2" x14ac:dyDescent="0.25">
      <c r="A895" s="1" t="s">
        <v>1787</v>
      </c>
      <c r="B895" s="1" t="s">
        <v>5801</v>
      </c>
    </row>
    <row r="896" spans="1:2" x14ac:dyDescent="0.25">
      <c r="A896" s="1" t="s">
        <v>1788</v>
      </c>
      <c r="B896" s="1" t="s">
        <v>5802</v>
      </c>
    </row>
    <row r="897" spans="1:2" x14ac:dyDescent="0.25">
      <c r="A897" s="1" t="s">
        <v>1789</v>
      </c>
      <c r="B897" s="1" t="s">
        <v>5803</v>
      </c>
    </row>
    <row r="898" spans="1:2" x14ac:dyDescent="0.25">
      <c r="A898" s="1" t="s">
        <v>1790</v>
      </c>
      <c r="B898" s="1" t="s">
        <v>5804</v>
      </c>
    </row>
    <row r="899" spans="1:2" x14ac:dyDescent="0.25">
      <c r="A899" s="1" t="s">
        <v>1791</v>
      </c>
      <c r="B899" s="1" t="s">
        <v>5805</v>
      </c>
    </row>
    <row r="900" spans="1:2" x14ac:dyDescent="0.25">
      <c r="A900" s="1" t="s">
        <v>1792</v>
      </c>
      <c r="B900" s="1" t="s">
        <v>5345</v>
      </c>
    </row>
    <row r="901" spans="1:2" x14ac:dyDescent="0.25">
      <c r="A901" s="1" t="s">
        <v>1793</v>
      </c>
      <c r="B901" s="1" t="s">
        <v>5806</v>
      </c>
    </row>
    <row r="902" spans="1:2" x14ac:dyDescent="0.25">
      <c r="A902" s="1" t="s">
        <v>1794</v>
      </c>
      <c r="B902" s="1" t="s">
        <v>5807</v>
      </c>
    </row>
    <row r="903" spans="1:2" x14ac:dyDescent="0.25">
      <c r="A903" s="1" t="s">
        <v>1795</v>
      </c>
      <c r="B903" s="1" t="s">
        <v>5808</v>
      </c>
    </row>
    <row r="904" spans="1:2" x14ac:dyDescent="0.25">
      <c r="A904" s="1" t="s">
        <v>1796</v>
      </c>
      <c r="B904" s="1" t="s">
        <v>5809</v>
      </c>
    </row>
    <row r="905" spans="1:2" x14ac:dyDescent="0.25">
      <c r="A905" s="1" t="s">
        <v>1797</v>
      </c>
      <c r="B905" s="1" t="s">
        <v>4976</v>
      </c>
    </row>
    <row r="906" spans="1:2" x14ac:dyDescent="0.25">
      <c r="A906" s="1" t="s">
        <v>1798</v>
      </c>
      <c r="B906" s="1" t="s">
        <v>5810</v>
      </c>
    </row>
    <row r="907" spans="1:2" x14ac:dyDescent="0.25">
      <c r="A907" s="1" t="s">
        <v>1799</v>
      </c>
      <c r="B907" s="1" t="s">
        <v>5811</v>
      </c>
    </row>
    <row r="908" spans="1:2" x14ac:dyDescent="0.25">
      <c r="A908" s="1" t="s">
        <v>1800</v>
      </c>
      <c r="B908" s="1" t="s">
        <v>5812</v>
      </c>
    </row>
    <row r="909" spans="1:2" x14ac:dyDescent="0.25">
      <c r="A909" s="1" t="s">
        <v>1801</v>
      </c>
      <c r="B909" s="1" t="s">
        <v>5813</v>
      </c>
    </row>
    <row r="910" spans="1:2" x14ac:dyDescent="0.25">
      <c r="A910" s="1" t="s">
        <v>1802</v>
      </c>
      <c r="B910" s="1" t="s">
        <v>5814</v>
      </c>
    </row>
    <row r="911" spans="1:2" x14ac:dyDescent="0.25">
      <c r="A911" s="1" t="s">
        <v>1803</v>
      </c>
      <c r="B911" s="1" t="s">
        <v>5036</v>
      </c>
    </row>
    <row r="912" spans="1:2" x14ac:dyDescent="0.25">
      <c r="A912" s="1" t="s">
        <v>1804</v>
      </c>
      <c r="B912" s="1" t="s">
        <v>5815</v>
      </c>
    </row>
    <row r="913" spans="1:2" x14ac:dyDescent="0.25">
      <c r="A913" s="1" t="s">
        <v>1805</v>
      </c>
      <c r="B913" s="1" t="s">
        <v>4658</v>
      </c>
    </row>
    <row r="914" spans="1:2" x14ac:dyDescent="0.25">
      <c r="A914" s="1" t="s">
        <v>1806</v>
      </c>
      <c r="B914" s="1" t="s">
        <v>5816</v>
      </c>
    </row>
    <row r="915" spans="1:2" x14ac:dyDescent="0.25">
      <c r="A915" s="1" t="s">
        <v>1807</v>
      </c>
      <c r="B915" s="1" t="s">
        <v>5817</v>
      </c>
    </row>
    <row r="916" spans="1:2" x14ac:dyDescent="0.25">
      <c r="A916" s="1" t="s">
        <v>1808</v>
      </c>
      <c r="B916" s="1" t="s">
        <v>5818</v>
      </c>
    </row>
    <row r="917" spans="1:2" x14ac:dyDescent="0.25">
      <c r="A917" s="1" t="s">
        <v>1809</v>
      </c>
      <c r="B917" s="1" t="s">
        <v>4506</v>
      </c>
    </row>
    <row r="918" spans="1:2" x14ac:dyDescent="0.25">
      <c r="A918" s="1" t="s">
        <v>1810</v>
      </c>
      <c r="B918" s="1" t="s">
        <v>5819</v>
      </c>
    </row>
    <row r="919" spans="1:2" x14ac:dyDescent="0.25">
      <c r="A919" s="1" t="s">
        <v>1811</v>
      </c>
      <c r="B919" s="1" t="s">
        <v>4362</v>
      </c>
    </row>
    <row r="920" spans="1:2" x14ac:dyDescent="0.25">
      <c r="A920" s="1" t="s">
        <v>1812</v>
      </c>
      <c r="B920" s="1" t="s">
        <v>5820</v>
      </c>
    </row>
    <row r="921" spans="1:2" x14ac:dyDescent="0.25">
      <c r="A921" s="1" t="s">
        <v>1813</v>
      </c>
      <c r="B921" s="1" t="s">
        <v>5821</v>
      </c>
    </row>
    <row r="922" spans="1:2" x14ac:dyDescent="0.25">
      <c r="A922" s="1" t="s">
        <v>1814</v>
      </c>
      <c r="B922" s="1" t="s">
        <v>5822</v>
      </c>
    </row>
    <row r="923" spans="1:2" x14ac:dyDescent="0.25">
      <c r="A923" s="1" t="s">
        <v>1815</v>
      </c>
      <c r="B923" s="1" t="s">
        <v>4972</v>
      </c>
    </row>
    <row r="924" spans="1:2" x14ac:dyDescent="0.25">
      <c r="A924" s="1" t="s">
        <v>1816</v>
      </c>
      <c r="B924" s="1" t="s">
        <v>5823</v>
      </c>
    </row>
    <row r="925" spans="1:2" x14ac:dyDescent="0.25">
      <c r="A925" s="1" t="s">
        <v>1817</v>
      </c>
      <c r="B925" s="1" t="s">
        <v>5824</v>
      </c>
    </row>
    <row r="926" spans="1:2" x14ac:dyDescent="0.25">
      <c r="A926" s="1" t="s">
        <v>1818</v>
      </c>
      <c r="B926" s="1" t="s">
        <v>5455</v>
      </c>
    </row>
    <row r="927" spans="1:2" x14ac:dyDescent="0.25">
      <c r="A927" s="1" t="s">
        <v>1819</v>
      </c>
      <c r="B927" s="1" t="s">
        <v>5825</v>
      </c>
    </row>
    <row r="928" spans="1:2" x14ac:dyDescent="0.25">
      <c r="A928" s="1" t="s">
        <v>1820</v>
      </c>
      <c r="B928" s="1" t="s">
        <v>4842</v>
      </c>
    </row>
    <row r="929" spans="1:2" x14ac:dyDescent="0.25">
      <c r="A929" s="1" t="s">
        <v>1821</v>
      </c>
      <c r="B929" s="1" t="s">
        <v>4683</v>
      </c>
    </row>
    <row r="930" spans="1:2" x14ac:dyDescent="0.25">
      <c r="A930" s="1" t="s">
        <v>1822</v>
      </c>
      <c r="B930" s="1" t="s">
        <v>5826</v>
      </c>
    </row>
    <row r="931" spans="1:2" x14ac:dyDescent="0.25">
      <c r="A931" s="1" t="s">
        <v>1823</v>
      </c>
      <c r="B931" s="1" t="s">
        <v>5827</v>
      </c>
    </row>
    <row r="932" spans="1:2" x14ac:dyDescent="0.25">
      <c r="A932" s="1" t="s">
        <v>1824</v>
      </c>
      <c r="B932" s="1" t="s">
        <v>5828</v>
      </c>
    </row>
    <row r="933" spans="1:2" x14ac:dyDescent="0.25">
      <c r="A933" s="1" t="s">
        <v>4269</v>
      </c>
      <c r="B933" s="1" t="s">
        <v>5487</v>
      </c>
    </row>
    <row r="934" spans="1:2" x14ac:dyDescent="0.25">
      <c r="A934" s="1" t="s">
        <v>1825</v>
      </c>
      <c r="B934" s="1" t="s">
        <v>5359</v>
      </c>
    </row>
    <row r="935" spans="1:2" x14ac:dyDescent="0.25">
      <c r="A935" s="1" t="s">
        <v>1826</v>
      </c>
      <c r="B935" s="1" t="s">
        <v>5182</v>
      </c>
    </row>
    <row r="936" spans="1:2" x14ac:dyDescent="0.25">
      <c r="A936" s="1" t="s">
        <v>1827</v>
      </c>
      <c r="B936" s="1" t="s">
        <v>5829</v>
      </c>
    </row>
    <row r="937" spans="1:2" x14ac:dyDescent="0.25">
      <c r="A937" s="1" t="s">
        <v>1828</v>
      </c>
      <c r="B937" s="1" t="s">
        <v>5830</v>
      </c>
    </row>
    <row r="938" spans="1:2" x14ac:dyDescent="0.25">
      <c r="A938" s="1" t="s">
        <v>1829</v>
      </c>
      <c r="B938" s="1" t="s">
        <v>5831</v>
      </c>
    </row>
    <row r="939" spans="1:2" x14ac:dyDescent="0.25">
      <c r="A939" s="1" t="s">
        <v>1830</v>
      </c>
      <c r="B939" s="1" t="s">
        <v>5832</v>
      </c>
    </row>
    <row r="940" spans="1:2" x14ac:dyDescent="0.25">
      <c r="A940" s="1" t="s">
        <v>1831</v>
      </c>
      <c r="B940" s="1" t="s">
        <v>4493</v>
      </c>
    </row>
    <row r="941" spans="1:2" x14ac:dyDescent="0.25">
      <c r="A941" s="1" t="s">
        <v>1832</v>
      </c>
      <c r="B941" s="1" t="s">
        <v>4560</v>
      </c>
    </row>
    <row r="942" spans="1:2" x14ac:dyDescent="0.25">
      <c r="A942" s="1" t="s">
        <v>1833</v>
      </c>
      <c r="B942" s="1" t="s">
        <v>5833</v>
      </c>
    </row>
    <row r="943" spans="1:2" x14ac:dyDescent="0.25">
      <c r="A943" s="1" t="s">
        <v>1834</v>
      </c>
      <c r="B943" s="1" t="s">
        <v>4578</v>
      </c>
    </row>
    <row r="944" spans="1:2" x14ac:dyDescent="0.25">
      <c r="A944" s="1" t="s">
        <v>1835</v>
      </c>
      <c r="B944" s="1" t="s">
        <v>5834</v>
      </c>
    </row>
    <row r="945" spans="1:2" x14ac:dyDescent="0.25">
      <c r="A945" s="1" t="s">
        <v>1836</v>
      </c>
      <c r="B945" s="1" t="s">
        <v>5835</v>
      </c>
    </row>
    <row r="946" spans="1:2" x14ac:dyDescent="0.25">
      <c r="A946" s="1" t="s">
        <v>1837</v>
      </c>
      <c r="B946" s="1" t="s">
        <v>5836</v>
      </c>
    </row>
    <row r="947" spans="1:2" x14ac:dyDescent="0.25">
      <c r="A947" s="1" t="s">
        <v>1838</v>
      </c>
      <c r="B947" s="1" t="s">
        <v>4743</v>
      </c>
    </row>
    <row r="948" spans="1:2" x14ac:dyDescent="0.25">
      <c r="A948" s="1" t="s">
        <v>1839</v>
      </c>
      <c r="B948" s="1" t="s">
        <v>4961</v>
      </c>
    </row>
    <row r="949" spans="1:2" x14ac:dyDescent="0.25">
      <c r="A949" s="1" t="s">
        <v>1840</v>
      </c>
      <c r="B949" s="1" t="s">
        <v>4597</v>
      </c>
    </row>
    <row r="950" spans="1:2" x14ac:dyDescent="0.25">
      <c r="A950" s="1" t="s">
        <v>1841</v>
      </c>
      <c r="B950" s="1" t="s">
        <v>5837</v>
      </c>
    </row>
    <row r="951" spans="1:2" x14ac:dyDescent="0.25">
      <c r="A951" s="1" t="s">
        <v>1842</v>
      </c>
      <c r="B951" s="1" t="s">
        <v>5838</v>
      </c>
    </row>
    <row r="952" spans="1:2" x14ac:dyDescent="0.25">
      <c r="A952" s="1" t="s">
        <v>1843</v>
      </c>
      <c r="B952" s="1" t="s">
        <v>4641</v>
      </c>
    </row>
    <row r="953" spans="1:2" x14ac:dyDescent="0.25">
      <c r="A953" s="1" t="s">
        <v>1844</v>
      </c>
      <c r="B953" s="1" t="s">
        <v>5839</v>
      </c>
    </row>
    <row r="954" spans="1:2" x14ac:dyDescent="0.25">
      <c r="A954" s="1" t="s">
        <v>1845</v>
      </c>
      <c r="B954" s="1" t="s">
        <v>4400</v>
      </c>
    </row>
    <row r="955" spans="1:2" x14ac:dyDescent="0.25">
      <c r="A955" s="1" t="s">
        <v>1846</v>
      </c>
      <c r="B955" s="1" t="s">
        <v>5840</v>
      </c>
    </row>
    <row r="956" spans="1:2" x14ac:dyDescent="0.25">
      <c r="A956" s="1" t="s">
        <v>1847</v>
      </c>
      <c r="B956" s="1" t="s">
        <v>5841</v>
      </c>
    </row>
    <row r="957" spans="1:2" x14ac:dyDescent="0.25">
      <c r="A957" s="1" t="s">
        <v>1848</v>
      </c>
      <c r="B957" s="1" t="s">
        <v>5842</v>
      </c>
    </row>
    <row r="958" spans="1:2" x14ac:dyDescent="0.25">
      <c r="A958" s="1" t="s">
        <v>1849</v>
      </c>
      <c r="B958" s="1" t="s">
        <v>4585</v>
      </c>
    </row>
    <row r="959" spans="1:2" x14ac:dyDescent="0.25">
      <c r="A959" s="1" t="s">
        <v>1850</v>
      </c>
      <c r="B959" s="1" t="s">
        <v>4599</v>
      </c>
    </row>
    <row r="960" spans="1:2" x14ac:dyDescent="0.25">
      <c r="A960" s="1" t="s">
        <v>1851</v>
      </c>
      <c r="B960" s="1" t="s">
        <v>5843</v>
      </c>
    </row>
    <row r="961" spans="1:2" x14ac:dyDescent="0.25">
      <c r="A961" s="1" t="s">
        <v>1852</v>
      </c>
      <c r="B961" s="1" t="s">
        <v>4484</v>
      </c>
    </row>
    <row r="962" spans="1:2" x14ac:dyDescent="0.25">
      <c r="A962" s="1" t="s">
        <v>1853</v>
      </c>
      <c r="B962" s="1" t="s">
        <v>5844</v>
      </c>
    </row>
    <row r="963" spans="1:2" x14ac:dyDescent="0.25">
      <c r="A963" s="1" t="s">
        <v>1854</v>
      </c>
      <c r="B963" s="1" t="s">
        <v>5845</v>
      </c>
    </row>
    <row r="964" spans="1:2" x14ac:dyDescent="0.25">
      <c r="A964" s="1" t="s">
        <v>1855</v>
      </c>
      <c r="B964" s="1" t="s">
        <v>4769</v>
      </c>
    </row>
    <row r="965" spans="1:2" x14ac:dyDescent="0.25">
      <c r="A965" s="1" t="s">
        <v>1856</v>
      </c>
      <c r="B965" s="1" t="s">
        <v>5846</v>
      </c>
    </row>
    <row r="966" spans="1:2" x14ac:dyDescent="0.25">
      <c r="A966" s="1" t="s">
        <v>1857</v>
      </c>
      <c r="B966" s="1" t="s">
        <v>5195</v>
      </c>
    </row>
    <row r="967" spans="1:2" x14ac:dyDescent="0.25">
      <c r="A967" s="1" t="s">
        <v>1858</v>
      </c>
      <c r="B967" s="1" t="s">
        <v>5486</v>
      </c>
    </row>
    <row r="968" spans="1:2" x14ac:dyDescent="0.25">
      <c r="A968" s="1" t="s">
        <v>1859</v>
      </c>
      <c r="B968" s="1" t="s">
        <v>5847</v>
      </c>
    </row>
    <row r="969" spans="1:2" x14ac:dyDescent="0.25">
      <c r="A969" s="1" t="s">
        <v>1860</v>
      </c>
      <c r="B969" s="1" t="s">
        <v>5848</v>
      </c>
    </row>
    <row r="970" spans="1:2" x14ac:dyDescent="0.25">
      <c r="A970" s="1" t="s">
        <v>1861</v>
      </c>
      <c r="B970" s="1" t="s">
        <v>4750</v>
      </c>
    </row>
    <row r="971" spans="1:2" x14ac:dyDescent="0.25">
      <c r="A971" s="1" t="s">
        <v>1862</v>
      </c>
      <c r="B971" s="1" t="s">
        <v>5849</v>
      </c>
    </row>
    <row r="972" spans="1:2" x14ac:dyDescent="0.25">
      <c r="A972" s="1" t="s">
        <v>1863</v>
      </c>
      <c r="B972" s="1" t="s">
        <v>4828</v>
      </c>
    </row>
    <row r="973" spans="1:2" x14ac:dyDescent="0.25">
      <c r="A973" s="1" t="s">
        <v>1864</v>
      </c>
      <c r="B973" s="1" t="s">
        <v>5850</v>
      </c>
    </row>
    <row r="974" spans="1:2" x14ac:dyDescent="0.25">
      <c r="A974" s="1" t="s">
        <v>1865</v>
      </c>
      <c r="B974" s="1" t="s">
        <v>5223</v>
      </c>
    </row>
    <row r="975" spans="1:2" x14ac:dyDescent="0.25">
      <c r="A975" s="1" t="s">
        <v>1866</v>
      </c>
      <c r="B975" s="1" t="s">
        <v>5851</v>
      </c>
    </row>
    <row r="976" spans="1:2" x14ac:dyDescent="0.25">
      <c r="A976" s="1" t="s">
        <v>1867</v>
      </c>
      <c r="B976" s="1" t="s">
        <v>4862</v>
      </c>
    </row>
    <row r="977" spans="1:2" x14ac:dyDescent="0.25">
      <c r="A977" s="1" t="s">
        <v>1868</v>
      </c>
      <c r="B977" s="1" t="s">
        <v>5852</v>
      </c>
    </row>
    <row r="978" spans="1:2" x14ac:dyDescent="0.25">
      <c r="A978" s="1" t="s">
        <v>1869</v>
      </c>
      <c r="B978" s="1" t="s">
        <v>4477</v>
      </c>
    </row>
    <row r="979" spans="1:2" x14ac:dyDescent="0.25">
      <c r="A979" s="1" t="s">
        <v>1870</v>
      </c>
      <c r="B979" s="1" t="s">
        <v>5195</v>
      </c>
    </row>
    <row r="980" spans="1:2" x14ac:dyDescent="0.25">
      <c r="A980" s="1" t="s">
        <v>1871</v>
      </c>
      <c r="B980" s="1" t="s">
        <v>5853</v>
      </c>
    </row>
    <row r="981" spans="1:2" x14ac:dyDescent="0.25">
      <c r="A981" s="1" t="s">
        <v>1872</v>
      </c>
      <c r="B981" s="1" t="s">
        <v>5169</v>
      </c>
    </row>
    <row r="982" spans="1:2" x14ac:dyDescent="0.25">
      <c r="A982" s="1" t="s">
        <v>1873</v>
      </c>
      <c r="B982" s="1" t="s">
        <v>4639</v>
      </c>
    </row>
    <row r="983" spans="1:2" x14ac:dyDescent="0.25">
      <c r="A983" s="1" t="s">
        <v>1874</v>
      </c>
      <c r="B983" s="1" t="s">
        <v>4632</v>
      </c>
    </row>
    <row r="984" spans="1:2" x14ac:dyDescent="0.25">
      <c r="A984" s="1" t="s">
        <v>1875</v>
      </c>
      <c r="B984" s="1" t="s">
        <v>5784</v>
      </c>
    </row>
    <row r="985" spans="1:2" x14ac:dyDescent="0.25">
      <c r="A985" s="1" t="s">
        <v>1876</v>
      </c>
      <c r="B985" s="1" t="s">
        <v>4778</v>
      </c>
    </row>
    <row r="986" spans="1:2" x14ac:dyDescent="0.25">
      <c r="A986" s="1" t="s">
        <v>1877</v>
      </c>
      <c r="B986" s="1" t="s">
        <v>5854</v>
      </c>
    </row>
    <row r="987" spans="1:2" x14ac:dyDescent="0.25">
      <c r="A987" s="1" t="s">
        <v>1878</v>
      </c>
      <c r="B987" s="1" t="s">
        <v>5822</v>
      </c>
    </row>
    <row r="988" spans="1:2" x14ac:dyDescent="0.25">
      <c r="A988" s="1" t="s">
        <v>1879</v>
      </c>
      <c r="B988" s="1" t="s">
        <v>5855</v>
      </c>
    </row>
    <row r="989" spans="1:2" x14ac:dyDescent="0.25">
      <c r="A989" s="1" t="s">
        <v>1880</v>
      </c>
      <c r="B989" s="1" t="s">
        <v>5856</v>
      </c>
    </row>
    <row r="990" spans="1:2" x14ac:dyDescent="0.25">
      <c r="A990" s="1" t="s">
        <v>1881</v>
      </c>
      <c r="B990" s="1" t="s">
        <v>5796</v>
      </c>
    </row>
    <row r="991" spans="1:2" x14ac:dyDescent="0.25">
      <c r="A991" s="1" t="s">
        <v>1882</v>
      </c>
      <c r="B991" s="1" t="s">
        <v>4645</v>
      </c>
    </row>
    <row r="992" spans="1:2" x14ac:dyDescent="0.25">
      <c r="A992" s="1" t="s">
        <v>1883</v>
      </c>
      <c r="B992" s="1" t="s">
        <v>5857</v>
      </c>
    </row>
    <row r="993" spans="1:2" x14ac:dyDescent="0.25">
      <c r="A993" s="1" t="s">
        <v>1884</v>
      </c>
      <c r="B993" s="1" t="s">
        <v>5487</v>
      </c>
    </row>
    <row r="994" spans="1:2" x14ac:dyDescent="0.25">
      <c r="A994" s="1" t="s">
        <v>1885</v>
      </c>
      <c r="B994" s="1" t="s">
        <v>5858</v>
      </c>
    </row>
    <row r="995" spans="1:2" x14ac:dyDescent="0.25">
      <c r="A995" s="1" t="s">
        <v>1886</v>
      </c>
      <c r="B995" s="1" t="s">
        <v>5859</v>
      </c>
    </row>
    <row r="996" spans="1:2" x14ac:dyDescent="0.25">
      <c r="A996" s="1" t="s">
        <v>1887</v>
      </c>
      <c r="B996" s="1" t="s">
        <v>5860</v>
      </c>
    </row>
    <row r="997" spans="1:2" x14ac:dyDescent="0.25">
      <c r="A997" s="1" t="s">
        <v>1888</v>
      </c>
      <c r="B997" s="1" t="s">
        <v>5861</v>
      </c>
    </row>
    <row r="998" spans="1:2" x14ac:dyDescent="0.25">
      <c r="A998" s="1" t="s">
        <v>1889</v>
      </c>
      <c r="B998" s="1" t="s">
        <v>5862</v>
      </c>
    </row>
    <row r="999" spans="1:2" x14ac:dyDescent="0.25">
      <c r="A999" s="1" t="s">
        <v>1890</v>
      </c>
      <c r="B999" s="1" t="s">
        <v>5863</v>
      </c>
    </row>
    <row r="1000" spans="1:2" x14ac:dyDescent="0.25">
      <c r="A1000" s="1" t="s">
        <v>1891</v>
      </c>
      <c r="B1000" s="1" t="s">
        <v>4356</v>
      </c>
    </row>
    <row r="1001" spans="1:2" x14ac:dyDescent="0.25">
      <c r="A1001" s="1" t="s">
        <v>1892</v>
      </c>
      <c r="B1001" s="1" t="s">
        <v>4972</v>
      </c>
    </row>
    <row r="1002" spans="1:2" x14ac:dyDescent="0.25">
      <c r="A1002" s="1" t="s">
        <v>1893</v>
      </c>
      <c r="B1002" s="1" t="s">
        <v>5609</v>
      </c>
    </row>
    <row r="1003" spans="1:2" x14ac:dyDescent="0.25">
      <c r="A1003" s="1" t="s">
        <v>1894</v>
      </c>
      <c r="B1003" s="1" t="s">
        <v>5864</v>
      </c>
    </row>
    <row r="1004" spans="1:2" x14ac:dyDescent="0.25">
      <c r="A1004" s="1" t="s">
        <v>1895</v>
      </c>
      <c r="B1004" s="1" t="s">
        <v>4591</v>
      </c>
    </row>
    <row r="1005" spans="1:2" x14ac:dyDescent="0.25">
      <c r="A1005" s="1" t="s">
        <v>1896</v>
      </c>
      <c r="B1005" s="1" t="s">
        <v>4880</v>
      </c>
    </row>
    <row r="1006" spans="1:2" x14ac:dyDescent="0.25">
      <c r="A1006" s="1" t="s">
        <v>1897</v>
      </c>
      <c r="B1006" s="1" t="s">
        <v>5865</v>
      </c>
    </row>
    <row r="1007" spans="1:2" x14ac:dyDescent="0.25">
      <c r="A1007" s="1" t="s">
        <v>1898</v>
      </c>
      <c r="B1007" s="1" t="s">
        <v>4429</v>
      </c>
    </row>
    <row r="1008" spans="1:2" x14ac:dyDescent="0.25">
      <c r="A1008" s="1" t="s">
        <v>1899</v>
      </c>
      <c r="B1008" s="1" t="s">
        <v>5866</v>
      </c>
    </row>
    <row r="1009" spans="1:2" x14ac:dyDescent="0.25">
      <c r="A1009" s="1" t="s">
        <v>1900</v>
      </c>
      <c r="B1009" s="1" t="s">
        <v>5867</v>
      </c>
    </row>
    <row r="1010" spans="1:2" x14ac:dyDescent="0.25">
      <c r="A1010" s="1" t="s">
        <v>1901</v>
      </c>
      <c r="B1010" s="1" t="s">
        <v>5868</v>
      </c>
    </row>
    <row r="1011" spans="1:2" x14ac:dyDescent="0.25">
      <c r="A1011" s="1" t="s">
        <v>1902</v>
      </c>
      <c r="B1011" s="1" t="s">
        <v>5869</v>
      </c>
    </row>
    <row r="1012" spans="1:2" x14ac:dyDescent="0.25">
      <c r="A1012" s="1" t="s">
        <v>1903</v>
      </c>
      <c r="B1012" s="1" t="s">
        <v>5870</v>
      </c>
    </row>
    <row r="1013" spans="1:2" x14ac:dyDescent="0.25">
      <c r="A1013" s="1" t="s">
        <v>1904</v>
      </c>
      <c r="B1013" s="1" t="s">
        <v>5283</v>
      </c>
    </row>
    <row r="1014" spans="1:2" x14ac:dyDescent="0.25">
      <c r="A1014" s="1" t="s">
        <v>1905</v>
      </c>
      <c r="B1014" s="1" t="s">
        <v>4972</v>
      </c>
    </row>
    <row r="1015" spans="1:2" x14ac:dyDescent="0.25">
      <c r="A1015" s="1" t="s">
        <v>1906</v>
      </c>
      <c r="B1015" s="1" t="s">
        <v>5871</v>
      </c>
    </row>
    <row r="1016" spans="1:2" x14ac:dyDescent="0.25">
      <c r="A1016" s="1" t="s">
        <v>1907</v>
      </c>
      <c r="B1016" s="1" t="s">
        <v>5872</v>
      </c>
    </row>
    <row r="1017" spans="1:2" x14ac:dyDescent="0.25">
      <c r="A1017" s="1" t="s">
        <v>1908</v>
      </c>
      <c r="B1017" s="1" t="s">
        <v>5873</v>
      </c>
    </row>
    <row r="1018" spans="1:2" x14ac:dyDescent="0.25">
      <c r="A1018" s="1" t="s">
        <v>4314</v>
      </c>
      <c r="B1018" s="1" t="s">
        <v>4727</v>
      </c>
    </row>
    <row r="1019" spans="1:2" x14ac:dyDescent="0.25">
      <c r="A1019" s="1" t="s">
        <v>1909</v>
      </c>
      <c r="B1019" s="1" t="s">
        <v>5874</v>
      </c>
    </row>
    <row r="1020" spans="1:2" x14ac:dyDescent="0.25">
      <c r="A1020" s="1" t="s">
        <v>1910</v>
      </c>
      <c r="B1020" s="1" t="s">
        <v>5875</v>
      </c>
    </row>
    <row r="1021" spans="1:2" x14ac:dyDescent="0.25">
      <c r="A1021" s="1" t="s">
        <v>1911</v>
      </c>
      <c r="B1021" s="1" t="s">
        <v>5876</v>
      </c>
    </row>
    <row r="1022" spans="1:2" x14ac:dyDescent="0.25">
      <c r="A1022" s="1" t="s">
        <v>1912</v>
      </c>
      <c r="B1022" s="1" t="s">
        <v>5877</v>
      </c>
    </row>
    <row r="1023" spans="1:2" x14ac:dyDescent="0.25">
      <c r="A1023" s="1" t="s">
        <v>1913</v>
      </c>
      <c r="B1023" s="1" t="s">
        <v>5878</v>
      </c>
    </row>
    <row r="1024" spans="1:2" x14ac:dyDescent="0.25">
      <c r="A1024" s="1" t="s">
        <v>1914</v>
      </c>
      <c r="B1024" s="1" t="s">
        <v>5879</v>
      </c>
    </row>
    <row r="1025" spans="1:2" x14ac:dyDescent="0.25">
      <c r="A1025" s="1" t="s">
        <v>1915</v>
      </c>
      <c r="B1025" s="1" t="s">
        <v>5880</v>
      </c>
    </row>
    <row r="1026" spans="1:2" x14ac:dyDescent="0.25">
      <c r="A1026" s="1" t="s">
        <v>1916</v>
      </c>
      <c r="B1026" s="1" t="s">
        <v>5881</v>
      </c>
    </row>
    <row r="1027" spans="1:2" x14ac:dyDescent="0.25">
      <c r="A1027" s="1" t="s">
        <v>1917</v>
      </c>
      <c r="B1027" s="1" t="s">
        <v>5778</v>
      </c>
    </row>
    <row r="1028" spans="1:2" x14ac:dyDescent="0.25">
      <c r="A1028" s="1" t="s">
        <v>1918</v>
      </c>
      <c r="B1028" s="1" t="s">
        <v>4876</v>
      </c>
    </row>
    <row r="1029" spans="1:2" x14ac:dyDescent="0.25">
      <c r="A1029" s="1" t="s">
        <v>1919</v>
      </c>
      <c r="B1029" s="1" t="s">
        <v>5210</v>
      </c>
    </row>
    <row r="1030" spans="1:2" x14ac:dyDescent="0.25">
      <c r="A1030" s="1" t="s">
        <v>1920</v>
      </c>
      <c r="B1030" s="1" t="s">
        <v>5882</v>
      </c>
    </row>
    <row r="1031" spans="1:2" x14ac:dyDescent="0.25">
      <c r="A1031" s="1" t="s">
        <v>1921</v>
      </c>
      <c r="B1031" s="1" t="s">
        <v>5883</v>
      </c>
    </row>
    <row r="1032" spans="1:2" x14ac:dyDescent="0.25">
      <c r="A1032" s="1" t="s">
        <v>1922</v>
      </c>
      <c r="B1032" s="1" t="s">
        <v>5884</v>
      </c>
    </row>
    <row r="1033" spans="1:2" x14ac:dyDescent="0.25">
      <c r="A1033" s="1" t="s">
        <v>1923</v>
      </c>
      <c r="B1033" s="1" t="s">
        <v>5283</v>
      </c>
    </row>
    <row r="1034" spans="1:2" x14ac:dyDescent="0.25">
      <c r="A1034" s="1" t="s">
        <v>1924</v>
      </c>
      <c r="B1034" s="1" t="s">
        <v>5261</v>
      </c>
    </row>
    <row r="1035" spans="1:2" x14ac:dyDescent="0.25">
      <c r="A1035" s="1" t="s">
        <v>1925</v>
      </c>
      <c r="B1035" s="1" t="s">
        <v>5272</v>
      </c>
    </row>
    <row r="1036" spans="1:2" x14ac:dyDescent="0.25">
      <c r="A1036" s="1" t="s">
        <v>1926</v>
      </c>
      <c r="B1036" s="1" t="s">
        <v>5885</v>
      </c>
    </row>
    <row r="1037" spans="1:2" x14ac:dyDescent="0.25">
      <c r="A1037" s="1" t="s">
        <v>1927</v>
      </c>
      <c r="B1037" s="1" t="s">
        <v>5886</v>
      </c>
    </row>
    <row r="1038" spans="1:2" x14ac:dyDescent="0.25">
      <c r="A1038" s="1" t="s">
        <v>1928</v>
      </c>
      <c r="B1038" s="1" t="s">
        <v>5219</v>
      </c>
    </row>
    <row r="1039" spans="1:2" x14ac:dyDescent="0.25">
      <c r="A1039" s="1" t="s">
        <v>1929</v>
      </c>
      <c r="B1039" s="1" t="s">
        <v>5828</v>
      </c>
    </row>
    <row r="1040" spans="1:2" x14ac:dyDescent="0.25">
      <c r="A1040" s="1" t="s">
        <v>1930</v>
      </c>
      <c r="B1040" s="1" t="s">
        <v>5685</v>
      </c>
    </row>
    <row r="1041" spans="1:2" x14ac:dyDescent="0.25">
      <c r="A1041" s="1" t="s">
        <v>4274</v>
      </c>
      <c r="B1041" s="1" t="s">
        <v>4880</v>
      </c>
    </row>
    <row r="1042" spans="1:2" x14ac:dyDescent="0.25">
      <c r="A1042" s="1" t="s">
        <v>1931</v>
      </c>
      <c r="B1042" s="1" t="s">
        <v>4955</v>
      </c>
    </row>
    <row r="1043" spans="1:2" x14ac:dyDescent="0.25">
      <c r="A1043" s="1" t="s">
        <v>1932</v>
      </c>
      <c r="B1043" s="1" t="s">
        <v>5887</v>
      </c>
    </row>
    <row r="1044" spans="1:2" x14ac:dyDescent="0.25">
      <c r="A1044" s="1" t="s">
        <v>1933</v>
      </c>
      <c r="B1044" s="1" t="s">
        <v>5888</v>
      </c>
    </row>
    <row r="1045" spans="1:2" x14ac:dyDescent="0.25">
      <c r="A1045" s="1" t="s">
        <v>1934</v>
      </c>
      <c r="B1045" s="1" t="s">
        <v>4580</v>
      </c>
    </row>
    <row r="1046" spans="1:2" x14ac:dyDescent="0.25">
      <c r="A1046" s="1" t="s">
        <v>1935</v>
      </c>
      <c r="B1046" s="1" t="s">
        <v>4491</v>
      </c>
    </row>
    <row r="1047" spans="1:2" x14ac:dyDescent="0.25">
      <c r="A1047" s="1" t="s">
        <v>1936</v>
      </c>
      <c r="B1047" s="1" t="s">
        <v>4356</v>
      </c>
    </row>
    <row r="1048" spans="1:2" x14ac:dyDescent="0.25">
      <c r="A1048" s="1" t="s">
        <v>1937</v>
      </c>
      <c r="B1048" s="1" t="s">
        <v>5889</v>
      </c>
    </row>
    <row r="1049" spans="1:2" x14ac:dyDescent="0.25">
      <c r="A1049" s="1" t="s">
        <v>1938</v>
      </c>
      <c r="B1049" s="1" t="s">
        <v>5466</v>
      </c>
    </row>
    <row r="1050" spans="1:2" x14ac:dyDescent="0.25">
      <c r="A1050" s="1" t="s">
        <v>1939</v>
      </c>
      <c r="B1050" s="1" t="s">
        <v>4581</v>
      </c>
    </row>
    <row r="1051" spans="1:2" x14ac:dyDescent="0.25">
      <c r="A1051" s="1" t="s">
        <v>1940</v>
      </c>
      <c r="B1051" s="1" t="s">
        <v>4607</v>
      </c>
    </row>
    <row r="1052" spans="1:2" x14ac:dyDescent="0.25">
      <c r="A1052" s="1" t="s">
        <v>1941</v>
      </c>
      <c r="B1052" s="1" t="s">
        <v>5890</v>
      </c>
    </row>
    <row r="1053" spans="1:2" x14ac:dyDescent="0.25">
      <c r="A1053" s="1" t="s">
        <v>1942</v>
      </c>
      <c r="B1053" s="1" t="s">
        <v>5891</v>
      </c>
    </row>
    <row r="1054" spans="1:2" x14ac:dyDescent="0.25">
      <c r="A1054" s="1" t="s">
        <v>1943</v>
      </c>
      <c r="B1054" s="1" t="s">
        <v>5892</v>
      </c>
    </row>
    <row r="1055" spans="1:2" x14ac:dyDescent="0.25">
      <c r="A1055" s="1" t="s">
        <v>1944</v>
      </c>
      <c r="B1055" s="1" t="s">
        <v>5893</v>
      </c>
    </row>
    <row r="1056" spans="1:2" x14ac:dyDescent="0.25">
      <c r="A1056" s="1" t="s">
        <v>1945</v>
      </c>
      <c r="B1056" s="1" t="s">
        <v>5894</v>
      </c>
    </row>
    <row r="1057" spans="1:2" x14ac:dyDescent="0.25">
      <c r="A1057" s="1" t="s">
        <v>1946</v>
      </c>
      <c r="B1057" s="1" t="s">
        <v>4888</v>
      </c>
    </row>
    <row r="1058" spans="1:2" x14ac:dyDescent="0.25">
      <c r="A1058" s="1" t="s">
        <v>1947</v>
      </c>
      <c r="B1058" s="1" t="s">
        <v>5895</v>
      </c>
    </row>
    <row r="1059" spans="1:2" x14ac:dyDescent="0.25">
      <c r="A1059" s="1" t="s">
        <v>1948</v>
      </c>
      <c r="B1059" s="1" t="s">
        <v>5896</v>
      </c>
    </row>
    <row r="1060" spans="1:2" x14ac:dyDescent="0.25">
      <c r="A1060" s="1" t="s">
        <v>1949</v>
      </c>
      <c r="B1060" s="1" t="s">
        <v>5897</v>
      </c>
    </row>
    <row r="1061" spans="1:2" x14ac:dyDescent="0.25">
      <c r="A1061" s="1" t="s">
        <v>1950</v>
      </c>
      <c r="B1061" s="1" t="s">
        <v>5898</v>
      </c>
    </row>
    <row r="1062" spans="1:2" x14ac:dyDescent="0.25">
      <c r="A1062" s="1" t="s">
        <v>1951</v>
      </c>
      <c r="B1062" s="1" t="s">
        <v>5899</v>
      </c>
    </row>
    <row r="1063" spans="1:2" x14ac:dyDescent="0.25">
      <c r="A1063" s="1" t="s">
        <v>1952</v>
      </c>
      <c r="B1063" s="1" t="s">
        <v>5900</v>
      </c>
    </row>
    <row r="1064" spans="1:2" x14ac:dyDescent="0.25">
      <c r="A1064" s="1" t="s">
        <v>1953</v>
      </c>
      <c r="B1064" s="1" t="s">
        <v>5901</v>
      </c>
    </row>
    <row r="1065" spans="1:2" x14ac:dyDescent="0.25">
      <c r="A1065" s="1" t="s">
        <v>1954</v>
      </c>
      <c r="B1065" s="1" t="s">
        <v>5902</v>
      </c>
    </row>
    <row r="1066" spans="1:2" x14ac:dyDescent="0.25">
      <c r="A1066" s="1" t="s">
        <v>1955</v>
      </c>
      <c r="B1066" s="1" t="s">
        <v>4860</v>
      </c>
    </row>
    <row r="1067" spans="1:2" x14ac:dyDescent="0.25">
      <c r="A1067" s="1" t="s">
        <v>1956</v>
      </c>
      <c r="B1067" s="1" t="s">
        <v>5903</v>
      </c>
    </row>
    <row r="1068" spans="1:2" x14ac:dyDescent="0.25">
      <c r="A1068" s="1" t="s">
        <v>1957</v>
      </c>
      <c r="B1068" s="1" t="s">
        <v>5904</v>
      </c>
    </row>
    <row r="1069" spans="1:2" x14ac:dyDescent="0.25">
      <c r="A1069" s="1" t="s">
        <v>1958</v>
      </c>
      <c r="B1069" s="1" t="s">
        <v>5407</v>
      </c>
    </row>
    <row r="1070" spans="1:2" x14ac:dyDescent="0.25">
      <c r="A1070" s="1" t="s">
        <v>1959</v>
      </c>
      <c r="B1070" s="1" t="s">
        <v>5905</v>
      </c>
    </row>
    <row r="1071" spans="1:2" x14ac:dyDescent="0.25">
      <c r="A1071" s="1" t="s">
        <v>1960</v>
      </c>
      <c r="B1071" s="1" t="s">
        <v>5906</v>
      </c>
    </row>
    <row r="1072" spans="1:2" x14ac:dyDescent="0.25">
      <c r="A1072" s="1" t="s">
        <v>1961</v>
      </c>
      <c r="B1072" s="1" t="s">
        <v>5907</v>
      </c>
    </row>
    <row r="1073" spans="1:2" x14ac:dyDescent="0.25">
      <c r="A1073" s="1" t="s">
        <v>1962</v>
      </c>
      <c r="B1073" s="1" t="s">
        <v>5274</v>
      </c>
    </row>
    <row r="1074" spans="1:2" x14ac:dyDescent="0.25">
      <c r="A1074" s="1" t="s">
        <v>797</v>
      </c>
      <c r="B1074" s="1" t="s">
        <v>5908</v>
      </c>
    </row>
    <row r="1075" spans="1:2" x14ac:dyDescent="0.25">
      <c r="A1075" s="1" t="s">
        <v>1963</v>
      </c>
      <c r="B1075" s="1" t="s">
        <v>5909</v>
      </c>
    </row>
    <row r="1076" spans="1:2" x14ac:dyDescent="0.25">
      <c r="A1076" s="1" t="s">
        <v>1964</v>
      </c>
      <c r="B1076" s="1" t="s">
        <v>5910</v>
      </c>
    </row>
    <row r="1077" spans="1:2" x14ac:dyDescent="0.25">
      <c r="A1077" s="1" t="s">
        <v>1965</v>
      </c>
      <c r="B1077" s="1" t="s">
        <v>5911</v>
      </c>
    </row>
    <row r="1078" spans="1:2" x14ac:dyDescent="0.25">
      <c r="A1078" s="1" t="s">
        <v>1966</v>
      </c>
      <c r="B1078" s="1" t="s">
        <v>5912</v>
      </c>
    </row>
    <row r="1079" spans="1:2" x14ac:dyDescent="0.25">
      <c r="A1079" s="1" t="s">
        <v>1967</v>
      </c>
      <c r="B1079" s="1" t="s">
        <v>5913</v>
      </c>
    </row>
    <row r="1080" spans="1:2" x14ac:dyDescent="0.25">
      <c r="A1080" s="1" t="s">
        <v>1968</v>
      </c>
      <c r="B1080" s="1" t="s">
        <v>5914</v>
      </c>
    </row>
    <row r="1081" spans="1:2" x14ac:dyDescent="0.25">
      <c r="A1081" s="1" t="s">
        <v>1969</v>
      </c>
      <c r="B1081" s="1" t="s">
        <v>5902</v>
      </c>
    </row>
    <row r="1082" spans="1:2" x14ac:dyDescent="0.25">
      <c r="A1082" s="1" t="s">
        <v>1970</v>
      </c>
      <c r="B1082" s="1" t="s">
        <v>5151</v>
      </c>
    </row>
    <row r="1083" spans="1:2" x14ac:dyDescent="0.25">
      <c r="A1083" s="1" t="s">
        <v>1971</v>
      </c>
      <c r="B1083" s="1" t="s">
        <v>5458</v>
      </c>
    </row>
    <row r="1084" spans="1:2" x14ac:dyDescent="0.25">
      <c r="A1084" s="1" t="s">
        <v>1972</v>
      </c>
      <c r="B1084" s="1" t="s">
        <v>5915</v>
      </c>
    </row>
    <row r="1085" spans="1:2" x14ac:dyDescent="0.25">
      <c r="A1085" s="1" t="s">
        <v>1973</v>
      </c>
      <c r="B1085" s="1" t="s">
        <v>5916</v>
      </c>
    </row>
    <row r="1086" spans="1:2" x14ac:dyDescent="0.25">
      <c r="A1086" s="1" t="s">
        <v>1974</v>
      </c>
      <c r="B1086" s="1" t="s">
        <v>5917</v>
      </c>
    </row>
    <row r="1087" spans="1:2" x14ac:dyDescent="0.25">
      <c r="A1087" s="1" t="s">
        <v>1975</v>
      </c>
      <c r="B1087" s="1" t="s">
        <v>5611</v>
      </c>
    </row>
    <row r="1088" spans="1:2" x14ac:dyDescent="0.25">
      <c r="A1088" s="1" t="s">
        <v>1976</v>
      </c>
      <c r="B1088" s="1" t="s">
        <v>5918</v>
      </c>
    </row>
    <row r="1089" spans="1:2" x14ac:dyDescent="0.25">
      <c r="A1089" s="1" t="s">
        <v>1977</v>
      </c>
      <c r="B1089" s="1" t="s">
        <v>5919</v>
      </c>
    </row>
    <row r="1090" spans="1:2" x14ac:dyDescent="0.25">
      <c r="A1090" s="1" t="s">
        <v>1978</v>
      </c>
      <c r="B1090" s="1" t="s">
        <v>5800</v>
      </c>
    </row>
    <row r="1091" spans="1:2" x14ac:dyDescent="0.25">
      <c r="A1091" s="1" t="s">
        <v>1979</v>
      </c>
      <c r="B1091" s="1" t="s">
        <v>5920</v>
      </c>
    </row>
    <row r="1092" spans="1:2" x14ac:dyDescent="0.25">
      <c r="A1092" s="1" t="s">
        <v>1980</v>
      </c>
      <c r="B1092" s="1" t="s">
        <v>5921</v>
      </c>
    </row>
    <row r="1093" spans="1:2" x14ac:dyDescent="0.25">
      <c r="A1093" s="1" t="s">
        <v>1981</v>
      </c>
      <c r="B1093" s="1" t="s">
        <v>5922</v>
      </c>
    </row>
    <row r="1094" spans="1:2" x14ac:dyDescent="0.25">
      <c r="A1094" s="1" t="s">
        <v>1982</v>
      </c>
      <c r="B1094" s="1" t="s">
        <v>5882</v>
      </c>
    </row>
    <row r="1095" spans="1:2" x14ac:dyDescent="0.25">
      <c r="A1095" s="1" t="s">
        <v>1983</v>
      </c>
      <c r="B1095" s="1" t="s">
        <v>5923</v>
      </c>
    </row>
    <row r="1096" spans="1:2" x14ac:dyDescent="0.25">
      <c r="A1096" s="1" t="s">
        <v>1984</v>
      </c>
      <c r="B1096" s="1" t="s">
        <v>5924</v>
      </c>
    </row>
    <row r="1097" spans="1:2" x14ac:dyDescent="0.25">
      <c r="A1097" s="1" t="s">
        <v>1985</v>
      </c>
      <c r="B1097" s="1" t="s">
        <v>5925</v>
      </c>
    </row>
    <row r="1098" spans="1:2" x14ac:dyDescent="0.25">
      <c r="A1098" s="1" t="s">
        <v>1986</v>
      </c>
      <c r="B1098" s="1" t="s">
        <v>5926</v>
      </c>
    </row>
    <row r="1099" spans="1:2" x14ac:dyDescent="0.25">
      <c r="A1099" s="1" t="s">
        <v>1987</v>
      </c>
      <c r="B1099" s="1" t="s">
        <v>5927</v>
      </c>
    </row>
    <row r="1100" spans="1:2" x14ac:dyDescent="0.25">
      <c r="A1100" s="1" t="s">
        <v>1988</v>
      </c>
      <c r="B1100" s="1" t="s">
        <v>5330</v>
      </c>
    </row>
    <row r="1101" spans="1:2" x14ac:dyDescent="0.25">
      <c r="A1101" s="1" t="s">
        <v>1989</v>
      </c>
      <c r="B1101" s="1" t="s">
        <v>5928</v>
      </c>
    </row>
    <row r="1102" spans="1:2" x14ac:dyDescent="0.25">
      <c r="A1102" s="1" t="s">
        <v>1990</v>
      </c>
      <c r="B1102" s="1" t="s">
        <v>5929</v>
      </c>
    </row>
    <row r="1103" spans="1:2" x14ac:dyDescent="0.25">
      <c r="A1103" s="1" t="s">
        <v>1991</v>
      </c>
      <c r="B1103" s="1" t="s">
        <v>5432</v>
      </c>
    </row>
    <row r="1104" spans="1:2" x14ac:dyDescent="0.25">
      <c r="A1104" s="1" t="s">
        <v>1992</v>
      </c>
      <c r="B1104" s="1" t="s">
        <v>5930</v>
      </c>
    </row>
    <row r="1105" spans="1:2" x14ac:dyDescent="0.25">
      <c r="A1105" s="1" t="s">
        <v>1993</v>
      </c>
      <c r="B1105" s="1" t="s">
        <v>5931</v>
      </c>
    </row>
    <row r="1106" spans="1:2" x14ac:dyDescent="0.25">
      <c r="A1106" s="1" t="s">
        <v>1994</v>
      </c>
      <c r="B1106" s="1" t="s">
        <v>5932</v>
      </c>
    </row>
    <row r="1107" spans="1:2" x14ac:dyDescent="0.25">
      <c r="A1107" s="1" t="s">
        <v>1995</v>
      </c>
      <c r="B1107" s="1" t="s">
        <v>5933</v>
      </c>
    </row>
    <row r="1108" spans="1:2" x14ac:dyDescent="0.25">
      <c r="A1108" s="1" t="s">
        <v>1996</v>
      </c>
      <c r="B1108" s="1" t="s">
        <v>5934</v>
      </c>
    </row>
    <row r="1109" spans="1:2" x14ac:dyDescent="0.25">
      <c r="A1109" s="1" t="s">
        <v>1997</v>
      </c>
      <c r="B1109" s="1" t="s">
        <v>5935</v>
      </c>
    </row>
    <row r="1110" spans="1:2" x14ac:dyDescent="0.25">
      <c r="A1110" s="1" t="s">
        <v>1998</v>
      </c>
      <c r="B1110" s="1" t="s">
        <v>5936</v>
      </c>
    </row>
    <row r="1111" spans="1:2" x14ac:dyDescent="0.25">
      <c r="A1111" s="1" t="s">
        <v>1999</v>
      </c>
      <c r="B1111" s="1" t="s">
        <v>5937</v>
      </c>
    </row>
    <row r="1112" spans="1:2" x14ac:dyDescent="0.25">
      <c r="A1112" s="1" t="s">
        <v>2000</v>
      </c>
      <c r="B1112" s="1" t="s">
        <v>5938</v>
      </c>
    </row>
    <row r="1113" spans="1:2" x14ac:dyDescent="0.25">
      <c r="A1113" s="1" t="s">
        <v>2001</v>
      </c>
      <c r="B1113" s="1" t="s">
        <v>5939</v>
      </c>
    </row>
    <row r="1114" spans="1:2" x14ac:dyDescent="0.25">
      <c r="A1114" s="1" t="s">
        <v>2002</v>
      </c>
      <c r="B1114" s="1" t="s">
        <v>5940</v>
      </c>
    </row>
    <row r="1115" spans="1:2" x14ac:dyDescent="0.25">
      <c r="A1115" s="1" t="s">
        <v>2003</v>
      </c>
      <c r="B1115" s="1" t="s">
        <v>5941</v>
      </c>
    </row>
    <row r="1116" spans="1:2" x14ac:dyDescent="0.25">
      <c r="A1116" s="1" t="s">
        <v>2004</v>
      </c>
      <c r="B1116" s="1" t="s">
        <v>5942</v>
      </c>
    </row>
    <row r="1117" spans="1:2" x14ac:dyDescent="0.25">
      <c r="A1117" s="1" t="s">
        <v>2005</v>
      </c>
      <c r="B1117" s="1" t="s">
        <v>4405</v>
      </c>
    </row>
    <row r="1118" spans="1:2" x14ac:dyDescent="0.25">
      <c r="A1118" s="1" t="s">
        <v>2006</v>
      </c>
      <c r="B1118" s="1" t="s">
        <v>5943</v>
      </c>
    </row>
    <row r="1119" spans="1:2" x14ac:dyDescent="0.25">
      <c r="A1119" s="1" t="s">
        <v>2007</v>
      </c>
      <c r="B1119" s="1" t="s">
        <v>5944</v>
      </c>
    </row>
    <row r="1120" spans="1:2" x14ac:dyDescent="0.25">
      <c r="A1120" s="1" t="s">
        <v>2008</v>
      </c>
      <c r="B1120" s="1" t="s">
        <v>5945</v>
      </c>
    </row>
    <row r="1121" spans="1:2" x14ac:dyDescent="0.25">
      <c r="A1121" s="1" t="s">
        <v>2009</v>
      </c>
      <c r="B1121" s="1" t="s">
        <v>5946</v>
      </c>
    </row>
    <row r="1122" spans="1:2" x14ac:dyDescent="0.25">
      <c r="A1122" s="1" t="s">
        <v>2010</v>
      </c>
      <c r="B1122" s="1" t="s">
        <v>5947</v>
      </c>
    </row>
    <row r="1123" spans="1:2" x14ac:dyDescent="0.25">
      <c r="A1123" s="1" t="s">
        <v>2011</v>
      </c>
      <c r="B1123" s="1" t="s">
        <v>4728</v>
      </c>
    </row>
    <row r="1124" spans="1:2" x14ac:dyDescent="0.25">
      <c r="A1124" s="1" t="s">
        <v>2012</v>
      </c>
      <c r="B1124" s="1" t="s">
        <v>4986</v>
      </c>
    </row>
    <row r="1125" spans="1:2" x14ac:dyDescent="0.25">
      <c r="A1125" s="1" t="s">
        <v>2013</v>
      </c>
      <c r="B1125" s="1" t="s">
        <v>5948</v>
      </c>
    </row>
    <row r="1126" spans="1:2" x14ac:dyDescent="0.25">
      <c r="A1126" s="1" t="s">
        <v>2014</v>
      </c>
      <c r="B1126" s="1" t="s">
        <v>5949</v>
      </c>
    </row>
    <row r="1127" spans="1:2" x14ac:dyDescent="0.25">
      <c r="A1127" s="1" t="s">
        <v>2015</v>
      </c>
      <c r="B1127" s="1" t="s">
        <v>5950</v>
      </c>
    </row>
    <row r="1128" spans="1:2" x14ac:dyDescent="0.25">
      <c r="A1128" s="1" t="s">
        <v>2016</v>
      </c>
      <c r="B1128" s="1" t="s">
        <v>5951</v>
      </c>
    </row>
    <row r="1129" spans="1:2" x14ac:dyDescent="0.25">
      <c r="A1129" s="1" t="s">
        <v>2017</v>
      </c>
      <c r="B1129" s="1" t="s">
        <v>5878</v>
      </c>
    </row>
    <row r="1130" spans="1:2" x14ac:dyDescent="0.25">
      <c r="A1130" s="1" t="s">
        <v>2018</v>
      </c>
      <c r="B1130" s="1" t="s">
        <v>4543</v>
      </c>
    </row>
    <row r="1131" spans="1:2" x14ac:dyDescent="0.25">
      <c r="A1131" s="1" t="s">
        <v>2019</v>
      </c>
      <c r="B1131" s="1" t="s">
        <v>5952</v>
      </c>
    </row>
    <row r="1132" spans="1:2" x14ac:dyDescent="0.25">
      <c r="A1132" s="1" t="s">
        <v>2020</v>
      </c>
      <c r="B1132" s="1" t="s">
        <v>5953</v>
      </c>
    </row>
    <row r="1133" spans="1:2" x14ac:dyDescent="0.25">
      <c r="A1133" s="1" t="s">
        <v>2021</v>
      </c>
      <c r="B1133" s="1" t="s">
        <v>5954</v>
      </c>
    </row>
    <row r="1134" spans="1:2" x14ac:dyDescent="0.25">
      <c r="A1134" s="1" t="s">
        <v>2022</v>
      </c>
      <c r="B1134" s="1" t="s">
        <v>5955</v>
      </c>
    </row>
    <row r="1135" spans="1:2" x14ac:dyDescent="0.25">
      <c r="A1135" s="1" t="s">
        <v>2023</v>
      </c>
      <c r="B1135" s="1" t="s">
        <v>5956</v>
      </c>
    </row>
    <row r="1136" spans="1:2" x14ac:dyDescent="0.25">
      <c r="A1136" s="1" t="s">
        <v>2024</v>
      </c>
      <c r="B1136" s="1" t="s">
        <v>5796</v>
      </c>
    </row>
    <row r="1137" spans="1:2" x14ac:dyDescent="0.25">
      <c r="A1137" s="1" t="s">
        <v>2025</v>
      </c>
      <c r="B1137" s="1" t="s">
        <v>4731</v>
      </c>
    </row>
    <row r="1138" spans="1:2" x14ac:dyDescent="0.25">
      <c r="A1138" s="1" t="s">
        <v>2026</v>
      </c>
      <c r="B1138" s="1" t="s">
        <v>5957</v>
      </c>
    </row>
    <row r="1139" spans="1:2" x14ac:dyDescent="0.25">
      <c r="A1139" s="1" t="s">
        <v>2027</v>
      </c>
      <c r="B1139" s="1" t="s">
        <v>5958</v>
      </c>
    </row>
    <row r="1140" spans="1:2" x14ac:dyDescent="0.25">
      <c r="A1140" s="1" t="s">
        <v>2028</v>
      </c>
      <c r="B1140" s="1" t="s">
        <v>5959</v>
      </c>
    </row>
    <row r="1141" spans="1:2" x14ac:dyDescent="0.25">
      <c r="A1141" s="1" t="s">
        <v>2029</v>
      </c>
      <c r="B1141" s="1" t="s">
        <v>5956</v>
      </c>
    </row>
    <row r="1142" spans="1:2" x14ac:dyDescent="0.25">
      <c r="A1142" s="1" t="s">
        <v>2030</v>
      </c>
      <c r="B1142" s="1" t="s">
        <v>4898</v>
      </c>
    </row>
    <row r="1143" spans="1:2" x14ac:dyDescent="0.25">
      <c r="A1143" s="1" t="s">
        <v>2031</v>
      </c>
      <c r="B1143" s="1" t="s">
        <v>5960</v>
      </c>
    </row>
    <row r="1144" spans="1:2" x14ac:dyDescent="0.25">
      <c r="A1144" s="1" t="s">
        <v>2032</v>
      </c>
      <c r="B1144" s="1" t="s">
        <v>5217</v>
      </c>
    </row>
    <row r="1145" spans="1:2" x14ac:dyDescent="0.25">
      <c r="A1145" s="1" t="s">
        <v>2033</v>
      </c>
      <c r="B1145" s="1" t="s">
        <v>5961</v>
      </c>
    </row>
    <row r="1146" spans="1:2" x14ac:dyDescent="0.25">
      <c r="A1146" s="1" t="s">
        <v>2034</v>
      </c>
      <c r="B1146" s="1" t="s">
        <v>5962</v>
      </c>
    </row>
    <row r="1147" spans="1:2" x14ac:dyDescent="0.25">
      <c r="A1147" s="1" t="s">
        <v>2035</v>
      </c>
      <c r="B1147" s="1" t="s">
        <v>5963</v>
      </c>
    </row>
    <row r="1148" spans="1:2" x14ac:dyDescent="0.25">
      <c r="A1148" s="1" t="s">
        <v>2036</v>
      </c>
      <c r="B1148" s="1" t="s">
        <v>5964</v>
      </c>
    </row>
    <row r="1149" spans="1:2" x14ac:dyDescent="0.25">
      <c r="A1149" s="1" t="s">
        <v>2037</v>
      </c>
      <c r="B1149" s="1" t="s">
        <v>5965</v>
      </c>
    </row>
    <row r="1150" spans="1:2" x14ac:dyDescent="0.25">
      <c r="A1150" s="1" t="s">
        <v>2038</v>
      </c>
      <c r="B1150" s="1" t="s">
        <v>5966</v>
      </c>
    </row>
    <row r="1151" spans="1:2" x14ac:dyDescent="0.25">
      <c r="A1151" s="1" t="s">
        <v>2039</v>
      </c>
      <c r="B1151" s="1" t="s">
        <v>5967</v>
      </c>
    </row>
    <row r="1152" spans="1:2" x14ac:dyDescent="0.25">
      <c r="A1152" s="1" t="s">
        <v>2040</v>
      </c>
      <c r="B1152" s="1" t="s">
        <v>4754</v>
      </c>
    </row>
    <row r="1153" spans="1:2" x14ac:dyDescent="0.25">
      <c r="A1153" s="1" t="s">
        <v>2041</v>
      </c>
      <c r="B1153" s="1" t="s">
        <v>5968</v>
      </c>
    </row>
    <row r="1154" spans="1:2" x14ac:dyDescent="0.25">
      <c r="A1154" s="1" t="s">
        <v>2042</v>
      </c>
      <c r="B1154" s="1" t="s">
        <v>5969</v>
      </c>
    </row>
    <row r="1155" spans="1:2" x14ac:dyDescent="0.25">
      <c r="A1155" s="1" t="s">
        <v>2043</v>
      </c>
      <c r="B1155" s="1" t="s">
        <v>5970</v>
      </c>
    </row>
    <row r="1156" spans="1:2" x14ac:dyDescent="0.25">
      <c r="A1156" s="1" t="s">
        <v>2044</v>
      </c>
      <c r="B1156" s="1" t="s">
        <v>5249</v>
      </c>
    </row>
    <row r="1157" spans="1:2" x14ac:dyDescent="0.25">
      <c r="A1157" s="1" t="s">
        <v>2045</v>
      </c>
      <c r="B1157" s="1" t="s">
        <v>5971</v>
      </c>
    </row>
    <row r="1158" spans="1:2" x14ac:dyDescent="0.25">
      <c r="A1158" s="1" t="s">
        <v>2046</v>
      </c>
      <c r="B1158" s="1" t="s">
        <v>5972</v>
      </c>
    </row>
    <row r="1159" spans="1:2" x14ac:dyDescent="0.25">
      <c r="A1159" s="1" t="s">
        <v>2047</v>
      </c>
      <c r="B1159" s="1" t="s">
        <v>5973</v>
      </c>
    </row>
    <row r="1160" spans="1:2" x14ac:dyDescent="0.25">
      <c r="A1160" s="1" t="s">
        <v>2048</v>
      </c>
      <c r="B1160" s="1" t="s">
        <v>5974</v>
      </c>
    </row>
    <row r="1161" spans="1:2" x14ac:dyDescent="0.25">
      <c r="A1161" s="1" t="s">
        <v>2049</v>
      </c>
      <c r="B1161" s="1" t="s">
        <v>5975</v>
      </c>
    </row>
    <row r="1162" spans="1:2" x14ac:dyDescent="0.25">
      <c r="A1162" s="1" t="s">
        <v>2050</v>
      </c>
      <c r="B1162" s="1" t="s">
        <v>5737</v>
      </c>
    </row>
    <row r="1163" spans="1:2" x14ac:dyDescent="0.25">
      <c r="A1163" s="1" t="s">
        <v>2051</v>
      </c>
      <c r="B1163" s="1" t="s">
        <v>4351</v>
      </c>
    </row>
    <row r="1164" spans="1:2" x14ac:dyDescent="0.25">
      <c r="A1164" s="1" t="s">
        <v>2052</v>
      </c>
      <c r="B1164" s="1" t="s">
        <v>4804</v>
      </c>
    </row>
    <row r="1165" spans="1:2" x14ac:dyDescent="0.25">
      <c r="A1165" s="1" t="s">
        <v>2053</v>
      </c>
      <c r="B1165" s="1" t="s">
        <v>5706</v>
      </c>
    </row>
    <row r="1166" spans="1:2" x14ac:dyDescent="0.25">
      <c r="A1166" s="1" t="s">
        <v>2054</v>
      </c>
      <c r="B1166" s="1" t="s">
        <v>4552</v>
      </c>
    </row>
    <row r="1167" spans="1:2" x14ac:dyDescent="0.25">
      <c r="A1167" s="1" t="s">
        <v>2055</v>
      </c>
      <c r="B1167" s="1" t="s">
        <v>5976</v>
      </c>
    </row>
    <row r="1168" spans="1:2" x14ac:dyDescent="0.25">
      <c r="A1168" s="1" t="s">
        <v>2056</v>
      </c>
      <c r="B1168" s="1" t="s">
        <v>5977</v>
      </c>
    </row>
    <row r="1169" spans="1:2" x14ac:dyDescent="0.25">
      <c r="A1169" s="1" t="s">
        <v>2057</v>
      </c>
      <c r="B1169" s="1" t="s">
        <v>4615</v>
      </c>
    </row>
    <row r="1170" spans="1:2" x14ac:dyDescent="0.25">
      <c r="A1170" s="1" t="s">
        <v>2058</v>
      </c>
      <c r="B1170" s="1" t="s">
        <v>4762</v>
      </c>
    </row>
    <row r="1171" spans="1:2" x14ac:dyDescent="0.25">
      <c r="A1171" s="1" t="s">
        <v>2059</v>
      </c>
      <c r="B1171" s="1" t="s">
        <v>5978</v>
      </c>
    </row>
    <row r="1172" spans="1:2" x14ac:dyDescent="0.25">
      <c r="A1172" s="1" t="s">
        <v>2060</v>
      </c>
      <c r="B1172" s="1" t="s">
        <v>5979</v>
      </c>
    </row>
    <row r="1173" spans="1:2" x14ac:dyDescent="0.25">
      <c r="A1173" s="1" t="s">
        <v>2061</v>
      </c>
      <c r="B1173" s="1" t="s">
        <v>5486</v>
      </c>
    </row>
    <row r="1174" spans="1:2" x14ac:dyDescent="0.25">
      <c r="A1174" s="1" t="s">
        <v>2062</v>
      </c>
      <c r="B1174" s="1" t="s">
        <v>4389</v>
      </c>
    </row>
    <row r="1175" spans="1:2" x14ac:dyDescent="0.25">
      <c r="A1175" s="1" t="s">
        <v>2063</v>
      </c>
      <c r="B1175" s="1" t="s">
        <v>5980</v>
      </c>
    </row>
    <row r="1176" spans="1:2" x14ac:dyDescent="0.25">
      <c r="A1176" s="1" t="s">
        <v>2064</v>
      </c>
      <c r="B1176" s="1" t="s">
        <v>5020</v>
      </c>
    </row>
    <row r="1177" spans="1:2" x14ac:dyDescent="0.25">
      <c r="A1177" s="1" t="s">
        <v>2065</v>
      </c>
      <c r="B1177" s="1" t="s">
        <v>4548</v>
      </c>
    </row>
    <row r="1178" spans="1:2" x14ac:dyDescent="0.25">
      <c r="A1178" s="1" t="s">
        <v>2066</v>
      </c>
      <c r="B1178" s="1" t="s">
        <v>5981</v>
      </c>
    </row>
    <row r="1179" spans="1:2" x14ac:dyDescent="0.25">
      <c r="A1179" s="1" t="s">
        <v>2067</v>
      </c>
      <c r="B1179" s="1" t="s">
        <v>5982</v>
      </c>
    </row>
    <row r="1180" spans="1:2" x14ac:dyDescent="0.25">
      <c r="A1180" s="1" t="s">
        <v>2068</v>
      </c>
      <c r="B1180" s="1" t="s">
        <v>5983</v>
      </c>
    </row>
    <row r="1181" spans="1:2" x14ac:dyDescent="0.25">
      <c r="A1181" s="1" t="s">
        <v>2069</v>
      </c>
      <c r="B1181" s="1" t="s">
        <v>5984</v>
      </c>
    </row>
    <row r="1182" spans="1:2" x14ac:dyDescent="0.25">
      <c r="A1182" s="1" t="s">
        <v>2070</v>
      </c>
      <c r="B1182" s="1" t="s">
        <v>5985</v>
      </c>
    </row>
    <row r="1183" spans="1:2" x14ac:dyDescent="0.25">
      <c r="A1183" s="1" t="s">
        <v>2071</v>
      </c>
      <c r="B1183" s="1" t="s">
        <v>5986</v>
      </c>
    </row>
    <row r="1184" spans="1:2" x14ac:dyDescent="0.25">
      <c r="A1184" s="1" t="s">
        <v>2072</v>
      </c>
      <c r="B1184" s="1" t="s">
        <v>5987</v>
      </c>
    </row>
    <row r="1185" spans="1:2" x14ac:dyDescent="0.25">
      <c r="A1185" s="1" t="s">
        <v>2073</v>
      </c>
      <c r="B1185" s="1" t="s">
        <v>5988</v>
      </c>
    </row>
    <row r="1186" spans="1:2" x14ac:dyDescent="0.25">
      <c r="A1186" s="1" t="s">
        <v>2074</v>
      </c>
      <c r="B1186" s="1" t="s">
        <v>5989</v>
      </c>
    </row>
    <row r="1187" spans="1:2" x14ac:dyDescent="0.25">
      <c r="A1187" s="1" t="s">
        <v>2075</v>
      </c>
      <c r="B1187" s="1" t="s">
        <v>5990</v>
      </c>
    </row>
    <row r="1188" spans="1:2" x14ac:dyDescent="0.25">
      <c r="A1188" s="1" t="s">
        <v>2076</v>
      </c>
      <c r="B1188" s="1" t="s">
        <v>5991</v>
      </c>
    </row>
    <row r="1189" spans="1:2" x14ac:dyDescent="0.25">
      <c r="A1189" s="1" t="s">
        <v>2077</v>
      </c>
      <c r="B1189" s="1" t="s">
        <v>4409</v>
      </c>
    </row>
    <row r="1190" spans="1:2" x14ac:dyDescent="0.25">
      <c r="A1190" s="1" t="s">
        <v>2078</v>
      </c>
      <c r="B1190" s="1" t="s">
        <v>5992</v>
      </c>
    </row>
    <row r="1191" spans="1:2" x14ac:dyDescent="0.25">
      <c r="A1191" s="1" t="s">
        <v>2079</v>
      </c>
      <c r="B1191" s="1" t="s">
        <v>5993</v>
      </c>
    </row>
    <row r="1192" spans="1:2" x14ac:dyDescent="0.25">
      <c r="A1192" s="1" t="s">
        <v>2080</v>
      </c>
      <c r="B1192" s="1" t="s">
        <v>5994</v>
      </c>
    </row>
    <row r="1193" spans="1:2" x14ac:dyDescent="0.25">
      <c r="A1193" s="1" t="s">
        <v>2081</v>
      </c>
      <c r="B1193" s="1" t="s">
        <v>5995</v>
      </c>
    </row>
    <row r="1194" spans="1:2" x14ac:dyDescent="0.25">
      <c r="A1194" s="1" t="s">
        <v>2082</v>
      </c>
      <c r="B1194" s="1" t="s">
        <v>5182</v>
      </c>
    </row>
    <row r="1195" spans="1:2" x14ac:dyDescent="0.25">
      <c r="A1195" s="1" t="s">
        <v>2083</v>
      </c>
      <c r="B1195" s="1" t="s">
        <v>5996</v>
      </c>
    </row>
    <row r="1196" spans="1:2" x14ac:dyDescent="0.25">
      <c r="A1196" s="1" t="s">
        <v>2084</v>
      </c>
      <c r="B1196" s="1" t="s">
        <v>5997</v>
      </c>
    </row>
    <row r="1197" spans="1:2" x14ac:dyDescent="0.25">
      <c r="A1197" s="1" t="s">
        <v>2085</v>
      </c>
      <c r="B1197" s="1" t="s">
        <v>5998</v>
      </c>
    </row>
    <row r="1198" spans="1:2" x14ac:dyDescent="0.25">
      <c r="A1198" s="1" t="s">
        <v>2086</v>
      </c>
      <c r="B1198" s="1" t="s">
        <v>5737</v>
      </c>
    </row>
    <row r="1199" spans="1:2" x14ac:dyDescent="0.25">
      <c r="A1199" s="1" t="s">
        <v>2087</v>
      </c>
      <c r="B1199" s="1" t="s">
        <v>5999</v>
      </c>
    </row>
    <row r="1200" spans="1:2" x14ac:dyDescent="0.25">
      <c r="A1200" s="1" t="s">
        <v>2088</v>
      </c>
      <c r="B1200" s="1" t="s">
        <v>6000</v>
      </c>
    </row>
    <row r="1201" spans="1:2" x14ac:dyDescent="0.25">
      <c r="A1201" s="1" t="s">
        <v>2089</v>
      </c>
      <c r="B1201" s="1" t="s">
        <v>5206</v>
      </c>
    </row>
    <row r="1202" spans="1:2" x14ac:dyDescent="0.25">
      <c r="A1202" s="1" t="s">
        <v>2090</v>
      </c>
      <c r="B1202" s="1" t="s">
        <v>6001</v>
      </c>
    </row>
    <row r="1203" spans="1:2" x14ac:dyDescent="0.25">
      <c r="A1203" s="1" t="s">
        <v>2091</v>
      </c>
      <c r="B1203" s="1" t="s">
        <v>6002</v>
      </c>
    </row>
    <row r="1204" spans="1:2" x14ac:dyDescent="0.25">
      <c r="A1204" s="1" t="s">
        <v>2092</v>
      </c>
      <c r="B1204" s="1" t="s">
        <v>6003</v>
      </c>
    </row>
    <row r="1205" spans="1:2" x14ac:dyDescent="0.25">
      <c r="A1205" s="1" t="s">
        <v>2093</v>
      </c>
      <c r="B1205" s="1" t="s">
        <v>4564</v>
      </c>
    </row>
    <row r="1206" spans="1:2" x14ac:dyDescent="0.25">
      <c r="A1206" s="1" t="s">
        <v>2094</v>
      </c>
      <c r="B1206" s="1" t="s">
        <v>5117</v>
      </c>
    </row>
    <row r="1207" spans="1:2" x14ac:dyDescent="0.25">
      <c r="A1207" s="1" t="s">
        <v>2095</v>
      </c>
      <c r="B1207" s="1" t="s">
        <v>6004</v>
      </c>
    </row>
    <row r="1208" spans="1:2" x14ac:dyDescent="0.25">
      <c r="A1208" s="1" t="s">
        <v>2096</v>
      </c>
      <c r="B1208" s="1" t="s">
        <v>6005</v>
      </c>
    </row>
    <row r="1209" spans="1:2" x14ac:dyDescent="0.25">
      <c r="A1209" s="1" t="s">
        <v>2097</v>
      </c>
      <c r="B1209" s="1" t="s">
        <v>6006</v>
      </c>
    </row>
    <row r="1210" spans="1:2" x14ac:dyDescent="0.25">
      <c r="A1210" s="1" t="s">
        <v>2098</v>
      </c>
      <c r="B1210" s="1" t="s">
        <v>6007</v>
      </c>
    </row>
    <row r="1211" spans="1:2" x14ac:dyDescent="0.25">
      <c r="A1211" s="1" t="s">
        <v>2099</v>
      </c>
      <c r="B1211" s="1" t="s">
        <v>6008</v>
      </c>
    </row>
    <row r="1212" spans="1:2" x14ac:dyDescent="0.25">
      <c r="A1212" s="1" t="s">
        <v>2100</v>
      </c>
      <c r="B1212" s="1" t="s">
        <v>4765</v>
      </c>
    </row>
    <row r="1213" spans="1:2" x14ac:dyDescent="0.25">
      <c r="A1213" s="1" t="s">
        <v>2101</v>
      </c>
      <c r="B1213" s="1" t="s">
        <v>6009</v>
      </c>
    </row>
    <row r="1214" spans="1:2" x14ac:dyDescent="0.25">
      <c r="A1214" s="1" t="s">
        <v>2102</v>
      </c>
      <c r="B1214" s="1" t="s">
        <v>6010</v>
      </c>
    </row>
    <row r="1215" spans="1:2" x14ac:dyDescent="0.25">
      <c r="A1215" s="1" t="s">
        <v>2103</v>
      </c>
      <c r="B1215" s="1" t="s">
        <v>5535</v>
      </c>
    </row>
    <row r="1216" spans="1:2" x14ac:dyDescent="0.25">
      <c r="A1216" s="1" t="s">
        <v>2104</v>
      </c>
      <c r="B1216" s="1" t="s">
        <v>6011</v>
      </c>
    </row>
    <row r="1217" spans="1:2" x14ac:dyDescent="0.25">
      <c r="A1217" s="1" t="s">
        <v>2105</v>
      </c>
      <c r="B1217" s="1" t="s">
        <v>6012</v>
      </c>
    </row>
    <row r="1218" spans="1:2" x14ac:dyDescent="0.25">
      <c r="A1218" s="1" t="s">
        <v>2106</v>
      </c>
      <c r="B1218" s="1" t="s">
        <v>4821</v>
      </c>
    </row>
    <row r="1219" spans="1:2" x14ac:dyDescent="0.25">
      <c r="A1219" s="1" t="s">
        <v>2107</v>
      </c>
      <c r="B1219" s="1" t="s">
        <v>5231</v>
      </c>
    </row>
    <row r="1220" spans="1:2" x14ac:dyDescent="0.25">
      <c r="A1220" s="1" t="s">
        <v>2108</v>
      </c>
      <c r="B1220" s="1" t="s">
        <v>6013</v>
      </c>
    </row>
    <row r="1221" spans="1:2" x14ac:dyDescent="0.25">
      <c r="A1221" s="1" t="s">
        <v>2109</v>
      </c>
      <c r="B1221" s="1" t="s">
        <v>6014</v>
      </c>
    </row>
    <row r="1222" spans="1:2" x14ac:dyDescent="0.25">
      <c r="A1222" s="1" t="s">
        <v>2110</v>
      </c>
      <c r="B1222" s="1" t="s">
        <v>5293</v>
      </c>
    </row>
    <row r="1223" spans="1:2" x14ac:dyDescent="0.25">
      <c r="A1223" s="1" t="s">
        <v>2111</v>
      </c>
      <c r="B1223" s="1" t="s">
        <v>6015</v>
      </c>
    </row>
    <row r="1224" spans="1:2" x14ac:dyDescent="0.25">
      <c r="A1224" s="1" t="s">
        <v>2112</v>
      </c>
      <c r="B1224" s="1" t="s">
        <v>6016</v>
      </c>
    </row>
    <row r="1225" spans="1:2" x14ac:dyDescent="0.25">
      <c r="A1225" s="1" t="s">
        <v>2113</v>
      </c>
      <c r="B1225" s="1" t="s">
        <v>4799</v>
      </c>
    </row>
    <row r="1226" spans="1:2" x14ac:dyDescent="0.25">
      <c r="A1226" s="1" t="s">
        <v>2114</v>
      </c>
      <c r="B1226" s="1" t="s">
        <v>6017</v>
      </c>
    </row>
    <row r="1227" spans="1:2" x14ac:dyDescent="0.25">
      <c r="A1227" s="1" t="s">
        <v>2115</v>
      </c>
      <c r="B1227" s="1" t="s">
        <v>6018</v>
      </c>
    </row>
    <row r="1228" spans="1:2" x14ac:dyDescent="0.25">
      <c r="A1228" s="1" t="s">
        <v>2116</v>
      </c>
      <c r="B1228" s="1" t="s">
        <v>5970</v>
      </c>
    </row>
    <row r="1229" spans="1:2" x14ac:dyDescent="0.25">
      <c r="A1229" s="1" t="s">
        <v>2117</v>
      </c>
      <c r="B1229" s="1" t="s">
        <v>6019</v>
      </c>
    </row>
    <row r="1230" spans="1:2" x14ac:dyDescent="0.25">
      <c r="A1230" s="1" t="s">
        <v>2118</v>
      </c>
      <c r="B1230" s="1" t="s">
        <v>6020</v>
      </c>
    </row>
    <row r="1231" spans="1:2" x14ac:dyDescent="0.25">
      <c r="A1231" s="1" t="s">
        <v>2119</v>
      </c>
      <c r="B1231" s="1" t="s">
        <v>6021</v>
      </c>
    </row>
    <row r="1232" spans="1:2" x14ac:dyDescent="0.25">
      <c r="A1232" s="1" t="s">
        <v>2120</v>
      </c>
      <c r="B1232" s="1" t="s">
        <v>6022</v>
      </c>
    </row>
    <row r="1233" spans="1:2" x14ac:dyDescent="0.25">
      <c r="A1233" s="1" t="s">
        <v>2121</v>
      </c>
      <c r="B1233" s="1" t="s">
        <v>6023</v>
      </c>
    </row>
    <row r="1234" spans="1:2" x14ac:dyDescent="0.25">
      <c r="A1234" s="1" t="s">
        <v>2122</v>
      </c>
      <c r="B1234" s="1" t="s">
        <v>6024</v>
      </c>
    </row>
    <row r="1235" spans="1:2" x14ac:dyDescent="0.25">
      <c r="A1235" s="1" t="s">
        <v>2123</v>
      </c>
      <c r="B1235" s="1" t="s">
        <v>6025</v>
      </c>
    </row>
    <row r="1236" spans="1:2" x14ac:dyDescent="0.25">
      <c r="A1236" s="1" t="s">
        <v>2124</v>
      </c>
      <c r="B1236" s="1" t="s">
        <v>6026</v>
      </c>
    </row>
    <row r="1237" spans="1:2" x14ac:dyDescent="0.25">
      <c r="A1237" s="1" t="s">
        <v>2125</v>
      </c>
      <c r="B1237" s="1" t="s">
        <v>4597</v>
      </c>
    </row>
    <row r="1238" spans="1:2" x14ac:dyDescent="0.25">
      <c r="A1238" s="1" t="s">
        <v>2126</v>
      </c>
      <c r="B1238" s="1" t="s">
        <v>6027</v>
      </c>
    </row>
    <row r="1239" spans="1:2" x14ac:dyDescent="0.25">
      <c r="A1239" s="1" t="s">
        <v>2127</v>
      </c>
      <c r="B1239" s="1" t="s">
        <v>6028</v>
      </c>
    </row>
    <row r="1240" spans="1:2" x14ac:dyDescent="0.25">
      <c r="A1240" s="1" t="s">
        <v>2128</v>
      </c>
      <c r="B1240" s="1" t="s">
        <v>6029</v>
      </c>
    </row>
    <row r="1241" spans="1:2" x14ac:dyDescent="0.25">
      <c r="A1241" s="1" t="s">
        <v>2129</v>
      </c>
      <c r="B1241" s="1" t="s">
        <v>6030</v>
      </c>
    </row>
    <row r="1242" spans="1:2" x14ac:dyDescent="0.25">
      <c r="A1242" s="1" t="s">
        <v>2130</v>
      </c>
      <c r="B1242" s="1" t="s">
        <v>6031</v>
      </c>
    </row>
    <row r="1243" spans="1:2" x14ac:dyDescent="0.25">
      <c r="A1243" s="1" t="s">
        <v>2131</v>
      </c>
      <c r="B1243" s="1" t="s">
        <v>5259</v>
      </c>
    </row>
    <row r="1244" spans="1:2" x14ac:dyDescent="0.25">
      <c r="A1244" s="1" t="s">
        <v>2132</v>
      </c>
      <c r="B1244" s="1" t="s">
        <v>5310</v>
      </c>
    </row>
    <row r="1245" spans="1:2" x14ac:dyDescent="0.25">
      <c r="A1245" s="1" t="s">
        <v>2133</v>
      </c>
      <c r="B1245" s="1" t="s">
        <v>5383</v>
      </c>
    </row>
    <row r="1246" spans="1:2" x14ac:dyDescent="0.25">
      <c r="A1246" s="1" t="s">
        <v>2134</v>
      </c>
      <c r="B1246" s="1" t="s">
        <v>6032</v>
      </c>
    </row>
    <row r="1247" spans="1:2" x14ac:dyDescent="0.25">
      <c r="A1247" s="1" t="s">
        <v>2135</v>
      </c>
      <c r="B1247" s="1" t="s">
        <v>5182</v>
      </c>
    </row>
    <row r="1248" spans="1:2" x14ac:dyDescent="0.25">
      <c r="A1248" s="1" t="s">
        <v>2136</v>
      </c>
      <c r="B1248" s="1" t="s">
        <v>6033</v>
      </c>
    </row>
    <row r="1249" spans="1:2" x14ac:dyDescent="0.25">
      <c r="A1249" s="1" t="s">
        <v>2137</v>
      </c>
      <c r="B1249" s="1" t="s">
        <v>5413</v>
      </c>
    </row>
    <row r="1250" spans="1:2" x14ac:dyDescent="0.25">
      <c r="A1250" s="1" t="s">
        <v>2138</v>
      </c>
      <c r="B1250" s="1" t="s">
        <v>6034</v>
      </c>
    </row>
    <row r="1251" spans="1:2" x14ac:dyDescent="0.25">
      <c r="A1251" s="1" t="s">
        <v>2139</v>
      </c>
      <c r="B1251" s="1" t="s">
        <v>6035</v>
      </c>
    </row>
    <row r="1252" spans="1:2" x14ac:dyDescent="0.25">
      <c r="A1252" s="1" t="s">
        <v>2140</v>
      </c>
      <c r="B1252" s="1" t="s">
        <v>6036</v>
      </c>
    </row>
    <row r="1253" spans="1:2" x14ac:dyDescent="0.25">
      <c r="A1253" s="1" t="s">
        <v>2141</v>
      </c>
      <c r="B1253" s="1" t="s">
        <v>4833</v>
      </c>
    </row>
    <row r="1254" spans="1:2" x14ac:dyDescent="0.25">
      <c r="A1254" s="1" t="s">
        <v>2142</v>
      </c>
      <c r="B1254" s="1" t="s">
        <v>6037</v>
      </c>
    </row>
    <row r="1255" spans="1:2" x14ac:dyDescent="0.25">
      <c r="A1255" s="1" t="s">
        <v>2143</v>
      </c>
      <c r="B1255" s="1" t="s">
        <v>5320</v>
      </c>
    </row>
    <row r="1256" spans="1:2" x14ac:dyDescent="0.25">
      <c r="A1256" s="1" t="s">
        <v>2144</v>
      </c>
      <c r="B1256" s="1" t="s">
        <v>4592</v>
      </c>
    </row>
    <row r="1257" spans="1:2" x14ac:dyDescent="0.25">
      <c r="A1257" s="1" t="s">
        <v>2145</v>
      </c>
      <c r="B1257" s="1" t="s">
        <v>6038</v>
      </c>
    </row>
    <row r="1258" spans="1:2" x14ac:dyDescent="0.25">
      <c r="A1258" s="1" t="s">
        <v>2146</v>
      </c>
      <c r="B1258" s="1" t="s">
        <v>6039</v>
      </c>
    </row>
    <row r="1259" spans="1:2" x14ac:dyDescent="0.25">
      <c r="A1259" s="1" t="s">
        <v>2147</v>
      </c>
      <c r="B1259" s="1" t="s">
        <v>6040</v>
      </c>
    </row>
    <row r="1260" spans="1:2" x14ac:dyDescent="0.25">
      <c r="A1260" s="1" t="s">
        <v>2148</v>
      </c>
      <c r="B1260" s="1" t="s">
        <v>4673</v>
      </c>
    </row>
    <row r="1261" spans="1:2" x14ac:dyDescent="0.25">
      <c r="A1261" s="1" t="s">
        <v>2149</v>
      </c>
      <c r="B1261" s="1" t="s">
        <v>6041</v>
      </c>
    </row>
    <row r="1262" spans="1:2" x14ac:dyDescent="0.25">
      <c r="A1262" s="1" t="s">
        <v>2150</v>
      </c>
      <c r="B1262" s="1" t="s">
        <v>6042</v>
      </c>
    </row>
    <row r="1263" spans="1:2" x14ac:dyDescent="0.25">
      <c r="A1263" s="1" t="s">
        <v>2151</v>
      </c>
      <c r="B1263" s="1" t="s">
        <v>6043</v>
      </c>
    </row>
    <row r="1264" spans="1:2" x14ac:dyDescent="0.25">
      <c r="A1264" s="1" t="s">
        <v>2152</v>
      </c>
      <c r="B1264" s="1" t="s">
        <v>6044</v>
      </c>
    </row>
    <row r="1265" spans="1:2" x14ac:dyDescent="0.25">
      <c r="A1265" s="1" t="s">
        <v>2153</v>
      </c>
      <c r="B1265" s="1" t="s">
        <v>5836</v>
      </c>
    </row>
    <row r="1266" spans="1:2" x14ac:dyDescent="0.25">
      <c r="A1266" s="1" t="s">
        <v>2154</v>
      </c>
      <c r="B1266" s="1" t="s">
        <v>6045</v>
      </c>
    </row>
    <row r="1267" spans="1:2" x14ac:dyDescent="0.25">
      <c r="A1267" s="1" t="s">
        <v>2155</v>
      </c>
      <c r="B1267" s="1" t="s">
        <v>5611</v>
      </c>
    </row>
    <row r="1268" spans="1:2" x14ac:dyDescent="0.25">
      <c r="A1268" s="1" t="s">
        <v>2156</v>
      </c>
      <c r="B1268" s="1" t="s">
        <v>4362</v>
      </c>
    </row>
    <row r="1269" spans="1:2" x14ac:dyDescent="0.25">
      <c r="A1269" s="1" t="s">
        <v>2157</v>
      </c>
      <c r="B1269" s="1" t="s">
        <v>6046</v>
      </c>
    </row>
    <row r="1270" spans="1:2" x14ac:dyDescent="0.25">
      <c r="A1270" s="1" t="s">
        <v>2158</v>
      </c>
      <c r="B1270" s="1" t="s">
        <v>5538</v>
      </c>
    </row>
    <row r="1271" spans="1:2" x14ac:dyDescent="0.25">
      <c r="A1271" s="1" t="s">
        <v>2159</v>
      </c>
      <c r="B1271" s="1" t="s">
        <v>6047</v>
      </c>
    </row>
    <row r="1272" spans="1:2" x14ac:dyDescent="0.25">
      <c r="A1272" s="1" t="s">
        <v>2160</v>
      </c>
      <c r="B1272" s="1" t="s">
        <v>5486</v>
      </c>
    </row>
    <row r="1273" spans="1:2" x14ac:dyDescent="0.25">
      <c r="A1273" s="1" t="s">
        <v>2161</v>
      </c>
      <c r="B1273" s="1" t="s">
        <v>4926</v>
      </c>
    </row>
    <row r="1274" spans="1:2" x14ac:dyDescent="0.25">
      <c r="A1274" s="1" t="s">
        <v>2162</v>
      </c>
      <c r="B1274" s="1" t="s">
        <v>6048</v>
      </c>
    </row>
    <row r="1275" spans="1:2" x14ac:dyDescent="0.25">
      <c r="A1275" s="1" t="s">
        <v>2163</v>
      </c>
      <c r="B1275" s="1" t="s">
        <v>6049</v>
      </c>
    </row>
    <row r="1276" spans="1:2" x14ac:dyDescent="0.25">
      <c r="A1276" s="1" t="s">
        <v>2164</v>
      </c>
      <c r="B1276" s="1" t="s">
        <v>6050</v>
      </c>
    </row>
    <row r="1277" spans="1:2" x14ac:dyDescent="0.25">
      <c r="A1277" s="1" t="s">
        <v>2165</v>
      </c>
      <c r="B1277" s="1" t="s">
        <v>6051</v>
      </c>
    </row>
    <row r="1278" spans="1:2" x14ac:dyDescent="0.25">
      <c r="A1278" s="1" t="s">
        <v>2166</v>
      </c>
      <c r="B1278" s="1" t="s">
        <v>6052</v>
      </c>
    </row>
    <row r="1279" spans="1:2" x14ac:dyDescent="0.25">
      <c r="A1279" s="1" t="s">
        <v>2167</v>
      </c>
      <c r="B1279" s="1" t="s">
        <v>6053</v>
      </c>
    </row>
    <row r="1280" spans="1:2" x14ac:dyDescent="0.25">
      <c r="A1280" s="1" t="s">
        <v>2168</v>
      </c>
      <c r="B1280" s="1" t="s">
        <v>5466</v>
      </c>
    </row>
    <row r="1281" spans="1:2" x14ac:dyDescent="0.25">
      <c r="A1281" s="1" t="s">
        <v>2169</v>
      </c>
      <c r="B1281" s="1" t="s">
        <v>4814</v>
      </c>
    </row>
    <row r="1282" spans="1:2" x14ac:dyDescent="0.25">
      <c r="A1282" s="1" t="s">
        <v>2170</v>
      </c>
      <c r="B1282" s="1" t="s">
        <v>5195</v>
      </c>
    </row>
    <row r="1283" spans="1:2" x14ac:dyDescent="0.25">
      <c r="A1283" s="1" t="s">
        <v>2171</v>
      </c>
      <c r="B1283" s="1" t="s">
        <v>6054</v>
      </c>
    </row>
    <row r="1284" spans="1:2" x14ac:dyDescent="0.25">
      <c r="A1284" s="1" t="s">
        <v>2172</v>
      </c>
      <c r="B1284" s="1" t="s">
        <v>6055</v>
      </c>
    </row>
    <row r="1285" spans="1:2" x14ac:dyDescent="0.25">
      <c r="A1285" s="1" t="s">
        <v>2173</v>
      </c>
      <c r="B1285" s="1" t="s">
        <v>6056</v>
      </c>
    </row>
    <row r="1286" spans="1:2" x14ac:dyDescent="0.25">
      <c r="A1286" s="1" t="s">
        <v>2174</v>
      </c>
      <c r="B1286" s="1" t="s">
        <v>4559</v>
      </c>
    </row>
    <row r="1287" spans="1:2" x14ac:dyDescent="0.25">
      <c r="A1287" s="1" t="s">
        <v>2175</v>
      </c>
      <c r="B1287" s="1" t="s">
        <v>5098</v>
      </c>
    </row>
    <row r="1288" spans="1:2" x14ac:dyDescent="0.25">
      <c r="A1288" s="1" t="s">
        <v>2176</v>
      </c>
      <c r="B1288" s="1" t="s">
        <v>6006</v>
      </c>
    </row>
    <row r="1289" spans="1:2" x14ac:dyDescent="0.25">
      <c r="A1289" s="1" t="s">
        <v>2177</v>
      </c>
      <c r="B1289" s="1" t="s">
        <v>6057</v>
      </c>
    </row>
    <row r="1290" spans="1:2" x14ac:dyDescent="0.25">
      <c r="A1290" s="1" t="s">
        <v>2178</v>
      </c>
      <c r="B1290" s="1" t="s">
        <v>6058</v>
      </c>
    </row>
    <row r="1291" spans="1:2" x14ac:dyDescent="0.25">
      <c r="A1291" s="1" t="s">
        <v>2179</v>
      </c>
      <c r="B1291" s="1" t="s">
        <v>5962</v>
      </c>
    </row>
    <row r="1292" spans="1:2" x14ac:dyDescent="0.25">
      <c r="A1292" s="1" t="s">
        <v>2180</v>
      </c>
      <c r="B1292" s="1" t="s">
        <v>6059</v>
      </c>
    </row>
    <row r="1293" spans="1:2" x14ac:dyDescent="0.25">
      <c r="A1293" s="1" t="s">
        <v>2181</v>
      </c>
      <c r="B1293" s="1" t="s">
        <v>6060</v>
      </c>
    </row>
    <row r="1294" spans="1:2" x14ac:dyDescent="0.25">
      <c r="A1294" s="1" t="s">
        <v>2182</v>
      </c>
      <c r="B1294" s="1" t="s">
        <v>4592</v>
      </c>
    </row>
    <row r="1295" spans="1:2" x14ac:dyDescent="0.25">
      <c r="A1295" s="1" t="s">
        <v>2183</v>
      </c>
      <c r="B1295" s="1" t="s">
        <v>6061</v>
      </c>
    </row>
    <row r="1296" spans="1:2" x14ac:dyDescent="0.25">
      <c r="A1296" s="1" t="s">
        <v>2184</v>
      </c>
      <c r="B1296" s="1" t="s">
        <v>6002</v>
      </c>
    </row>
    <row r="1297" spans="1:2" x14ac:dyDescent="0.25">
      <c r="A1297" s="1" t="s">
        <v>2185</v>
      </c>
      <c r="B1297" s="1" t="s">
        <v>5947</v>
      </c>
    </row>
    <row r="1298" spans="1:2" x14ac:dyDescent="0.25">
      <c r="A1298" s="1" t="s">
        <v>2186</v>
      </c>
      <c r="B1298" s="1" t="s">
        <v>4952</v>
      </c>
    </row>
    <row r="1299" spans="1:2" x14ac:dyDescent="0.25">
      <c r="A1299" s="1" t="s">
        <v>2187</v>
      </c>
      <c r="B1299" s="1" t="s">
        <v>5196</v>
      </c>
    </row>
    <row r="1300" spans="1:2" x14ac:dyDescent="0.25">
      <c r="A1300" s="1" t="s">
        <v>2188</v>
      </c>
      <c r="B1300" s="1" t="s">
        <v>5537</v>
      </c>
    </row>
    <row r="1301" spans="1:2" x14ac:dyDescent="0.25">
      <c r="A1301" s="1" t="s">
        <v>2189</v>
      </c>
      <c r="B1301" s="1" t="s">
        <v>5611</v>
      </c>
    </row>
    <row r="1302" spans="1:2" x14ac:dyDescent="0.25">
      <c r="A1302" s="1" t="s">
        <v>2190</v>
      </c>
      <c r="B1302" s="1" t="s">
        <v>6062</v>
      </c>
    </row>
    <row r="1303" spans="1:2" x14ac:dyDescent="0.25">
      <c r="A1303" s="1" t="s">
        <v>2191</v>
      </c>
      <c r="B1303" s="1" t="s">
        <v>4548</v>
      </c>
    </row>
    <row r="1304" spans="1:2" x14ac:dyDescent="0.25">
      <c r="A1304" s="1" t="s">
        <v>2192</v>
      </c>
      <c r="B1304" s="1" t="s">
        <v>6063</v>
      </c>
    </row>
    <row r="1305" spans="1:2" x14ac:dyDescent="0.25">
      <c r="A1305" s="1" t="s">
        <v>2193</v>
      </c>
      <c r="B1305" s="1" t="s">
        <v>6064</v>
      </c>
    </row>
    <row r="1306" spans="1:2" x14ac:dyDescent="0.25">
      <c r="A1306" s="1" t="s">
        <v>2194</v>
      </c>
      <c r="B1306" s="1" t="s">
        <v>4551</v>
      </c>
    </row>
    <row r="1307" spans="1:2" x14ac:dyDescent="0.25">
      <c r="A1307" s="1" t="s">
        <v>2195</v>
      </c>
      <c r="B1307" s="1" t="s">
        <v>5218</v>
      </c>
    </row>
    <row r="1308" spans="1:2" x14ac:dyDescent="0.25">
      <c r="A1308" s="1" t="s">
        <v>2196</v>
      </c>
      <c r="B1308" s="1" t="s">
        <v>4838</v>
      </c>
    </row>
    <row r="1309" spans="1:2" x14ac:dyDescent="0.25">
      <c r="A1309" s="1" t="s">
        <v>2197</v>
      </c>
      <c r="B1309" s="1" t="s">
        <v>4782</v>
      </c>
    </row>
    <row r="1310" spans="1:2" x14ac:dyDescent="0.25">
      <c r="A1310" s="1" t="s">
        <v>2198</v>
      </c>
      <c r="B1310" s="1" t="s">
        <v>6065</v>
      </c>
    </row>
    <row r="1311" spans="1:2" x14ac:dyDescent="0.25">
      <c r="A1311" s="1" t="s">
        <v>4301</v>
      </c>
      <c r="B1311" s="1" t="s">
        <v>6066</v>
      </c>
    </row>
    <row r="1312" spans="1:2" x14ac:dyDescent="0.25">
      <c r="A1312" s="1" t="s">
        <v>2199</v>
      </c>
      <c r="B1312" s="1" t="s">
        <v>5036</v>
      </c>
    </row>
    <row r="1313" spans="1:2" x14ac:dyDescent="0.25">
      <c r="A1313" s="1" t="s">
        <v>2200</v>
      </c>
      <c r="B1313" s="1" t="s">
        <v>6067</v>
      </c>
    </row>
    <row r="1314" spans="1:2" x14ac:dyDescent="0.25">
      <c r="A1314" s="1" t="s">
        <v>2201</v>
      </c>
      <c r="B1314" s="1" t="s">
        <v>6068</v>
      </c>
    </row>
    <row r="1315" spans="1:2" x14ac:dyDescent="0.25">
      <c r="A1315" s="1" t="s">
        <v>2202</v>
      </c>
      <c r="B1315" s="1" t="s">
        <v>5822</v>
      </c>
    </row>
    <row r="1316" spans="1:2" x14ac:dyDescent="0.25">
      <c r="A1316" s="1" t="s">
        <v>2203</v>
      </c>
      <c r="B1316" s="1" t="s">
        <v>4893</v>
      </c>
    </row>
    <row r="1317" spans="1:2" x14ac:dyDescent="0.25">
      <c r="A1317" s="1" t="s">
        <v>2204</v>
      </c>
      <c r="B1317" s="1" t="s">
        <v>5736</v>
      </c>
    </row>
    <row r="1318" spans="1:2" x14ac:dyDescent="0.25">
      <c r="A1318" s="1" t="s">
        <v>2205</v>
      </c>
      <c r="B1318" s="1" t="s">
        <v>6069</v>
      </c>
    </row>
    <row r="1319" spans="1:2" x14ac:dyDescent="0.25">
      <c r="A1319" s="1" t="s">
        <v>2206</v>
      </c>
      <c r="B1319" s="1" t="s">
        <v>5380</v>
      </c>
    </row>
    <row r="1320" spans="1:2" x14ac:dyDescent="0.25">
      <c r="A1320" s="1" t="s">
        <v>2207</v>
      </c>
      <c r="B1320" s="1" t="s">
        <v>6070</v>
      </c>
    </row>
    <row r="1321" spans="1:2" x14ac:dyDescent="0.25">
      <c r="A1321" s="1" t="s">
        <v>2208</v>
      </c>
      <c r="B1321" s="1" t="s">
        <v>6071</v>
      </c>
    </row>
    <row r="1322" spans="1:2" x14ac:dyDescent="0.25">
      <c r="A1322" s="1" t="s">
        <v>2209</v>
      </c>
      <c r="B1322" s="1" t="s">
        <v>6072</v>
      </c>
    </row>
    <row r="1323" spans="1:2" x14ac:dyDescent="0.25">
      <c r="A1323" s="1" t="s">
        <v>2210</v>
      </c>
      <c r="B1323" s="1" t="s">
        <v>6040</v>
      </c>
    </row>
    <row r="1324" spans="1:2" x14ac:dyDescent="0.25">
      <c r="A1324" s="1" t="s">
        <v>2211</v>
      </c>
      <c r="B1324" s="1" t="s">
        <v>6073</v>
      </c>
    </row>
    <row r="1325" spans="1:2" x14ac:dyDescent="0.25">
      <c r="A1325" s="1" t="s">
        <v>2212</v>
      </c>
      <c r="B1325" s="1" t="s">
        <v>6074</v>
      </c>
    </row>
    <row r="1326" spans="1:2" x14ac:dyDescent="0.25">
      <c r="A1326" s="1" t="s">
        <v>4270</v>
      </c>
      <c r="B1326" s="1" t="s">
        <v>5176</v>
      </c>
    </row>
    <row r="1327" spans="1:2" x14ac:dyDescent="0.25">
      <c r="A1327" s="1" t="s">
        <v>2213</v>
      </c>
      <c r="B1327" s="1" t="s">
        <v>6005</v>
      </c>
    </row>
    <row r="1328" spans="1:2" x14ac:dyDescent="0.25">
      <c r="A1328" s="1" t="s">
        <v>2214</v>
      </c>
      <c r="B1328" s="1" t="s">
        <v>6075</v>
      </c>
    </row>
    <row r="1329" spans="1:2" x14ac:dyDescent="0.25">
      <c r="A1329" s="1" t="s">
        <v>2215</v>
      </c>
      <c r="B1329" s="1" t="s">
        <v>6076</v>
      </c>
    </row>
    <row r="1330" spans="1:2" x14ac:dyDescent="0.25">
      <c r="A1330" s="1" t="s">
        <v>2216</v>
      </c>
      <c r="B1330" s="1" t="s">
        <v>5406</v>
      </c>
    </row>
    <row r="1331" spans="1:2" x14ac:dyDescent="0.25">
      <c r="A1331" s="1" t="s">
        <v>2217</v>
      </c>
      <c r="B1331" s="1" t="s">
        <v>6077</v>
      </c>
    </row>
    <row r="1332" spans="1:2" x14ac:dyDescent="0.25">
      <c r="A1332" s="1" t="s">
        <v>2218</v>
      </c>
      <c r="B1332" s="1" t="s">
        <v>5279</v>
      </c>
    </row>
    <row r="1333" spans="1:2" x14ac:dyDescent="0.25">
      <c r="A1333" s="1" t="s">
        <v>2219</v>
      </c>
      <c r="B1333" s="1" t="s">
        <v>5693</v>
      </c>
    </row>
    <row r="1334" spans="1:2" x14ac:dyDescent="0.25">
      <c r="A1334" s="1" t="s">
        <v>2220</v>
      </c>
      <c r="B1334" s="1" t="s">
        <v>6078</v>
      </c>
    </row>
    <row r="1335" spans="1:2" x14ac:dyDescent="0.25">
      <c r="A1335" s="1" t="s">
        <v>2221</v>
      </c>
      <c r="B1335" s="1" t="s">
        <v>6079</v>
      </c>
    </row>
    <row r="1336" spans="1:2" x14ac:dyDescent="0.25">
      <c r="A1336" s="1" t="s">
        <v>2222</v>
      </c>
      <c r="B1336" s="1" t="s">
        <v>4588</v>
      </c>
    </row>
    <row r="1337" spans="1:2" x14ac:dyDescent="0.25">
      <c r="A1337" s="1" t="s">
        <v>2223</v>
      </c>
      <c r="B1337" s="1" t="s">
        <v>6080</v>
      </c>
    </row>
    <row r="1338" spans="1:2" x14ac:dyDescent="0.25">
      <c r="A1338" s="1" t="s">
        <v>2224</v>
      </c>
      <c r="B1338" s="1" t="s">
        <v>6081</v>
      </c>
    </row>
    <row r="1339" spans="1:2" x14ac:dyDescent="0.25">
      <c r="A1339" s="1" t="s">
        <v>2225</v>
      </c>
      <c r="B1339" s="1" t="s">
        <v>4673</v>
      </c>
    </row>
    <row r="1340" spans="1:2" x14ac:dyDescent="0.25">
      <c r="A1340" s="1" t="s">
        <v>2226</v>
      </c>
      <c r="B1340" s="1" t="s">
        <v>6082</v>
      </c>
    </row>
    <row r="1341" spans="1:2" x14ac:dyDescent="0.25">
      <c r="A1341" s="1" t="s">
        <v>2227</v>
      </c>
      <c r="B1341" s="1" t="s">
        <v>5534</v>
      </c>
    </row>
    <row r="1342" spans="1:2" x14ac:dyDescent="0.25">
      <c r="A1342" s="1" t="s">
        <v>2228</v>
      </c>
      <c r="B1342" s="1" t="s">
        <v>6083</v>
      </c>
    </row>
    <row r="1343" spans="1:2" x14ac:dyDescent="0.25">
      <c r="A1343" s="1" t="s">
        <v>2229</v>
      </c>
      <c r="B1343" s="1" t="s">
        <v>6084</v>
      </c>
    </row>
    <row r="1344" spans="1:2" x14ac:dyDescent="0.25">
      <c r="A1344" s="1" t="s">
        <v>2230</v>
      </c>
      <c r="B1344" s="1" t="s">
        <v>5546</v>
      </c>
    </row>
    <row r="1345" spans="1:2" x14ac:dyDescent="0.25">
      <c r="A1345" s="1" t="s">
        <v>2231</v>
      </c>
      <c r="B1345" s="1" t="s">
        <v>6085</v>
      </c>
    </row>
    <row r="1346" spans="1:2" x14ac:dyDescent="0.25">
      <c r="A1346" s="1" t="s">
        <v>2232</v>
      </c>
      <c r="B1346" s="1" t="s">
        <v>5210</v>
      </c>
    </row>
    <row r="1347" spans="1:2" x14ac:dyDescent="0.25">
      <c r="A1347" s="1" t="s">
        <v>2233</v>
      </c>
      <c r="B1347" s="1" t="s">
        <v>6086</v>
      </c>
    </row>
    <row r="1348" spans="1:2" x14ac:dyDescent="0.25">
      <c r="A1348" s="1" t="s">
        <v>2234</v>
      </c>
      <c r="B1348" s="1" t="s">
        <v>6087</v>
      </c>
    </row>
    <row r="1349" spans="1:2" x14ac:dyDescent="0.25">
      <c r="A1349" s="1" t="s">
        <v>2235</v>
      </c>
      <c r="B1349" s="1" t="s">
        <v>6088</v>
      </c>
    </row>
    <row r="1350" spans="1:2" x14ac:dyDescent="0.25">
      <c r="A1350" s="1" t="s">
        <v>2236</v>
      </c>
      <c r="B1350" s="1" t="s">
        <v>5210</v>
      </c>
    </row>
    <row r="1351" spans="1:2" x14ac:dyDescent="0.25">
      <c r="A1351" s="1" t="s">
        <v>2237</v>
      </c>
      <c r="B1351" s="1" t="s">
        <v>6089</v>
      </c>
    </row>
    <row r="1352" spans="1:2" x14ac:dyDescent="0.25">
      <c r="A1352" s="1" t="s">
        <v>2238</v>
      </c>
      <c r="B1352" s="1" t="s">
        <v>4880</v>
      </c>
    </row>
    <row r="1353" spans="1:2" x14ac:dyDescent="0.25">
      <c r="A1353" s="1" t="s">
        <v>2239</v>
      </c>
      <c r="B1353" s="1" t="s">
        <v>6090</v>
      </c>
    </row>
    <row r="1354" spans="1:2" x14ac:dyDescent="0.25">
      <c r="A1354" s="1" t="s">
        <v>2240</v>
      </c>
      <c r="B1354" s="1" t="s">
        <v>4826</v>
      </c>
    </row>
    <row r="1355" spans="1:2" x14ac:dyDescent="0.25">
      <c r="A1355" s="1" t="s">
        <v>2241</v>
      </c>
      <c r="B1355" s="1" t="s">
        <v>6091</v>
      </c>
    </row>
    <row r="1356" spans="1:2" x14ac:dyDescent="0.25">
      <c r="A1356" s="1" t="s">
        <v>2242</v>
      </c>
      <c r="B1356" s="1" t="s">
        <v>4793</v>
      </c>
    </row>
    <row r="1357" spans="1:2" x14ac:dyDescent="0.25">
      <c r="A1357" s="1" t="s">
        <v>2243</v>
      </c>
      <c r="B1357" s="1" t="s">
        <v>4571</v>
      </c>
    </row>
    <row r="1358" spans="1:2" x14ac:dyDescent="0.25">
      <c r="A1358" s="1" t="s">
        <v>778</v>
      </c>
      <c r="B1358" s="1" t="s">
        <v>6092</v>
      </c>
    </row>
    <row r="1359" spans="1:2" x14ac:dyDescent="0.25">
      <c r="A1359" s="1" t="s">
        <v>2244</v>
      </c>
      <c r="B1359" s="1" t="s">
        <v>6093</v>
      </c>
    </row>
    <row r="1360" spans="1:2" x14ac:dyDescent="0.25">
      <c r="A1360" s="1" t="s">
        <v>2245</v>
      </c>
      <c r="B1360" s="1" t="s">
        <v>5116</v>
      </c>
    </row>
    <row r="1361" spans="1:2" x14ac:dyDescent="0.25">
      <c r="A1361" s="1" t="s">
        <v>2246</v>
      </c>
      <c r="B1361" s="1" t="s">
        <v>6094</v>
      </c>
    </row>
    <row r="1362" spans="1:2" x14ac:dyDescent="0.25">
      <c r="A1362" s="1" t="s">
        <v>2247</v>
      </c>
      <c r="B1362" s="1" t="s">
        <v>5688</v>
      </c>
    </row>
    <row r="1363" spans="1:2" x14ac:dyDescent="0.25">
      <c r="A1363" s="1" t="s">
        <v>2248</v>
      </c>
      <c r="B1363" s="1" t="s">
        <v>6095</v>
      </c>
    </row>
    <row r="1364" spans="1:2" x14ac:dyDescent="0.25">
      <c r="A1364" s="1" t="s">
        <v>2249</v>
      </c>
      <c r="B1364" s="1" t="s">
        <v>6096</v>
      </c>
    </row>
    <row r="1365" spans="1:2" x14ac:dyDescent="0.25">
      <c r="A1365" s="1" t="s">
        <v>2250</v>
      </c>
      <c r="B1365" s="1" t="s">
        <v>5097</v>
      </c>
    </row>
    <row r="1366" spans="1:2" x14ac:dyDescent="0.25">
      <c r="A1366" s="1" t="s">
        <v>2251</v>
      </c>
      <c r="B1366" s="1" t="s">
        <v>6097</v>
      </c>
    </row>
    <row r="1367" spans="1:2" x14ac:dyDescent="0.25">
      <c r="A1367" s="1" t="s">
        <v>2252</v>
      </c>
      <c r="B1367" s="1" t="s">
        <v>5466</v>
      </c>
    </row>
    <row r="1368" spans="1:2" x14ac:dyDescent="0.25">
      <c r="A1368" s="1" t="s">
        <v>2253</v>
      </c>
      <c r="B1368" s="1" t="s">
        <v>6098</v>
      </c>
    </row>
    <row r="1369" spans="1:2" x14ac:dyDescent="0.25">
      <c r="A1369" s="1" t="s">
        <v>2254</v>
      </c>
      <c r="B1369" s="1" t="s">
        <v>4979</v>
      </c>
    </row>
    <row r="1370" spans="1:2" x14ac:dyDescent="0.25">
      <c r="A1370" s="1" t="s">
        <v>2255</v>
      </c>
      <c r="B1370" s="1" t="s">
        <v>5206</v>
      </c>
    </row>
    <row r="1371" spans="1:2" x14ac:dyDescent="0.25">
      <c r="A1371" s="1" t="s">
        <v>2256</v>
      </c>
      <c r="B1371" s="1" t="s">
        <v>4751</v>
      </c>
    </row>
    <row r="1372" spans="1:2" x14ac:dyDescent="0.25">
      <c r="A1372" s="1" t="s">
        <v>2257</v>
      </c>
      <c r="B1372" s="1" t="s">
        <v>6099</v>
      </c>
    </row>
    <row r="1373" spans="1:2" x14ac:dyDescent="0.25">
      <c r="A1373" s="1" t="s">
        <v>2258</v>
      </c>
      <c r="B1373" s="1" t="s">
        <v>6100</v>
      </c>
    </row>
    <row r="1374" spans="1:2" x14ac:dyDescent="0.25">
      <c r="A1374" s="1" t="s">
        <v>2259</v>
      </c>
      <c r="B1374" s="1" t="s">
        <v>4804</v>
      </c>
    </row>
    <row r="1375" spans="1:2" x14ac:dyDescent="0.25">
      <c r="A1375" s="1" t="s">
        <v>2260</v>
      </c>
      <c r="B1375" s="1" t="s">
        <v>5449</v>
      </c>
    </row>
    <row r="1376" spans="1:2" x14ac:dyDescent="0.25">
      <c r="A1376" s="1" t="s">
        <v>2261</v>
      </c>
      <c r="B1376" s="1" t="s">
        <v>5966</v>
      </c>
    </row>
    <row r="1377" spans="1:2" x14ac:dyDescent="0.25">
      <c r="A1377" s="1" t="s">
        <v>2262</v>
      </c>
      <c r="B1377" s="1" t="s">
        <v>6101</v>
      </c>
    </row>
    <row r="1378" spans="1:2" x14ac:dyDescent="0.25">
      <c r="A1378" s="1" t="s">
        <v>2263</v>
      </c>
      <c r="B1378" s="1" t="s">
        <v>5926</v>
      </c>
    </row>
    <row r="1379" spans="1:2" x14ac:dyDescent="0.25">
      <c r="A1379" s="1" t="s">
        <v>2264</v>
      </c>
      <c r="B1379" s="1" t="s">
        <v>6102</v>
      </c>
    </row>
    <row r="1380" spans="1:2" x14ac:dyDescent="0.25">
      <c r="A1380" s="1" t="s">
        <v>2265</v>
      </c>
      <c r="B1380" s="1" t="s">
        <v>6103</v>
      </c>
    </row>
    <row r="1381" spans="1:2" x14ac:dyDescent="0.25">
      <c r="A1381" s="1" t="s">
        <v>2266</v>
      </c>
      <c r="B1381" s="1" t="s">
        <v>6104</v>
      </c>
    </row>
    <row r="1382" spans="1:2" x14ac:dyDescent="0.25">
      <c r="A1382" s="1" t="s">
        <v>2267</v>
      </c>
      <c r="B1382" s="1" t="s">
        <v>6105</v>
      </c>
    </row>
    <row r="1383" spans="1:2" x14ac:dyDescent="0.25">
      <c r="A1383" s="1" t="s">
        <v>2268</v>
      </c>
      <c r="B1383" s="1" t="s">
        <v>6106</v>
      </c>
    </row>
    <row r="1384" spans="1:2" x14ac:dyDescent="0.25">
      <c r="A1384" s="1" t="s">
        <v>2269</v>
      </c>
      <c r="B1384" s="1" t="s">
        <v>6107</v>
      </c>
    </row>
    <row r="1385" spans="1:2" x14ac:dyDescent="0.25">
      <c r="A1385" s="1" t="s">
        <v>2270</v>
      </c>
      <c r="B1385" s="1" t="s">
        <v>6108</v>
      </c>
    </row>
    <row r="1386" spans="1:2" x14ac:dyDescent="0.25">
      <c r="A1386" s="1" t="s">
        <v>2271</v>
      </c>
      <c r="B1386" s="1" t="s">
        <v>6109</v>
      </c>
    </row>
    <row r="1387" spans="1:2" x14ac:dyDescent="0.25">
      <c r="A1387" s="1" t="s">
        <v>4271</v>
      </c>
      <c r="B1387" s="1" t="s">
        <v>5241</v>
      </c>
    </row>
    <row r="1388" spans="1:2" x14ac:dyDescent="0.25">
      <c r="A1388" s="1" t="s">
        <v>2272</v>
      </c>
      <c r="B1388" s="1" t="s">
        <v>6110</v>
      </c>
    </row>
    <row r="1389" spans="1:2" x14ac:dyDescent="0.25">
      <c r="A1389" s="1" t="s">
        <v>2273</v>
      </c>
      <c r="B1389" s="1" t="s">
        <v>6111</v>
      </c>
    </row>
    <row r="1390" spans="1:2" x14ac:dyDescent="0.25">
      <c r="A1390" s="1" t="s">
        <v>2274</v>
      </c>
      <c r="B1390" s="1" t="s">
        <v>6112</v>
      </c>
    </row>
    <row r="1391" spans="1:2" x14ac:dyDescent="0.25">
      <c r="A1391" s="1" t="s">
        <v>2275</v>
      </c>
      <c r="B1391" s="1" t="s">
        <v>6113</v>
      </c>
    </row>
    <row r="1392" spans="1:2" x14ac:dyDescent="0.25">
      <c r="A1392" s="1" t="s">
        <v>2276</v>
      </c>
      <c r="B1392" s="1" t="s">
        <v>6114</v>
      </c>
    </row>
    <row r="1393" spans="1:2" x14ac:dyDescent="0.25">
      <c r="A1393" s="1" t="s">
        <v>2277</v>
      </c>
      <c r="B1393" s="1" t="s">
        <v>6115</v>
      </c>
    </row>
    <row r="1394" spans="1:2" x14ac:dyDescent="0.25">
      <c r="A1394" s="1" t="s">
        <v>2278</v>
      </c>
      <c r="B1394" s="1" t="s">
        <v>5692</v>
      </c>
    </row>
    <row r="1395" spans="1:2" x14ac:dyDescent="0.25">
      <c r="A1395" s="1" t="s">
        <v>2279</v>
      </c>
      <c r="B1395" s="1" t="s">
        <v>6116</v>
      </c>
    </row>
    <row r="1396" spans="1:2" x14ac:dyDescent="0.25">
      <c r="A1396" s="1" t="s">
        <v>2280</v>
      </c>
      <c r="B1396" s="1" t="s">
        <v>4880</v>
      </c>
    </row>
    <row r="1397" spans="1:2" x14ac:dyDescent="0.25">
      <c r="A1397" s="1" t="s">
        <v>2281</v>
      </c>
      <c r="B1397" s="1" t="s">
        <v>6117</v>
      </c>
    </row>
    <row r="1398" spans="1:2" x14ac:dyDescent="0.25">
      <c r="A1398" s="1" t="s">
        <v>2282</v>
      </c>
      <c r="B1398" s="1" t="s">
        <v>5362</v>
      </c>
    </row>
    <row r="1399" spans="1:2" x14ac:dyDescent="0.25">
      <c r="A1399" s="1" t="s">
        <v>2283</v>
      </c>
      <c r="B1399" s="1" t="s">
        <v>5573</v>
      </c>
    </row>
    <row r="1400" spans="1:2" x14ac:dyDescent="0.25">
      <c r="A1400" s="1" t="s">
        <v>2284</v>
      </c>
      <c r="B1400" s="1" t="s">
        <v>6118</v>
      </c>
    </row>
    <row r="1401" spans="1:2" x14ac:dyDescent="0.25">
      <c r="A1401" s="1" t="s">
        <v>2285</v>
      </c>
      <c r="B1401" s="1" t="s">
        <v>6008</v>
      </c>
    </row>
    <row r="1402" spans="1:2" x14ac:dyDescent="0.25">
      <c r="A1402" s="1" t="s">
        <v>2286</v>
      </c>
      <c r="B1402" s="1" t="s">
        <v>6119</v>
      </c>
    </row>
    <row r="1403" spans="1:2" x14ac:dyDescent="0.25">
      <c r="A1403" s="1" t="s">
        <v>2287</v>
      </c>
      <c r="B1403" s="1" t="s">
        <v>6120</v>
      </c>
    </row>
    <row r="1404" spans="1:2" x14ac:dyDescent="0.25">
      <c r="A1404" s="1" t="s">
        <v>2288</v>
      </c>
      <c r="B1404" s="1" t="s">
        <v>6121</v>
      </c>
    </row>
    <row r="1405" spans="1:2" x14ac:dyDescent="0.25">
      <c r="A1405" s="1" t="s">
        <v>2289</v>
      </c>
      <c r="B1405" s="1" t="s">
        <v>6122</v>
      </c>
    </row>
    <row r="1406" spans="1:2" x14ac:dyDescent="0.25">
      <c r="A1406" s="1" t="s">
        <v>2290</v>
      </c>
      <c r="B1406" s="1" t="s">
        <v>4644</v>
      </c>
    </row>
    <row r="1407" spans="1:2" x14ac:dyDescent="0.25">
      <c r="A1407" s="1" t="s">
        <v>2291</v>
      </c>
      <c r="B1407" s="1" t="s">
        <v>6123</v>
      </c>
    </row>
    <row r="1408" spans="1:2" x14ac:dyDescent="0.25">
      <c r="A1408" s="1" t="s">
        <v>2292</v>
      </c>
      <c r="B1408" s="1" t="s">
        <v>5182</v>
      </c>
    </row>
    <row r="1409" spans="1:2" x14ac:dyDescent="0.25">
      <c r="A1409" s="1" t="s">
        <v>2293</v>
      </c>
      <c r="B1409" s="1" t="s">
        <v>5651</v>
      </c>
    </row>
    <row r="1410" spans="1:2" x14ac:dyDescent="0.25">
      <c r="A1410" s="1" t="s">
        <v>2294</v>
      </c>
      <c r="B1410" s="1" t="s">
        <v>4622</v>
      </c>
    </row>
    <row r="1411" spans="1:2" x14ac:dyDescent="0.25">
      <c r="A1411" s="1" t="s">
        <v>2295</v>
      </c>
      <c r="B1411" s="1" t="s">
        <v>6124</v>
      </c>
    </row>
    <row r="1412" spans="1:2" x14ac:dyDescent="0.25">
      <c r="A1412" s="1" t="s">
        <v>2296</v>
      </c>
      <c r="B1412" s="1" t="s">
        <v>6125</v>
      </c>
    </row>
    <row r="1413" spans="1:2" x14ac:dyDescent="0.25">
      <c r="A1413" s="1" t="s">
        <v>2297</v>
      </c>
      <c r="B1413" s="1" t="s">
        <v>6126</v>
      </c>
    </row>
    <row r="1414" spans="1:2" x14ac:dyDescent="0.25">
      <c r="A1414" s="1" t="s">
        <v>2298</v>
      </c>
      <c r="B1414" s="1" t="s">
        <v>4798</v>
      </c>
    </row>
    <row r="1415" spans="1:2" x14ac:dyDescent="0.25">
      <c r="A1415" s="1" t="s">
        <v>2299</v>
      </c>
      <c r="B1415" s="1" t="s">
        <v>4749</v>
      </c>
    </row>
    <row r="1416" spans="1:2" x14ac:dyDescent="0.25">
      <c r="A1416" s="1" t="s">
        <v>2300</v>
      </c>
      <c r="B1416" s="1" t="s">
        <v>4966</v>
      </c>
    </row>
    <row r="1417" spans="1:2" x14ac:dyDescent="0.25">
      <c r="A1417" s="1" t="s">
        <v>2301</v>
      </c>
      <c r="B1417" s="1" t="s">
        <v>6127</v>
      </c>
    </row>
    <row r="1418" spans="1:2" x14ac:dyDescent="0.25">
      <c r="A1418" s="1" t="s">
        <v>2302</v>
      </c>
      <c r="B1418" s="1" t="s">
        <v>4509</v>
      </c>
    </row>
    <row r="1419" spans="1:2" x14ac:dyDescent="0.25">
      <c r="A1419" s="1" t="s">
        <v>2303</v>
      </c>
      <c r="B1419" s="1" t="s">
        <v>6128</v>
      </c>
    </row>
    <row r="1420" spans="1:2" x14ac:dyDescent="0.25">
      <c r="A1420" s="1" t="s">
        <v>2304</v>
      </c>
      <c r="B1420" s="1" t="s">
        <v>6129</v>
      </c>
    </row>
    <row r="1421" spans="1:2" x14ac:dyDescent="0.25">
      <c r="A1421" s="1" t="s">
        <v>2305</v>
      </c>
      <c r="B1421" s="1" t="s">
        <v>6130</v>
      </c>
    </row>
    <row r="1422" spans="1:2" x14ac:dyDescent="0.25">
      <c r="A1422" s="1" t="s">
        <v>2306</v>
      </c>
      <c r="B1422" s="1" t="s">
        <v>4612</v>
      </c>
    </row>
    <row r="1423" spans="1:2" x14ac:dyDescent="0.25">
      <c r="A1423" s="1" t="s">
        <v>2307</v>
      </c>
      <c r="B1423" s="1" t="s">
        <v>5362</v>
      </c>
    </row>
    <row r="1424" spans="1:2" x14ac:dyDescent="0.25">
      <c r="A1424" s="1" t="s">
        <v>2308</v>
      </c>
      <c r="B1424" s="1" t="s">
        <v>6131</v>
      </c>
    </row>
    <row r="1425" spans="1:2" x14ac:dyDescent="0.25">
      <c r="A1425" s="1" t="s">
        <v>2309</v>
      </c>
      <c r="B1425" s="1" t="s">
        <v>6132</v>
      </c>
    </row>
    <row r="1426" spans="1:2" x14ac:dyDescent="0.25">
      <c r="A1426" s="1" t="s">
        <v>2310</v>
      </c>
      <c r="B1426" s="1" t="s">
        <v>5947</v>
      </c>
    </row>
    <row r="1427" spans="1:2" x14ac:dyDescent="0.25">
      <c r="A1427" s="1" t="s">
        <v>2311</v>
      </c>
      <c r="B1427" s="1" t="s">
        <v>4698</v>
      </c>
    </row>
    <row r="1428" spans="1:2" x14ac:dyDescent="0.25">
      <c r="A1428" s="1" t="s">
        <v>2312</v>
      </c>
      <c r="B1428" s="1" t="s">
        <v>6133</v>
      </c>
    </row>
    <row r="1429" spans="1:2" x14ac:dyDescent="0.25">
      <c r="A1429" s="1" t="s">
        <v>2313</v>
      </c>
      <c r="B1429" s="1" t="s">
        <v>4448</v>
      </c>
    </row>
    <row r="1430" spans="1:2" x14ac:dyDescent="0.25">
      <c r="A1430" s="1" t="s">
        <v>2314</v>
      </c>
      <c r="B1430" s="1" t="s">
        <v>6134</v>
      </c>
    </row>
    <row r="1431" spans="1:2" x14ac:dyDescent="0.25">
      <c r="A1431" s="1" t="s">
        <v>2315</v>
      </c>
      <c r="B1431" s="1" t="s">
        <v>5487</v>
      </c>
    </row>
    <row r="1432" spans="1:2" x14ac:dyDescent="0.25">
      <c r="A1432" s="1" t="s">
        <v>2316</v>
      </c>
      <c r="B1432" s="1" t="s">
        <v>6135</v>
      </c>
    </row>
    <row r="1433" spans="1:2" x14ac:dyDescent="0.25">
      <c r="A1433" s="1" t="s">
        <v>2317</v>
      </c>
      <c r="B1433" s="1" t="s">
        <v>5460</v>
      </c>
    </row>
    <row r="1434" spans="1:2" x14ac:dyDescent="0.25">
      <c r="A1434" s="1" t="s">
        <v>2318</v>
      </c>
      <c r="B1434" s="1" t="s">
        <v>4866</v>
      </c>
    </row>
    <row r="1435" spans="1:2" x14ac:dyDescent="0.25">
      <c r="A1435" s="1" t="s">
        <v>2319</v>
      </c>
      <c r="B1435" s="1" t="s">
        <v>6136</v>
      </c>
    </row>
    <row r="1436" spans="1:2" x14ac:dyDescent="0.25">
      <c r="A1436" s="1" t="s">
        <v>2320</v>
      </c>
      <c r="B1436" s="1" t="s">
        <v>4947</v>
      </c>
    </row>
    <row r="1437" spans="1:2" x14ac:dyDescent="0.25">
      <c r="A1437" s="1" t="s">
        <v>2321</v>
      </c>
      <c r="B1437" s="1" t="s">
        <v>6137</v>
      </c>
    </row>
    <row r="1438" spans="1:2" x14ac:dyDescent="0.25">
      <c r="A1438" s="1" t="s">
        <v>2322</v>
      </c>
      <c r="B1438" s="1" t="s">
        <v>6138</v>
      </c>
    </row>
    <row r="1439" spans="1:2" x14ac:dyDescent="0.25">
      <c r="A1439" s="1" t="s">
        <v>2323</v>
      </c>
      <c r="B1439" s="1" t="s">
        <v>6139</v>
      </c>
    </row>
    <row r="1440" spans="1:2" x14ac:dyDescent="0.25">
      <c r="A1440" s="1" t="s">
        <v>2324</v>
      </c>
      <c r="B1440" s="1" t="s">
        <v>5351</v>
      </c>
    </row>
    <row r="1441" spans="1:2" x14ac:dyDescent="0.25">
      <c r="A1441" s="1" t="s">
        <v>2325</v>
      </c>
      <c r="B1441" s="1" t="s">
        <v>6140</v>
      </c>
    </row>
    <row r="1442" spans="1:2" x14ac:dyDescent="0.25">
      <c r="A1442" s="1" t="s">
        <v>2326</v>
      </c>
      <c r="B1442" s="1" t="s">
        <v>6141</v>
      </c>
    </row>
    <row r="1443" spans="1:2" x14ac:dyDescent="0.25">
      <c r="A1443" s="1" t="s">
        <v>2327</v>
      </c>
      <c r="B1443" s="1" t="s">
        <v>5246</v>
      </c>
    </row>
    <row r="1444" spans="1:2" x14ac:dyDescent="0.25">
      <c r="A1444" s="1" t="s">
        <v>2328</v>
      </c>
      <c r="B1444" s="1" t="s">
        <v>5495</v>
      </c>
    </row>
    <row r="1445" spans="1:2" x14ac:dyDescent="0.25">
      <c r="A1445" s="1" t="s">
        <v>2329</v>
      </c>
      <c r="B1445" s="1" t="s">
        <v>6142</v>
      </c>
    </row>
    <row r="1446" spans="1:2" x14ac:dyDescent="0.25">
      <c r="A1446" s="1" t="s">
        <v>2330</v>
      </c>
      <c r="B1446" s="1" t="s">
        <v>6143</v>
      </c>
    </row>
    <row r="1447" spans="1:2" x14ac:dyDescent="0.25">
      <c r="A1447" s="1" t="s">
        <v>2331</v>
      </c>
      <c r="B1447" s="1" t="s">
        <v>6144</v>
      </c>
    </row>
    <row r="1448" spans="1:2" x14ac:dyDescent="0.25">
      <c r="A1448" s="1" t="s">
        <v>4359</v>
      </c>
      <c r="B1448" s="1" t="s">
        <v>6145</v>
      </c>
    </row>
    <row r="1449" spans="1:2" x14ac:dyDescent="0.25">
      <c r="A1449" s="1" t="s">
        <v>2332</v>
      </c>
      <c r="B1449" s="1" t="s">
        <v>6146</v>
      </c>
    </row>
    <row r="1450" spans="1:2" x14ac:dyDescent="0.25">
      <c r="A1450" s="1" t="s">
        <v>2333</v>
      </c>
      <c r="B1450" s="1" t="s">
        <v>5979</v>
      </c>
    </row>
    <row r="1451" spans="1:2" x14ac:dyDescent="0.25">
      <c r="A1451" s="1" t="s">
        <v>2334</v>
      </c>
      <c r="B1451" s="1" t="s">
        <v>5521</v>
      </c>
    </row>
    <row r="1452" spans="1:2" x14ac:dyDescent="0.25">
      <c r="A1452" s="1" t="s">
        <v>2335</v>
      </c>
      <c r="B1452" s="1" t="s">
        <v>6147</v>
      </c>
    </row>
    <row r="1453" spans="1:2" x14ac:dyDescent="0.25">
      <c r="A1453" s="1" t="s">
        <v>2336</v>
      </c>
      <c r="B1453" s="1" t="s">
        <v>6148</v>
      </c>
    </row>
    <row r="1454" spans="1:2" x14ac:dyDescent="0.25">
      <c r="A1454" s="1" t="s">
        <v>2337</v>
      </c>
      <c r="B1454" s="1" t="s">
        <v>5487</v>
      </c>
    </row>
    <row r="1455" spans="1:2" x14ac:dyDescent="0.25">
      <c r="A1455" s="1" t="s">
        <v>2338</v>
      </c>
      <c r="B1455" s="1" t="s">
        <v>6149</v>
      </c>
    </row>
    <row r="1456" spans="1:2" x14ac:dyDescent="0.25">
      <c r="A1456" s="1" t="s">
        <v>2339</v>
      </c>
      <c r="B1456" s="1" t="s">
        <v>6150</v>
      </c>
    </row>
    <row r="1457" spans="1:2" x14ac:dyDescent="0.25">
      <c r="A1457" s="1" t="s">
        <v>2340</v>
      </c>
      <c r="B1457" s="1" t="s">
        <v>6151</v>
      </c>
    </row>
    <row r="1458" spans="1:2" x14ac:dyDescent="0.25">
      <c r="A1458" s="1" t="s">
        <v>2341</v>
      </c>
      <c r="B1458" s="1" t="s">
        <v>5543</v>
      </c>
    </row>
    <row r="1459" spans="1:2" x14ac:dyDescent="0.25">
      <c r="A1459" s="1" t="s">
        <v>2342</v>
      </c>
      <c r="B1459" s="1" t="s">
        <v>6152</v>
      </c>
    </row>
    <row r="1460" spans="1:2" x14ac:dyDescent="0.25">
      <c r="A1460" s="1" t="s">
        <v>2343</v>
      </c>
      <c r="B1460" s="1" t="s">
        <v>6153</v>
      </c>
    </row>
    <row r="1461" spans="1:2" x14ac:dyDescent="0.25">
      <c r="A1461" s="1" t="s">
        <v>2344</v>
      </c>
      <c r="B1461" s="1" t="s">
        <v>4752</v>
      </c>
    </row>
    <row r="1462" spans="1:2" x14ac:dyDescent="0.25">
      <c r="A1462" s="1" t="s">
        <v>2345</v>
      </c>
      <c r="B1462" s="1" t="s">
        <v>6154</v>
      </c>
    </row>
    <row r="1463" spans="1:2" x14ac:dyDescent="0.25">
      <c r="A1463" s="1" t="s">
        <v>2346</v>
      </c>
      <c r="B1463" s="1" t="s">
        <v>6155</v>
      </c>
    </row>
    <row r="1464" spans="1:2" x14ac:dyDescent="0.25">
      <c r="A1464" s="1" t="s">
        <v>2347</v>
      </c>
      <c r="B1464" s="1" t="s">
        <v>6156</v>
      </c>
    </row>
    <row r="1465" spans="1:2" x14ac:dyDescent="0.25">
      <c r="A1465" s="1" t="s">
        <v>2348</v>
      </c>
      <c r="B1465" s="1" t="s">
        <v>6157</v>
      </c>
    </row>
    <row r="1466" spans="1:2" x14ac:dyDescent="0.25">
      <c r="A1466" s="1" t="s">
        <v>2349</v>
      </c>
      <c r="B1466" s="1" t="s">
        <v>6158</v>
      </c>
    </row>
    <row r="1467" spans="1:2" x14ac:dyDescent="0.25">
      <c r="A1467" s="1" t="s">
        <v>2350</v>
      </c>
      <c r="B1467" s="1" t="s">
        <v>6159</v>
      </c>
    </row>
    <row r="1468" spans="1:2" x14ac:dyDescent="0.25">
      <c r="A1468" s="1" t="s">
        <v>2351</v>
      </c>
      <c r="B1468" s="1" t="s">
        <v>5242</v>
      </c>
    </row>
    <row r="1469" spans="1:2" x14ac:dyDescent="0.25">
      <c r="A1469" s="1" t="s">
        <v>2352</v>
      </c>
      <c r="B1469" s="1" t="s">
        <v>4646</v>
      </c>
    </row>
    <row r="1470" spans="1:2" x14ac:dyDescent="0.25">
      <c r="A1470" s="1" t="s">
        <v>2353</v>
      </c>
      <c r="B1470" s="1" t="s">
        <v>6044</v>
      </c>
    </row>
    <row r="1471" spans="1:2" x14ac:dyDescent="0.25">
      <c r="A1471" s="1" t="s">
        <v>2354</v>
      </c>
      <c r="B1471" s="1" t="s">
        <v>6160</v>
      </c>
    </row>
    <row r="1472" spans="1:2" x14ac:dyDescent="0.25">
      <c r="A1472" s="1" t="s">
        <v>2355</v>
      </c>
      <c r="B1472" s="1" t="s">
        <v>6111</v>
      </c>
    </row>
    <row r="1473" spans="1:2" x14ac:dyDescent="0.25">
      <c r="A1473" s="1" t="s">
        <v>2356</v>
      </c>
      <c r="B1473" s="1" t="s">
        <v>4776</v>
      </c>
    </row>
    <row r="1474" spans="1:2" x14ac:dyDescent="0.25">
      <c r="A1474" s="1" t="s">
        <v>2357</v>
      </c>
      <c r="B1474" s="1" t="s">
        <v>6161</v>
      </c>
    </row>
    <row r="1475" spans="1:2" x14ac:dyDescent="0.25">
      <c r="A1475" s="1" t="s">
        <v>2358</v>
      </c>
      <c r="B1475" s="1" t="s">
        <v>6162</v>
      </c>
    </row>
    <row r="1476" spans="1:2" x14ac:dyDescent="0.25">
      <c r="A1476" s="1" t="s">
        <v>2359</v>
      </c>
      <c r="B1476" s="1" t="s">
        <v>6163</v>
      </c>
    </row>
    <row r="1477" spans="1:2" x14ac:dyDescent="0.25">
      <c r="A1477" s="1" t="s">
        <v>2360</v>
      </c>
      <c r="B1477" s="1" t="s">
        <v>6164</v>
      </c>
    </row>
    <row r="1478" spans="1:2" x14ac:dyDescent="0.25">
      <c r="A1478" s="1" t="s">
        <v>2361</v>
      </c>
      <c r="B1478" s="1" t="s">
        <v>5339</v>
      </c>
    </row>
    <row r="1479" spans="1:2" x14ac:dyDescent="0.25">
      <c r="A1479" s="1" t="s">
        <v>2362</v>
      </c>
      <c r="B1479" s="1" t="s">
        <v>6165</v>
      </c>
    </row>
    <row r="1480" spans="1:2" x14ac:dyDescent="0.25">
      <c r="A1480" s="1" t="s">
        <v>2363</v>
      </c>
      <c r="B1480" s="1" t="s">
        <v>6166</v>
      </c>
    </row>
    <row r="1481" spans="1:2" x14ac:dyDescent="0.25">
      <c r="A1481" s="1" t="s">
        <v>2364</v>
      </c>
      <c r="B1481" s="1" t="s">
        <v>6167</v>
      </c>
    </row>
    <row r="1482" spans="1:2" x14ac:dyDescent="0.25">
      <c r="A1482" s="1" t="s">
        <v>2365</v>
      </c>
      <c r="B1482" s="1" t="s">
        <v>4647</v>
      </c>
    </row>
    <row r="1483" spans="1:2" x14ac:dyDescent="0.25">
      <c r="A1483" s="1" t="s">
        <v>2366</v>
      </c>
      <c r="B1483" s="1" t="s">
        <v>4708</v>
      </c>
    </row>
    <row r="1484" spans="1:2" x14ac:dyDescent="0.25">
      <c r="A1484" s="1" t="s">
        <v>2367</v>
      </c>
      <c r="B1484" s="1" t="s">
        <v>6168</v>
      </c>
    </row>
    <row r="1485" spans="1:2" x14ac:dyDescent="0.25">
      <c r="A1485" s="1" t="s">
        <v>2368</v>
      </c>
      <c r="B1485" s="1" t="s">
        <v>6169</v>
      </c>
    </row>
    <row r="1486" spans="1:2" x14ac:dyDescent="0.25">
      <c r="A1486" s="1" t="s">
        <v>2369</v>
      </c>
      <c r="B1486" s="1" t="s">
        <v>5098</v>
      </c>
    </row>
    <row r="1487" spans="1:2" x14ac:dyDescent="0.25">
      <c r="A1487" s="1" t="s">
        <v>2370</v>
      </c>
      <c r="B1487" s="1" t="s">
        <v>6170</v>
      </c>
    </row>
    <row r="1488" spans="1:2" x14ac:dyDescent="0.25">
      <c r="A1488" s="1" t="s">
        <v>2371</v>
      </c>
      <c r="B1488" s="1" t="s">
        <v>6171</v>
      </c>
    </row>
    <row r="1489" spans="1:2" x14ac:dyDescent="0.25">
      <c r="A1489" s="1" t="s">
        <v>2372</v>
      </c>
      <c r="B1489" s="1" t="s">
        <v>6172</v>
      </c>
    </row>
    <row r="1490" spans="1:2" x14ac:dyDescent="0.25">
      <c r="A1490" s="1" t="s">
        <v>2373</v>
      </c>
      <c r="B1490" s="1" t="s">
        <v>4393</v>
      </c>
    </row>
    <row r="1491" spans="1:2" x14ac:dyDescent="0.25">
      <c r="A1491" s="1" t="s">
        <v>2374</v>
      </c>
      <c r="B1491" s="1" t="s">
        <v>6173</v>
      </c>
    </row>
    <row r="1492" spans="1:2" x14ac:dyDescent="0.25">
      <c r="A1492" s="1" t="s">
        <v>2375</v>
      </c>
      <c r="B1492" s="1" t="s">
        <v>6174</v>
      </c>
    </row>
    <row r="1493" spans="1:2" x14ac:dyDescent="0.25">
      <c r="A1493" s="1" t="s">
        <v>2376</v>
      </c>
      <c r="B1493" s="1" t="s">
        <v>4625</v>
      </c>
    </row>
    <row r="1494" spans="1:2" x14ac:dyDescent="0.25">
      <c r="A1494" s="1" t="s">
        <v>2377</v>
      </c>
      <c r="B1494" s="1" t="s">
        <v>6175</v>
      </c>
    </row>
    <row r="1495" spans="1:2" x14ac:dyDescent="0.25">
      <c r="A1495" s="1" t="s">
        <v>2378</v>
      </c>
      <c r="B1495" s="1" t="s">
        <v>5441</v>
      </c>
    </row>
    <row r="1496" spans="1:2" x14ac:dyDescent="0.25">
      <c r="A1496" s="1" t="s">
        <v>2379</v>
      </c>
      <c r="B1496" s="1" t="s">
        <v>6176</v>
      </c>
    </row>
    <row r="1497" spans="1:2" x14ac:dyDescent="0.25">
      <c r="A1497" s="1" t="s">
        <v>2380</v>
      </c>
      <c r="B1497" s="1" t="s">
        <v>6177</v>
      </c>
    </row>
    <row r="1498" spans="1:2" x14ac:dyDescent="0.25">
      <c r="A1498" s="1" t="s">
        <v>2381</v>
      </c>
      <c r="B1498" s="1" t="s">
        <v>6178</v>
      </c>
    </row>
    <row r="1499" spans="1:2" x14ac:dyDescent="0.25">
      <c r="A1499" s="1" t="s">
        <v>2382</v>
      </c>
      <c r="B1499" s="1" t="s">
        <v>6179</v>
      </c>
    </row>
    <row r="1500" spans="1:2" x14ac:dyDescent="0.25">
      <c r="A1500" s="1" t="s">
        <v>2383</v>
      </c>
      <c r="B1500" s="1" t="s">
        <v>6180</v>
      </c>
    </row>
    <row r="1501" spans="1:2" x14ac:dyDescent="0.25">
      <c r="A1501" s="1" t="s">
        <v>2384</v>
      </c>
      <c r="B1501" s="1" t="s">
        <v>6181</v>
      </c>
    </row>
    <row r="1502" spans="1:2" x14ac:dyDescent="0.25">
      <c r="A1502" s="1" t="s">
        <v>2385</v>
      </c>
      <c r="B1502" s="1" t="s">
        <v>4887</v>
      </c>
    </row>
    <row r="1503" spans="1:2" x14ac:dyDescent="0.25">
      <c r="A1503" s="1" t="s">
        <v>2386</v>
      </c>
      <c r="B1503" s="1" t="s">
        <v>6182</v>
      </c>
    </row>
    <row r="1504" spans="1:2" x14ac:dyDescent="0.25">
      <c r="A1504" s="1" t="s">
        <v>2387</v>
      </c>
      <c r="B1504" s="1" t="s">
        <v>6183</v>
      </c>
    </row>
    <row r="1505" spans="1:2" x14ac:dyDescent="0.25">
      <c r="A1505" s="1" t="s">
        <v>2388</v>
      </c>
      <c r="B1505" s="1" t="s">
        <v>5299</v>
      </c>
    </row>
    <row r="1506" spans="1:2" x14ac:dyDescent="0.25">
      <c r="A1506" s="1" t="s">
        <v>2389</v>
      </c>
      <c r="B1506" s="1" t="s">
        <v>6184</v>
      </c>
    </row>
    <row r="1507" spans="1:2" x14ac:dyDescent="0.25">
      <c r="A1507" s="1" t="s">
        <v>2390</v>
      </c>
      <c r="B1507" s="1" t="s">
        <v>4549</v>
      </c>
    </row>
    <row r="1508" spans="1:2" x14ac:dyDescent="0.25">
      <c r="A1508" s="1" t="s">
        <v>2391</v>
      </c>
      <c r="B1508" s="1" t="s">
        <v>5405</v>
      </c>
    </row>
    <row r="1509" spans="1:2" x14ac:dyDescent="0.25">
      <c r="A1509" s="1" t="s">
        <v>2392</v>
      </c>
      <c r="B1509" s="1" t="s">
        <v>6185</v>
      </c>
    </row>
    <row r="1510" spans="1:2" x14ac:dyDescent="0.25">
      <c r="A1510" s="1" t="s">
        <v>2393</v>
      </c>
      <c r="B1510" s="1" t="s">
        <v>6186</v>
      </c>
    </row>
    <row r="1511" spans="1:2" x14ac:dyDescent="0.25">
      <c r="A1511" s="1" t="s">
        <v>2394</v>
      </c>
      <c r="B1511" s="1" t="s">
        <v>6187</v>
      </c>
    </row>
    <row r="1512" spans="1:2" x14ac:dyDescent="0.25">
      <c r="A1512" s="1" t="s">
        <v>2395</v>
      </c>
      <c r="B1512" s="1" t="s">
        <v>6188</v>
      </c>
    </row>
    <row r="1513" spans="1:2" x14ac:dyDescent="0.25">
      <c r="A1513" s="1" t="s">
        <v>2396</v>
      </c>
      <c r="B1513" s="1" t="s">
        <v>4790</v>
      </c>
    </row>
    <row r="1514" spans="1:2" x14ac:dyDescent="0.25">
      <c r="A1514" s="1" t="s">
        <v>2397</v>
      </c>
      <c r="B1514" s="1" t="s">
        <v>6189</v>
      </c>
    </row>
    <row r="1515" spans="1:2" x14ac:dyDescent="0.25">
      <c r="A1515" s="1" t="s">
        <v>2398</v>
      </c>
      <c r="B1515" s="1" t="s">
        <v>6190</v>
      </c>
    </row>
    <row r="1516" spans="1:2" x14ac:dyDescent="0.25">
      <c r="A1516" s="1" t="s">
        <v>2399</v>
      </c>
      <c r="B1516" s="1" t="s">
        <v>6191</v>
      </c>
    </row>
    <row r="1517" spans="1:2" x14ac:dyDescent="0.25">
      <c r="A1517" s="1" t="s">
        <v>2400</v>
      </c>
      <c r="B1517" s="1" t="s">
        <v>6192</v>
      </c>
    </row>
    <row r="1518" spans="1:2" x14ac:dyDescent="0.25">
      <c r="A1518" s="1" t="s">
        <v>2401</v>
      </c>
      <c r="B1518" s="1" t="s">
        <v>4650</v>
      </c>
    </row>
    <row r="1519" spans="1:2" x14ac:dyDescent="0.25">
      <c r="A1519" s="1" t="s">
        <v>2402</v>
      </c>
      <c r="B1519" s="1" t="s">
        <v>4968</v>
      </c>
    </row>
    <row r="1520" spans="1:2" x14ac:dyDescent="0.25">
      <c r="A1520" s="1" t="s">
        <v>2403</v>
      </c>
      <c r="B1520" s="1" t="s">
        <v>6193</v>
      </c>
    </row>
    <row r="1521" spans="1:2" x14ac:dyDescent="0.25">
      <c r="A1521" s="1" t="s">
        <v>2404</v>
      </c>
      <c r="B1521" s="1" t="s">
        <v>6194</v>
      </c>
    </row>
    <row r="1522" spans="1:2" x14ac:dyDescent="0.25">
      <c r="A1522" s="1" t="s">
        <v>2405</v>
      </c>
      <c r="B1522" s="1" t="s">
        <v>5873</v>
      </c>
    </row>
    <row r="1523" spans="1:2" x14ac:dyDescent="0.25">
      <c r="A1523" s="1" t="s">
        <v>2406</v>
      </c>
      <c r="B1523" s="1" t="s">
        <v>6195</v>
      </c>
    </row>
    <row r="1524" spans="1:2" x14ac:dyDescent="0.25">
      <c r="A1524" s="1" t="s">
        <v>2407</v>
      </c>
      <c r="B1524" s="1" t="s">
        <v>4809</v>
      </c>
    </row>
    <row r="1525" spans="1:2" x14ac:dyDescent="0.25">
      <c r="A1525" s="1" t="s">
        <v>2408</v>
      </c>
      <c r="B1525" s="1" t="s">
        <v>6196</v>
      </c>
    </row>
    <row r="1526" spans="1:2" x14ac:dyDescent="0.25">
      <c r="A1526" s="1" t="s">
        <v>2409</v>
      </c>
      <c r="B1526" s="1" t="s">
        <v>5599</v>
      </c>
    </row>
    <row r="1527" spans="1:2" x14ac:dyDescent="0.25">
      <c r="A1527" s="1" t="s">
        <v>2410</v>
      </c>
      <c r="B1527" s="1" t="s">
        <v>4651</v>
      </c>
    </row>
    <row r="1528" spans="1:2" x14ac:dyDescent="0.25">
      <c r="A1528" s="1" t="s">
        <v>2411</v>
      </c>
      <c r="B1528" s="1" t="s">
        <v>4597</v>
      </c>
    </row>
    <row r="1529" spans="1:2" x14ac:dyDescent="0.25">
      <c r="A1529" s="1" t="s">
        <v>2412</v>
      </c>
      <c r="B1529" s="1" t="s">
        <v>5828</v>
      </c>
    </row>
    <row r="1530" spans="1:2" x14ac:dyDescent="0.25">
      <c r="A1530" s="1" t="s">
        <v>2413</v>
      </c>
      <c r="B1530" s="1" t="s">
        <v>5592</v>
      </c>
    </row>
    <row r="1531" spans="1:2" x14ac:dyDescent="0.25">
      <c r="A1531" s="1" t="s">
        <v>2414</v>
      </c>
      <c r="B1531" s="1" t="s">
        <v>6197</v>
      </c>
    </row>
    <row r="1532" spans="1:2" x14ac:dyDescent="0.25">
      <c r="A1532" s="1" t="s">
        <v>2415</v>
      </c>
      <c r="B1532" s="1" t="s">
        <v>6198</v>
      </c>
    </row>
    <row r="1533" spans="1:2" x14ac:dyDescent="0.25">
      <c r="A1533" s="1" t="s">
        <v>2416</v>
      </c>
      <c r="B1533" s="1" t="s">
        <v>5721</v>
      </c>
    </row>
    <row r="1534" spans="1:2" x14ac:dyDescent="0.25">
      <c r="A1534" s="1" t="s">
        <v>2417</v>
      </c>
      <c r="B1534" s="1" t="s">
        <v>6199</v>
      </c>
    </row>
    <row r="1535" spans="1:2" x14ac:dyDescent="0.25">
      <c r="A1535" s="1" t="s">
        <v>2418</v>
      </c>
      <c r="B1535" s="1" t="s">
        <v>4816</v>
      </c>
    </row>
    <row r="1536" spans="1:2" x14ac:dyDescent="0.25">
      <c r="A1536" s="1" t="s">
        <v>2419</v>
      </c>
      <c r="B1536" s="1" t="s">
        <v>6200</v>
      </c>
    </row>
    <row r="1537" spans="1:2" x14ac:dyDescent="0.25">
      <c r="A1537" s="1" t="s">
        <v>2420</v>
      </c>
      <c r="B1537" s="1" t="s">
        <v>5487</v>
      </c>
    </row>
    <row r="1538" spans="1:2" x14ac:dyDescent="0.25">
      <c r="A1538" s="1" t="s">
        <v>2421</v>
      </c>
      <c r="B1538" s="1" t="s">
        <v>6201</v>
      </c>
    </row>
    <row r="1539" spans="1:2" x14ac:dyDescent="0.25">
      <c r="A1539" s="1" t="s">
        <v>2422</v>
      </c>
      <c r="B1539" s="1" t="s">
        <v>6202</v>
      </c>
    </row>
    <row r="1540" spans="1:2" x14ac:dyDescent="0.25">
      <c r="A1540" s="1" t="s">
        <v>2423</v>
      </c>
      <c r="B1540" s="1" t="s">
        <v>6203</v>
      </c>
    </row>
    <row r="1541" spans="1:2" x14ac:dyDescent="0.25">
      <c r="A1541" s="1" t="s">
        <v>2424</v>
      </c>
      <c r="B1541" s="1" t="s">
        <v>6204</v>
      </c>
    </row>
    <row r="1542" spans="1:2" x14ac:dyDescent="0.25">
      <c r="A1542" s="1" t="s">
        <v>2425</v>
      </c>
      <c r="B1542" s="1" t="s">
        <v>4757</v>
      </c>
    </row>
    <row r="1543" spans="1:2" x14ac:dyDescent="0.25">
      <c r="A1543" s="1" t="s">
        <v>2426</v>
      </c>
      <c r="B1543" s="1" t="s">
        <v>4652</v>
      </c>
    </row>
    <row r="1544" spans="1:2" x14ac:dyDescent="0.25">
      <c r="A1544" s="1" t="s">
        <v>2427</v>
      </c>
      <c r="B1544" s="1" t="s">
        <v>6205</v>
      </c>
    </row>
    <row r="1545" spans="1:2" x14ac:dyDescent="0.25">
      <c r="A1545" s="1" t="s">
        <v>2428</v>
      </c>
      <c r="B1545" s="1" t="s">
        <v>6206</v>
      </c>
    </row>
    <row r="1546" spans="1:2" x14ac:dyDescent="0.25">
      <c r="A1546" s="1" t="s">
        <v>2429</v>
      </c>
      <c r="B1546" s="1" t="s">
        <v>6207</v>
      </c>
    </row>
    <row r="1547" spans="1:2" x14ac:dyDescent="0.25">
      <c r="A1547" s="1" t="s">
        <v>2430</v>
      </c>
      <c r="B1547" s="1" t="s">
        <v>4603</v>
      </c>
    </row>
    <row r="1548" spans="1:2" x14ac:dyDescent="0.25">
      <c r="A1548" s="1" t="s">
        <v>2431</v>
      </c>
      <c r="B1548" s="1" t="s">
        <v>6208</v>
      </c>
    </row>
    <row r="1549" spans="1:2" x14ac:dyDescent="0.25">
      <c r="A1549" s="1" t="s">
        <v>2432</v>
      </c>
      <c r="B1549" s="1" t="s">
        <v>4609</v>
      </c>
    </row>
    <row r="1550" spans="1:2" x14ac:dyDescent="0.25">
      <c r="A1550" s="1" t="s">
        <v>2433</v>
      </c>
      <c r="B1550" s="1" t="s">
        <v>5650</v>
      </c>
    </row>
    <row r="1551" spans="1:2" x14ac:dyDescent="0.25">
      <c r="A1551" s="1" t="s">
        <v>2434</v>
      </c>
      <c r="B1551" s="1" t="s">
        <v>6209</v>
      </c>
    </row>
    <row r="1552" spans="1:2" x14ac:dyDescent="0.25">
      <c r="A1552" s="1" t="s">
        <v>2435</v>
      </c>
      <c r="B1552" s="1" t="s">
        <v>4808</v>
      </c>
    </row>
    <row r="1553" spans="1:2" x14ac:dyDescent="0.25">
      <c r="A1553" s="1" t="s">
        <v>2436</v>
      </c>
      <c r="B1553" s="1" t="s">
        <v>5275</v>
      </c>
    </row>
    <row r="1554" spans="1:2" x14ac:dyDescent="0.25">
      <c r="A1554" s="1" t="s">
        <v>2437</v>
      </c>
      <c r="B1554" s="1" t="s">
        <v>6210</v>
      </c>
    </row>
    <row r="1555" spans="1:2" x14ac:dyDescent="0.25">
      <c r="A1555" s="1" t="s">
        <v>2438</v>
      </c>
      <c r="B1555" s="1" t="s">
        <v>6211</v>
      </c>
    </row>
    <row r="1556" spans="1:2" x14ac:dyDescent="0.25">
      <c r="A1556" s="1" t="s">
        <v>2439</v>
      </c>
      <c r="B1556" s="1" t="s">
        <v>6212</v>
      </c>
    </row>
    <row r="1557" spans="1:2" x14ac:dyDescent="0.25">
      <c r="A1557" s="1" t="s">
        <v>2440</v>
      </c>
      <c r="B1557" s="1" t="s">
        <v>6047</v>
      </c>
    </row>
    <row r="1558" spans="1:2" x14ac:dyDescent="0.25">
      <c r="A1558" s="1" t="s">
        <v>2441</v>
      </c>
      <c r="B1558" s="1" t="s">
        <v>6213</v>
      </c>
    </row>
    <row r="1559" spans="1:2" x14ac:dyDescent="0.25">
      <c r="A1559" s="1" t="s">
        <v>2442</v>
      </c>
      <c r="B1559" s="1" t="s">
        <v>6214</v>
      </c>
    </row>
    <row r="1560" spans="1:2" x14ac:dyDescent="0.25">
      <c r="A1560" s="1" t="s">
        <v>2443</v>
      </c>
      <c r="B1560" s="1" t="s">
        <v>5435</v>
      </c>
    </row>
    <row r="1561" spans="1:2" x14ac:dyDescent="0.25">
      <c r="A1561" s="1" t="s">
        <v>2444</v>
      </c>
      <c r="B1561" s="1" t="s">
        <v>4364</v>
      </c>
    </row>
    <row r="1562" spans="1:2" x14ac:dyDescent="0.25">
      <c r="A1562" s="1" t="s">
        <v>2445</v>
      </c>
      <c r="B1562" s="1" t="s">
        <v>6215</v>
      </c>
    </row>
    <row r="1563" spans="1:2" x14ac:dyDescent="0.25">
      <c r="A1563" s="1" t="s">
        <v>2446</v>
      </c>
      <c r="B1563" s="1" t="s">
        <v>5303</v>
      </c>
    </row>
    <row r="1564" spans="1:2" x14ac:dyDescent="0.25">
      <c r="A1564" s="1" t="s">
        <v>2447</v>
      </c>
      <c r="B1564" s="1" t="s">
        <v>6216</v>
      </c>
    </row>
    <row r="1565" spans="1:2" x14ac:dyDescent="0.25">
      <c r="A1565" s="1" t="s">
        <v>2448</v>
      </c>
      <c r="B1565" s="1" t="s">
        <v>6217</v>
      </c>
    </row>
    <row r="1566" spans="1:2" x14ac:dyDescent="0.25">
      <c r="A1566" s="1" t="s">
        <v>2449</v>
      </c>
      <c r="B1566" s="1" t="s">
        <v>6218</v>
      </c>
    </row>
    <row r="1567" spans="1:2" x14ac:dyDescent="0.25">
      <c r="A1567" s="1" t="s">
        <v>2450</v>
      </c>
      <c r="B1567" s="1" t="s">
        <v>6219</v>
      </c>
    </row>
    <row r="1568" spans="1:2" x14ac:dyDescent="0.25">
      <c r="A1568" s="1" t="s">
        <v>2451</v>
      </c>
      <c r="B1568" s="1" t="s">
        <v>6220</v>
      </c>
    </row>
    <row r="1569" spans="1:2" x14ac:dyDescent="0.25">
      <c r="A1569" s="1" t="s">
        <v>2452</v>
      </c>
      <c r="B1569" s="1" t="s">
        <v>5726</v>
      </c>
    </row>
    <row r="1570" spans="1:2" x14ac:dyDescent="0.25">
      <c r="A1570" s="1" t="s">
        <v>2453</v>
      </c>
      <c r="B1570" s="1" t="s">
        <v>6221</v>
      </c>
    </row>
    <row r="1571" spans="1:2" x14ac:dyDescent="0.25">
      <c r="A1571" s="1" t="s">
        <v>2454</v>
      </c>
      <c r="B1571" s="1" t="s">
        <v>5488</v>
      </c>
    </row>
    <row r="1572" spans="1:2" x14ac:dyDescent="0.25">
      <c r="A1572" s="1" t="s">
        <v>2455</v>
      </c>
      <c r="B1572" s="1" t="s">
        <v>5451</v>
      </c>
    </row>
    <row r="1573" spans="1:2" x14ac:dyDescent="0.25">
      <c r="A1573" s="1" t="s">
        <v>2456</v>
      </c>
      <c r="B1573" s="1" t="s">
        <v>6222</v>
      </c>
    </row>
    <row r="1574" spans="1:2" x14ac:dyDescent="0.25">
      <c r="A1574" s="1" t="s">
        <v>2457</v>
      </c>
      <c r="B1574" s="1" t="s">
        <v>5261</v>
      </c>
    </row>
    <row r="1575" spans="1:2" x14ac:dyDescent="0.25">
      <c r="A1575" s="1" t="s">
        <v>2458</v>
      </c>
      <c r="B1575" s="1" t="s">
        <v>4966</v>
      </c>
    </row>
    <row r="1576" spans="1:2" x14ac:dyDescent="0.25">
      <c r="A1576" s="1" t="s">
        <v>2459</v>
      </c>
      <c r="B1576" s="1" t="s">
        <v>6115</v>
      </c>
    </row>
    <row r="1577" spans="1:2" x14ac:dyDescent="0.25">
      <c r="A1577" s="1" t="s">
        <v>2460</v>
      </c>
      <c r="B1577" s="1" t="s">
        <v>6223</v>
      </c>
    </row>
    <row r="1578" spans="1:2" x14ac:dyDescent="0.25">
      <c r="A1578" s="1" t="s">
        <v>2461</v>
      </c>
      <c r="B1578" s="1" t="s">
        <v>6224</v>
      </c>
    </row>
    <row r="1579" spans="1:2" x14ac:dyDescent="0.25">
      <c r="A1579" s="1" t="s">
        <v>2462</v>
      </c>
      <c r="B1579" s="1" t="s">
        <v>6225</v>
      </c>
    </row>
    <row r="1580" spans="1:2" x14ac:dyDescent="0.25">
      <c r="A1580" s="1" t="s">
        <v>2463</v>
      </c>
      <c r="B1580" s="1" t="s">
        <v>6226</v>
      </c>
    </row>
    <row r="1581" spans="1:2" x14ac:dyDescent="0.25">
      <c r="A1581" s="1" t="s">
        <v>2464</v>
      </c>
      <c r="B1581" s="1" t="s">
        <v>4361</v>
      </c>
    </row>
    <row r="1582" spans="1:2" x14ac:dyDescent="0.25">
      <c r="A1582" s="1" t="s">
        <v>2465</v>
      </c>
      <c r="B1582" s="1" t="s">
        <v>6160</v>
      </c>
    </row>
    <row r="1583" spans="1:2" x14ac:dyDescent="0.25">
      <c r="A1583" s="1" t="s">
        <v>2466</v>
      </c>
      <c r="B1583" s="1" t="s">
        <v>6078</v>
      </c>
    </row>
    <row r="1584" spans="1:2" x14ac:dyDescent="0.25">
      <c r="A1584" s="1" t="s">
        <v>2467</v>
      </c>
      <c r="B1584" s="1" t="s">
        <v>6227</v>
      </c>
    </row>
    <row r="1585" spans="1:2" x14ac:dyDescent="0.25">
      <c r="A1585" s="1" t="s">
        <v>2468</v>
      </c>
      <c r="B1585" s="1" t="s">
        <v>6228</v>
      </c>
    </row>
    <row r="1586" spans="1:2" x14ac:dyDescent="0.25">
      <c r="A1586" s="1" t="s">
        <v>2469</v>
      </c>
      <c r="B1586" s="1" t="s">
        <v>6216</v>
      </c>
    </row>
    <row r="1587" spans="1:2" x14ac:dyDescent="0.25">
      <c r="A1587" s="1" t="s">
        <v>2470</v>
      </c>
      <c r="B1587" s="1" t="s">
        <v>6229</v>
      </c>
    </row>
    <row r="1588" spans="1:2" x14ac:dyDescent="0.25">
      <c r="A1588" s="1" t="s">
        <v>2471</v>
      </c>
      <c r="B1588" s="1" t="s">
        <v>4735</v>
      </c>
    </row>
    <row r="1589" spans="1:2" x14ac:dyDescent="0.25">
      <c r="A1589" s="1" t="s">
        <v>2472</v>
      </c>
      <c r="B1589" s="1" t="s">
        <v>6230</v>
      </c>
    </row>
    <row r="1590" spans="1:2" x14ac:dyDescent="0.25">
      <c r="A1590" s="1" t="s">
        <v>2473</v>
      </c>
      <c r="B1590" s="1" t="s">
        <v>6231</v>
      </c>
    </row>
    <row r="1591" spans="1:2" x14ac:dyDescent="0.25">
      <c r="A1591" s="1" t="s">
        <v>2474</v>
      </c>
      <c r="B1591" s="1" t="s">
        <v>4839</v>
      </c>
    </row>
    <row r="1592" spans="1:2" x14ac:dyDescent="0.25">
      <c r="A1592" s="1" t="s">
        <v>2475</v>
      </c>
      <c r="B1592" s="1" t="s">
        <v>6232</v>
      </c>
    </row>
    <row r="1593" spans="1:2" x14ac:dyDescent="0.25">
      <c r="A1593" s="1" t="s">
        <v>2476</v>
      </c>
      <c r="B1593" s="1" t="s">
        <v>4762</v>
      </c>
    </row>
    <row r="1594" spans="1:2" x14ac:dyDescent="0.25">
      <c r="A1594" s="1" t="s">
        <v>2477</v>
      </c>
      <c r="B1594" s="1" t="s">
        <v>6233</v>
      </c>
    </row>
    <row r="1595" spans="1:2" x14ac:dyDescent="0.25">
      <c r="A1595" s="1" t="s">
        <v>2478</v>
      </c>
      <c r="B1595" s="1" t="s">
        <v>6234</v>
      </c>
    </row>
    <row r="1596" spans="1:2" x14ac:dyDescent="0.25">
      <c r="A1596" s="1" t="s">
        <v>2479</v>
      </c>
      <c r="B1596" s="1" t="s">
        <v>5368</v>
      </c>
    </row>
    <row r="1597" spans="1:2" x14ac:dyDescent="0.25">
      <c r="A1597" s="1" t="s">
        <v>2480</v>
      </c>
      <c r="B1597" s="1" t="s">
        <v>4845</v>
      </c>
    </row>
    <row r="1598" spans="1:2" x14ac:dyDescent="0.25">
      <c r="A1598" s="1" t="s">
        <v>2481</v>
      </c>
      <c r="B1598" s="1" t="s">
        <v>4424</v>
      </c>
    </row>
    <row r="1599" spans="1:2" x14ac:dyDescent="0.25">
      <c r="A1599" s="1" t="s">
        <v>2482</v>
      </c>
      <c r="B1599" s="1" t="s">
        <v>6235</v>
      </c>
    </row>
    <row r="1600" spans="1:2" x14ac:dyDescent="0.25">
      <c r="A1600" s="1" t="s">
        <v>2483</v>
      </c>
      <c r="B1600" s="1" t="s">
        <v>6236</v>
      </c>
    </row>
    <row r="1601" spans="1:2" x14ac:dyDescent="0.25">
      <c r="A1601" s="1" t="s">
        <v>2484</v>
      </c>
      <c r="B1601" s="1" t="s">
        <v>6237</v>
      </c>
    </row>
    <row r="1602" spans="1:2" x14ac:dyDescent="0.25">
      <c r="A1602" s="1" t="s">
        <v>2485</v>
      </c>
      <c r="B1602" s="1" t="s">
        <v>6142</v>
      </c>
    </row>
    <row r="1603" spans="1:2" x14ac:dyDescent="0.25">
      <c r="A1603" s="1" t="s">
        <v>2486</v>
      </c>
      <c r="B1603" s="1" t="s">
        <v>5606</v>
      </c>
    </row>
    <row r="1604" spans="1:2" x14ac:dyDescent="0.25">
      <c r="A1604" s="1" t="s">
        <v>2487</v>
      </c>
      <c r="B1604" s="1" t="s">
        <v>6238</v>
      </c>
    </row>
    <row r="1605" spans="1:2" x14ac:dyDescent="0.25">
      <c r="A1605" s="1" t="s">
        <v>2488</v>
      </c>
      <c r="B1605" s="1" t="s">
        <v>6239</v>
      </c>
    </row>
    <row r="1606" spans="1:2" x14ac:dyDescent="0.25">
      <c r="A1606" s="1" t="s">
        <v>2489</v>
      </c>
      <c r="B1606" s="1" t="s">
        <v>6240</v>
      </c>
    </row>
    <row r="1607" spans="1:2" x14ac:dyDescent="0.25">
      <c r="A1607" s="1" t="s">
        <v>2490</v>
      </c>
      <c r="B1607" s="1" t="s">
        <v>4974</v>
      </c>
    </row>
    <row r="1608" spans="1:2" x14ac:dyDescent="0.25">
      <c r="A1608" s="1" t="s">
        <v>2491</v>
      </c>
      <c r="B1608" s="1" t="s">
        <v>6241</v>
      </c>
    </row>
    <row r="1609" spans="1:2" x14ac:dyDescent="0.25">
      <c r="A1609" s="1" t="s">
        <v>2492</v>
      </c>
      <c r="B1609" s="1" t="s">
        <v>6242</v>
      </c>
    </row>
    <row r="1610" spans="1:2" x14ac:dyDescent="0.25">
      <c r="A1610" s="1" t="s">
        <v>2493</v>
      </c>
      <c r="B1610" s="1" t="s">
        <v>6243</v>
      </c>
    </row>
    <row r="1611" spans="1:2" x14ac:dyDescent="0.25">
      <c r="A1611" s="1" t="s">
        <v>2494</v>
      </c>
      <c r="B1611" s="1" t="s">
        <v>6138</v>
      </c>
    </row>
    <row r="1612" spans="1:2" x14ac:dyDescent="0.25">
      <c r="A1612" s="1" t="s">
        <v>2495</v>
      </c>
      <c r="B1612" s="1" t="s">
        <v>6244</v>
      </c>
    </row>
    <row r="1613" spans="1:2" x14ac:dyDescent="0.25">
      <c r="A1613" s="1" t="s">
        <v>2496</v>
      </c>
      <c r="B1613" s="1" t="s">
        <v>6245</v>
      </c>
    </row>
    <row r="1614" spans="1:2" x14ac:dyDescent="0.25">
      <c r="A1614" s="1" t="s">
        <v>2497</v>
      </c>
      <c r="B1614" s="1" t="s">
        <v>6246</v>
      </c>
    </row>
    <row r="1615" spans="1:2" x14ac:dyDescent="0.25">
      <c r="A1615" s="1" t="s">
        <v>2498</v>
      </c>
      <c r="B1615" s="1" t="s">
        <v>4508</v>
      </c>
    </row>
    <row r="1616" spans="1:2" x14ac:dyDescent="0.25">
      <c r="A1616" s="1" t="s">
        <v>2499</v>
      </c>
      <c r="B1616" s="1" t="s">
        <v>6247</v>
      </c>
    </row>
    <row r="1617" spans="1:2" x14ac:dyDescent="0.25">
      <c r="A1617" s="1" t="s">
        <v>2500</v>
      </c>
      <c r="B1617" s="1" t="s">
        <v>6248</v>
      </c>
    </row>
    <row r="1618" spans="1:2" x14ac:dyDescent="0.25">
      <c r="A1618" s="1" t="s">
        <v>2501</v>
      </c>
      <c r="B1618" s="1" t="s">
        <v>5969</v>
      </c>
    </row>
    <row r="1619" spans="1:2" x14ac:dyDescent="0.25">
      <c r="A1619" s="1" t="s">
        <v>2502</v>
      </c>
      <c r="B1619" s="1" t="s">
        <v>5460</v>
      </c>
    </row>
    <row r="1620" spans="1:2" x14ac:dyDescent="0.25">
      <c r="A1620" s="1" t="s">
        <v>2503</v>
      </c>
      <c r="B1620" s="1" t="s">
        <v>4880</v>
      </c>
    </row>
    <row r="1621" spans="1:2" x14ac:dyDescent="0.25">
      <c r="A1621" s="1" t="s">
        <v>2504</v>
      </c>
      <c r="B1621" s="1" t="s">
        <v>5246</v>
      </c>
    </row>
    <row r="1622" spans="1:2" x14ac:dyDescent="0.25">
      <c r="A1622" s="1" t="s">
        <v>2505</v>
      </c>
      <c r="B1622" s="1" t="s">
        <v>6249</v>
      </c>
    </row>
    <row r="1623" spans="1:2" x14ac:dyDescent="0.25">
      <c r="A1623" s="1" t="s">
        <v>2506</v>
      </c>
      <c r="B1623" s="1" t="s">
        <v>5430</v>
      </c>
    </row>
    <row r="1624" spans="1:2" x14ac:dyDescent="0.25">
      <c r="A1624" s="1" t="s">
        <v>2507</v>
      </c>
      <c r="B1624" s="1" t="s">
        <v>4254</v>
      </c>
    </row>
    <row r="1625" spans="1:2" x14ac:dyDescent="0.25">
      <c r="A1625" s="1" t="s">
        <v>2508</v>
      </c>
      <c r="B1625" s="1" t="s">
        <v>6250</v>
      </c>
    </row>
    <row r="1626" spans="1:2" x14ac:dyDescent="0.25">
      <c r="A1626" s="1" t="s">
        <v>2509</v>
      </c>
      <c r="B1626" s="1" t="s">
        <v>6251</v>
      </c>
    </row>
    <row r="1627" spans="1:2" x14ac:dyDescent="0.25">
      <c r="A1627" s="1" t="s">
        <v>2510</v>
      </c>
      <c r="B1627" s="1" t="s">
        <v>6252</v>
      </c>
    </row>
    <row r="1628" spans="1:2" x14ac:dyDescent="0.25">
      <c r="A1628" s="1" t="s">
        <v>2511</v>
      </c>
      <c r="B1628" s="1" t="s">
        <v>4986</v>
      </c>
    </row>
    <row r="1629" spans="1:2" x14ac:dyDescent="0.25">
      <c r="A1629" s="1" t="s">
        <v>2512</v>
      </c>
      <c r="B1629" s="1" t="s">
        <v>6253</v>
      </c>
    </row>
    <row r="1630" spans="1:2" x14ac:dyDescent="0.25">
      <c r="A1630" s="1" t="s">
        <v>2513</v>
      </c>
      <c r="B1630" s="1" t="s">
        <v>4631</v>
      </c>
    </row>
    <row r="1631" spans="1:2" x14ac:dyDescent="0.25">
      <c r="A1631" s="1" t="s">
        <v>2514</v>
      </c>
      <c r="B1631" s="1" t="s">
        <v>6254</v>
      </c>
    </row>
    <row r="1632" spans="1:2" x14ac:dyDescent="0.25">
      <c r="A1632" s="1" t="s">
        <v>2515</v>
      </c>
      <c r="B1632" s="1" t="s">
        <v>6255</v>
      </c>
    </row>
    <row r="1633" spans="1:2" x14ac:dyDescent="0.25">
      <c r="A1633" s="1" t="s">
        <v>2516</v>
      </c>
      <c r="B1633" s="1" t="s">
        <v>5856</v>
      </c>
    </row>
    <row r="1634" spans="1:2" x14ac:dyDescent="0.25">
      <c r="A1634" s="1" t="s">
        <v>2517</v>
      </c>
      <c r="B1634" s="1" t="s">
        <v>6256</v>
      </c>
    </row>
    <row r="1635" spans="1:2" x14ac:dyDescent="0.25">
      <c r="A1635" s="1" t="s">
        <v>2518</v>
      </c>
      <c r="B1635" s="1" t="s">
        <v>6257</v>
      </c>
    </row>
    <row r="1636" spans="1:2" x14ac:dyDescent="0.25">
      <c r="A1636" s="1" t="s">
        <v>2519</v>
      </c>
      <c r="B1636" s="1" t="s">
        <v>6258</v>
      </c>
    </row>
    <row r="1637" spans="1:2" x14ac:dyDescent="0.25">
      <c r="A1637" s="1" t="s">
        <v>2520</v>
      </c>
      <c r="B1637" s="1" t="s">
        <v>6005</v>
      </c>
    </row>
    <row r="1638" spans="1:2" x14ac:dyDescent="0.25">
      <c r="A1638" s="1" t="s">
        <v>2521</v>
      </c>
      <c r="B1638" s="1" t="s">
        <v>6259</v>
      </c>
    </row>
    <row r="1639" spans="1:2" x14ac:dyDescent="0.25">
      <c r="A1639" s="1" t="s">
        <v>2522</v>
      </c>
      <c r="B1639" s="1" t="s">
        <v>6012</v>
      </c>
    </row>
    <row r="1640" spans="1:2" x14ac:dyDescent="0.25">
      <c r="A1640" s="1" t="s">
        <v>2523</v>
      </c>
      <c r="B1640" s="1" t="s">
        <v>6260</v>
      </c>
    </row>
    <row r="1641" spans="1:2" x14ac:dyDescent="0.25">
      <c r="A1641" s="1" t="s">
        <v>2524</v>
      </c>
      <c r="B1641" s="1" t="s">
        <v>6261</v>
      </c>
    </row>
    <row r="1642" spans="1:2" x14ac:dyDescent="0.25">
      <c r="A1642" s="1" t="s">
        <v>2525</v>
      </c>
      <c r="B1642" s="1" t="s">
        <v>5434</v>
      </c>
    </row>
    <row r="1643" spans="1:2" x14ac:dyDescent="0.25">
      <c r="A1643" s="1" t="s">
        <v>2526</v>
      </c>
      <c r="B1643" s="1" t="s">
        <v>6262</v>
      </c>
    </row>
    <row r="1644" spans="1:2" x14ac:dyDescent="0.25">
      <c r="A1644" s="1" t="s">
        <v>2527</v>
      </c>
      <c r="B1644" s="1" t="s">
        <v>4880</v>
      </c>
    </row>
    <row r="1645" spans="1:2" x14ac:dyDescent="0.25">
      <c r="A1645" s="1" t="s">
        <v>2528</v>
      </c>
      <c r="B1645" s="1" t="s">
        <v>6263</v>
      </c>
    </row>
    <row r="1646" spans="1:2" x14ac:dyDescent="0.25">
      <c r="A1646" s="1" t="s">
        <v>2529</v>
      </c>
      <c r="B1646" s="1" t="s">
        <v>6264</v>
      </c>
    </row>
    <row r="1647" spans="1:2" x14ac:dyDescent="0.25">
      <c r="A1647" s="1" t="s">
        <v>2530</v>
      </c>
      <c r="B1647" s="1" t="s">
        <v>5822</v>
      </c>
    </row>
    <row r="1648" spans="1:2" x14ac:dyDescent="0.25">
      <c r="A1648" s="1" t="s">
        <v>2531</v>
      </c>
      <c r="B1648" s="1" t="s">
        <v>6265</v>
      </c>
    </row>
    <row r="1649" spans="1:2" x14ac:dyDescent="0.25">
      <c r="A1649" s="1" t="s">
        <v>2532</v>
      </c>
      <c r="B1649" s="1" t="s">
        <v>4708</v>
      </c>
    </row>
    <row r="1650" spans="1:2" x14ac:dyDescent="0.25">
      <c r="A1650" s="1" t="s">
        <v>2533</v>
      </c>
      <c r="B1650" s="1" t="s">
        <v>4356</v>
      </c>
    </row>
    <row r="1651" spans="1:2" x14ac:dyDescent="0.25">
      <c r="A1651" s="1" t="s">
        <v>2534</v>
      </c>
      <c r="B1651" s="1" t="s">
        <v>4392</v>
      </c>
    </row>
    <row r="1652" spans="1:2" x14ac:dyDescent="0.25">
      <c r="A1652" s="1" t="s">
        <v>2535</v>
      </c>
      <c r="B1652" s="1" t="s">
        <v>6266</v>
      </c>
    </row>
    <row r="1653" spans="1:2" x14ac:dyDescent="0.25">
      <c r="A1653" s="1" t="s">
        <v>2536</v>
      </c>
      <c r="B1653" s="1" t="s">
        <v>6267</v>
      </c>
    </row>
    <row r="1654" spans="1:2" x14ac:dyDescent="0.25">
      <c r="A1654" s="1" t="s">
        <v>2537</v>
      </c>
      <c r="B1654" s="1" t="s">
        <v>5929</v>
      </c>
    </row>
    <row r="1655" spans="1:2" x14ac:dyDescent="0.25">
      <c r="A1655" s="1" t="s">
        <v>2538</v>
      </c>
      <c r="B1655" s="1" t="s">
        <v>6268</v>
      </c>
    </row>
    <row r="1656" spans="1:2" x14ac:dyDescent="0.25">
      <c r="A1656" s="1" t="s">
        <v>2539</v>
      </c>
      <c r="B1656" s="1" t="s">
        <v>6269</v>
      </c>
    </row>
    <row r="1657" spans="1:2" x14ac:dyDescent="0.25">
      <c r="A1657" s="1" t="s">
        <v>2540</v>
      </c>
      <c r="B1657" s="1" t="s">
        <v>6270</v>
      </c>
    </row>
    <row r="1658" spans="1:2" x14ac:dyDescent="0.25">
      <c r="A1658" s="1" t="s">
        <v>2541</v>
      </c>
      <c r="B1658" s="1" t="s">
        <v>5362</v>
      </c>
    </row>
    <row r="1659" spans="1:2" x14ac:dyDescent="0.25">
      <c r="A1659" s="1" t="s">
        <v>2542</v>
      </c>
      <c r="B1659" s="1" t="s">
        <v>6271</v>
      </c>
    </row>
    <row r="1660" spans="1:2" x14ac:dyDescent="0.25">
      <c r="A1660" s="1" t="s">
        <v>2543</v>
      </c>
      <c r="B1660" s="1" t="s">
        <v>4829</v>
      </c>
    </row>
    <row r="1661" spans="1:2" x14ac:dyDescent="0.25">
      <c r="A1661" s="1" t="s">
        <v>2544</v>
      </c>
      <c r="B1661" s="1" t="s">
        <v>6272</v>
      </c>
    </row>
    <row r="1662" spans="1:2" x14ac:dyDescent="0.25">
      <c r="A1662" s="1" t="s">
        <v>2545</v>
      </c>
      <c r="B1662" s="1" t="s">
        <v>6273</v>
      </c>
    </row>
    <row r="1663" spans="1:2" x14ac:dyDescent="0.25">
      <c r="A1663" s="1" t="s">
        <v>2546</v>
      </c>
      <c r="B1663" s="1" t="s">
        <v>5943</v>
      </c>
    </row>
    <row r="1664" spans="1:2" x14ac:dyDescent="0.25">
      <c r="A1664" s="1" t="s">
        <v>2547</v>
      </c>
      <c r="B1664" s="1" t="s">
        <v>6274</v>
      </c>
    </row>
    <row r="1665" spans="1:2" x14ac:dyDescent="0.25">
      <c r="A1665" s="1" t="s">
        <v>2548</v>
      </c>
      <c r="B1665" s="1" t="s">
        <v>6275</v>
      </c>
    </row>
    <row r="1666" spans="1:2" x14ac:dyDescent="0.25">
      <c r="A1666" s="1" t="s">
        <v>2549</v>
      </c>
      <c r="B1666" s="1" t="s">
        <v>5956</v>
      </c>
    </row>
    <row r="1667" spans="1:2" x14ac:dyDescent="0.25">
      <c r="A1667" s="1" t="s">
        <v>2550</v>
      </c>
      <c r="B1667" s="1" t="s">
        <v>4755</v>
      </c>
    </row>
    <row r="1668" spans="1:2" x14ac:dyDescent="0.25">
      <c r="A1668" s="1" t="s">
        <v>2551</v>
      </c>
      <c r="B1668" s="1" t="s">
        <v>5195</v>
      </c>
    </row>
    <row r="1669" spans="1:2" x14ac:dyDescent="0.25">
      <c r="A1669" s="1" t="s">
        <v>2552</v>
      </c>
      <c r="B1669" s="1" t="s">
        <v>5745</v>
      </c>
    </row>
    <row r="1670" spans="1:2" x14ac:dyDescent="0.25">
      <c r="A1670" s="1" t="s">
        <v>2553</v>
      </c>
      <c r="B1670" s="1" t="s">
        <v>5182</v>
      </c>
    </row>
    <row r="1671" spans="1:2" x14ac:dyDescent="0.25">
      <c r="A1671" s="1" t="s">
        <v>2554</v>
      </c>
      <c r="B1671" s="1" t="s">
        <v>6276</v>
      </c>
    </row>
    <row r="1672" spans="1:2" x14ac:dyDescent="0.25">
      <c r="A1672" s="1" t="s">
        <v>2555</v>
      </c>
      <c r="B1672" s="1" t="s">
        <v>6277</v>
      </c>
    </row>
    <row r="1673" spans="1:2" x14ac:dyDescent="0.25">
      <c r="A1673" s="1" t="s">
        <v>2556</v>
      </c>
      <c r="B1673" s="1" t="s">
        <v>6278</v>
      </c>
    </row>
    <row r="1674" spans="1:2" x14ac:dyDescent="0.25">
      <c r="A1674" s="1" t="s">
        <v>2557</v>
      </c>
      <c r="B1674" s="1" t="s">
        <v>6279</v>
      </c>
    </row>
    <row r="1675" spans="1:2" x14ac:dyDescent="0.25">
      <c r="A1675" s="1" t="s">
        <v>2558</v>
      </c>
      <c r="B1675" s="1" t="s">
        <v>4794</v>
      </c>
    </row>
    <row r="1676" spans="1:2" x14ac:dyDescent="0.25">
      <c r="A1676" s="1" t="s">
        <v>2559</v>
      </c>
      <c r="B1676" s="1" t="s">
        <v>4510</v>
      </c>
    </row>
    <row r="1677" spans="1:2" x14ac:dyDescent="0.25">
      <c r="A1677" s="1" t="s">
        <v>2560</v>
      </c>
      <c r="B1677" s="1" t="s">
        <v>4715</v>
      </c>
    </row>
    <row r="1678" spans="1:2" x14ac:dyDescent="0.25">
      <c r="A1678" s="1" t="s">
        <v>2561</v>
      </c>
      <c r="B1678" s="1" t="s">
        <v>6280</v>
      </c>
    </row>
    <row r="1679" spans="1:2" x14ac:dyDescent="0.25">
      <c r="A1679" s="1" t="s">
        <v>2562</v>
      </c>
      <c r="B1679" s="1" t="s">
        <v>6281</v>
      </c>
    </row>
    <row r="1680" spans="1:2" x14ac:dyDescent="0.25">
      <c r="A1680" s="1" t="s">
        <v>2563</v>
      </c>
      <c r="B1680" s="1" t="s">
        <v>6282</v>
      </c>
    </row>
    <row r="1681" spans="1:2" x14ac:dyDescent="0.25">
      <c r="A1681" s="1" t="s">
        <v>2564</v>
      </c>
      <c r="B1681" s="1" t="s">
        <v>4859</v>
      </c>
    </row>
    <row r="1682" spans="1:2" x14ac:dyDescent="0.25">
      <c r="A1682" s="1" t="s">
        <v>2565</v>
      </c>
      <c r="B1682" s="1" t="s">
        <v>6283</v>
      </c>
    </row>
    <row r="1683" spans="1:2" x14ac:dyDescent="0.25">
      <c r="A1683" s="1" t="s">
        <v>2566</v>
      </c>
      <c r="B1683" s="1" t="s">
        <v>6162</v>
      </c>
    </row>
    <row r="1684" spans="1:2" x14ac:dyDescent="0.25">
      <c r="A1684" s="1" t="s">
        <v>2567</v>
      </c>
      <c r="B1684" s="1" t="s">
        <v>5312</v>
      </c>
    </row>
    <row r="1685" spans="1:2" x14ac:dyDescent="0.25">
      <c r="A1685" s="1" t="s">
        <v>2568</v>
      </c>
      <c r="B1685" s="1" t="s">
        <v>6284</v>
      </c>
    </row>
    <row r="1686" spans="1:2" x14ac:dyDescent="0.25">
      <c r="A1686" s="1" t="s">
        <v>2569</v>
      </c>
      <c r="B1686" s="1" t="s">
        <v>6285</v>
      </c>
    </row>
    <row r="1687" spans="1:2" x14ac:dyDescent="0.25">
      <c r="A1687" s="1" t="s">
        <v>2570</v>
      </c>
      <c r="B1687" s="1" t="s">
        <v>6286</v>
      </c>
    </row>
    <row r="1688" spans="1:2" x14ac:dyDescent="0.25">
      <c r="A1688" s="1" t="s">
        <v>2571</v>
      </c>
      <c r="B1688" s="1" t="s">
        <v>6287</v>
      </c>
    </row>
    <row r="1689" spans="1:2" x14ac:dyDescent="0.25">
      <c r="A1689" s="1" t="s">
        <v>2572</v>
      </c>
      <c r="B1689" s="1" t="s">
        <v>6288</v>
      </c>
    </row>
    <row r="1690" spans="1:2" x14ac:dyDescent="0.25">
      <c r="A1690" s="1" t="s">
        <v>2573</v>
      </c>
      <c r="B1690" s="1" t="s">
        <v>5195</v>
      </c>
    </row>
    <row r="1691" spans="1:2" x14ac:dyDescent="0.25">
      <c r="A1691" s="1" t="s">
        <v>2574</v>
      </c>
      <c r="B1691" s="1" t="s">
        <v>6289</v>
      </c>
    </row>
    <row r="1692" spans="1:2" x14ac:dyDescent="0.25">
      <c r="A1692" s="1" t="s">
        <v>2575</v>
      </c>
      <c r="B1692" s="1" t="s">
        <v>6290</v>
      </c>
    </row>
    <row r="1693" spans="1:2" x14ac:dyDescent="0.25">
      <c r="A1693" s="1" t="s">
        <v>2576</v>
      </c>
      <c r="B1693" s="1" t="s">
        <v>4516</v>
      </c>
    </row>
    <row r="1694" spans="1:2" x14ac:dyDescent="0.25">
      <c r="A1694" s="1" t="s">
        <v>2577</v>
      </c>
      <c r="B1694" s="1" t="s">
        <v>4752</v>
      </c>
    </row>
    <row r="1695" spans="1:2" x14ac:dyDescent="0.25">
      <c r="A1695" s="1" t="s">
        <v>2578</v>
      </c>
      <c r="B1695" s="1" t="s">
        <v>6291</v>
      </c>
    </row>
    <row r="1696" spans="1:2" x14ac:dyDescent="0.25">
      <c r="A1696" s="1" t="s">
        <v>2579</v>
      </c>
      <c r="B1696" s="1" t="s">
        <v>6292</v>
      </c>
    </row>
    <row r="1697" spans="1:2" x14ac:dyDescent="0.25">
      <c r="A1697" s="1" t="s">
        <v>2580</v>
      </c>
      <c r="B1697" s="1" t="s">
        <v>5293</v>
      </c>
    </row>
    <row r="1698" spans="1:2" x14ac:dyDescent="0.25">
      <c r="A1698" s="1" t="s">
        <v>2581</v>
      </c>
      <c r="B1698" s="1" t="s">
        <v>6293</v>
      </c>
    </row>
    <row r="1699" spans="1:2" x14ac:dyDescent="0.25">
      <c r="A1699" s="1" t="s">
        <v>2583</v>
      </c>
      <c r="B1699" s="1" t="s">
        <v>6294</v>
      </c>
    </row>
    <row r="1700" spans="1:2" x14ac:dyDescent="0.25">
      <c r="A1700" s="1" t="s">
        <v>2584</v>
      </c>
      <c r="B1700" s="1" t="s">
        <v>6295</v>
      </c>
    </row>
    <row r="1701" spans="1:2" x14ac:dyDescent="0.25">
      <c r="A1701" s="1" t="s">
        <v>2585</v>
      </c>
      <c r="B1701" s="1" t="s">
        <v>4606</v>
      </c>
    </row>
    <row r="1702" spans="1:2" x14ac:dyDescent="0.25">
      <c r="A1702" s="1" t="s">
        <v>2586</v>
      </c>
      <c r="B1702" s="1" t="s">
        <v>6296</v>
      </c>
    </row>
    <row r="1703" spans="1:2" x14ac:dyDescent="0.25">
      <c r="A1703" s="1" t="s">
        <v>2587</v>
      </c>
      <c r="B1703" s="1" t="s">
        <v>6289</v>
      </c>
    </row>
    <row r="1704" spans="1:2" x14ac:dyDescent="0.25">
      <c r="A1704" s="1" t="s">
        <v>2588</v>
      </c>
      <c r="B1704" s="1" t="s">
        <v>6297</v>
      </c>
    </row>
    <row r="1705" spans="1:2" x14ac:dyDescent="0.25">
      <c r="A1705" s="1" t="s">
        <v>2589</v>
      </c>
      <c r="B1705" s="1" t="s">
        <v>6298</v>
      </c>
    </row>
    <row r="1706" spans="1:2" x14ac:dyDescent="0.25">
      <c r="A1706" s="1" t="s">
        <v>2590</v>
      </c>
      <c r="B1706" s="1" t="s">
        <v>6299</v>
      </c>
    </row>
    <row r="1707" spans="1:2" x14ac:dyDescent="0.25">
      <c r="A1707" s="1" t="s">
        <v>2591</v>
      </c>
      <c r="B1707" s="1" t="s">
        <v>6300</v>
      </c>
    </row>
    <row r="1708" spans="1:2" x14ac:dyDescent="0.25">
      <c r="A1708" s="1" t="s">
        <v>2592</v>
      </c>
      <c r="B1708" s="1" t="s">
        <v>5666</v>
      </c>
    </row>
    <row r="1709" spans="1:2" x14ac:dyDescent="0.25">
      <c r="A1709" s="1" t="s">
        <v>2593</v>
      </c>
      <c r="B1709" s="1" t="s">
        <v>6301</v>
      </c>
    </row>
    <row r="1710" spans="1:2" x14ac:dyDescent="0.25">
      <c r="A1710" s="1" t="s">
        <v>2594</v>
      </c>
      <c r="B1710" s="1" t="s">
        <v>6302</v>
      </c>
    </row>
    <row r="1711" spans="1:2" x14ac:dyDescent="0.25">
      <c r="A1711" s="1" t="s">
        <v>2595</v>
      </c>
      <c r="B1711" s="1" t="s">
        <v>6008</v>
      </c>
    </row>
    <row r="1712" spans="1:2" x14ac:dyDescent="0.25">
      <c r="A1712" s="1" t="s">
        <v>2596</v>
      </c>
      <c r="B1712" s="1" t="s">
        <v>5487</v>
      </c>
    </row>
    <row r="1713" spans="1:2" x14ac:dyDescent="0.25">
      <c r="A1713" s="1" t="s">
        <v>2597</v>
      </c>
      <c r="B1713" s="1" t="s">
        <v>4410</v>
      </c>
    </row>
    <row r="1714" spans="1:2" x14ac:dyDescent="0.25">
      <c r="A1714" s="1" t="s">
        <v>2598</v>
      </c>
      <c r="B1714" s="1" t="s">
        <v>6039</v>
      </c>
    </row>
    <row r="1715" spans="1:2" x14ac:dyDescent="0.25">
      <c r="A1715" s="1" t="s">
        <v>2599</v>
      </c>
      <c r="B1715" s="1" t="s">
        <v>5947</v>
      </c>
    </row>
    <row r="1716" spans="1:2" x14ac:dyDescent="0.25">
      <c r="A1716" s="1" t="s">
        <v>2600</v>
      </c>
      <c r="B1716" s="1" t="s">
        <v>6303</v>
      </c>
    </row>
    <row r="1717" spans="1:2" x14ac:dyDescent="0.25">
      <c r="A1717" s="1" t="s">
        <v>2601</v>
      </c>
      <c r="B1717" s="1" t="s">
        <v>6304</v>
      </c>
    </row>
    <row r="1718" spans="1:2" x14ac:dyDescent="0.25">
      <c r="A1718" s="1" t="s">
        <v>2602</v>
      </c>
      <c r="B1718" s="1" t="s">
        <v>6305</v>
      </c>
    </row>
    <row r="1719" spans="1:2" x14ac:dyDescent="0.25">
      <c r="A1719" s="1" t="s">
        <v>2603</v>
      </c>
      <c r="B1719" s="1" t="s">
        <v>6306</v>
      </c>
    </row>
    <row r="1720" spans="1:2" x14ac:dyDescent="0.25">
      <c r="A1720" s="1" t="s">
        <v>2604</v>
      </c>
      <c r="B1720" s="1" t="s">
        <v>6307</v>
      </c>
    </row>
    <row r="1721" spans="1:2" x14ac:dyDescent="0.25">
      <c r="A1721" s="1" t="s">
        <v>2605</v>
      </c>
      <c r="B1721" s="1" t="s">
        <v>6308</v>
      </c>
    </row>
    <row r="1722" spans="1:2" x14ac:dyDescent="0.25">
      <c r="A1722" s="1" t="s">
        <v>2606</v>
      </c>
      <c r="B1722" s="1" t="s">
        <v>6309</v>
      </c>
    </row>
    <row r="1723" spans="1:2" x14ac:dyDescent="0.25">
      <c r="A1723" s="1" t="s">
        <v>2607</v>
      </c>
      <c r="B1723" s="1" t="s">
        <v>5430</v>
      </c>
    </row>
    <row r="1724" spans="1:2" x14ac:dyDescent="0.25">
      <c r="A1724" s="1" t="s">
        <v>2608</v>
      </c>
      <c r="B1724" s="1" t="s">
        <v>5187</v>
      </c>
    </row>
    <row r="1725" spans="1:2" x14ac:dyDescent="0.25">
      <c r="A1725" s="1" t="s">
        <v>2609</v>
      </c>
      <c r="B1725" s="1" t="s">
        <v>5778</v>
      </c>
    </row>
    <row r="1726" spans="1:2" x14ac:dyDescent="0.25">
      <c r="A1726" s="1" t="s">
        <v>2610</v>
      </c>
      <c r="B1726" s="1" t="s">
        <v>5885</v>
      </c>
    </row>
    <row r="1727" spans="1:2" x14ac:dyDescent="0.25">
      <c r="A1727" s="1" t="s">
        <v>2611</v>
      </c>
      <c r="B1727" s="1" t="s">
        <v>6237</v>
      </c>
    </row>
    <row r="1728" spans="1:2" x14ac:dyDescent="0.25">
      <c r="A1728" s="1" t="s">
        <v>2612</v>
      </c>
      <c r="B1728" s="1" t="s">
        <v>6310</v>
      </c>
    </row>
    <row r="1729" spans="1:2" x14ac:dyDescent="0.25">
      <c r="A1729" s="1" t="s">
        <v>2613</v>
      </c>
      <c r="B1729" s="1" t="s">
        <v>6311</v>
      </c>
    </row>
    <row r="1730" spans="1:2" x14ac:dyDescent="0.25">
      <c r="A1730" s="1" t="s">
        <v>2614</v>
      </c>
      <c r="B1730" s="1" t="s">
        <v>6312</v>
      </c>
    </row>
    <row r="1731" spans="1:2" x14ac:dyDescent="0.25">
      <c r="A1731" s="1" t="s">
        <v>2615</v>
      </c>
      <c r="B1731" s="1" t="s">
        <v>4356</v>
      </c>
    </row>
    <row r="1732" spans="1:2" x14ac:dyDescent="0.25">
      <c r="A1732" s="1" t="s">
        <v>2616</v>
      </c>
      <c r="B1732" s="1" t="s">
        <v>6313</v>
      </c>
    </row>
    <row r="1733" spans="1:2" x14ac:dyDescent="0.25">
      <c r="A1733" s="1" t="s">
        <v>2617</v>
      </c>
      <c r="B1733" s="1" t="s">
        <v>6078</v>
      </c>
    </row>
    <row r="1734" spans="1:2" x14ac:dyDescent="0.25">
      <c r="A1734" s="1" t="s">
        <v>2618</v>
      </c>
      <c r="B1734" s="1" t="s">
        <v>4717</v>
      </c>
    </row>
    <row r="1735" spans="1:2" x14ac:dyDescent="0.25">
      <c r="A1735" s="1" t="s">
        <v>2619</v>
      </c>
      <c r="B1735" s="1" t="s">
        <v>6314</v>
      </c>
    </row>
    <row r="1736" spans="1:2" x14ac:dyDescent="0.25">
      <c r="A1736" s="1" t="s">
        <v>2620</v>
      </c>
      <c r="B1736" s="1" t="s">
        <v>6315</v>
      </c>
    </row>
    <row r="1737" spans="1:2" x14ac:dyDescent="0.25">
      <c r="A1737" s="1" t="s">
        <v>2621</v>
      </c>
      <c r="B1737" s="1" t="s">
        <v>6316</v>
      </c>
    </row>
    <row r="1738" spans="1:2" x14ac:dyDescent="0.25">
      <c r="A1738" s="1" t="s">
        <v>2622</v>
      </c>
      <c r="B1738" s="1" t="s">
        <v>6317</v>
      </c>
    </row>
    <row r="1739" spans="1:2" x14ac:dyDescent="0.25">
      <c r="A1739" s="1" t="s">
        <v>2623</v>
      </c>
      <c r="B1739" s="1" t="s">
        <v>6318</v>
      </c>
    </row>
    <row r="1740" spans="1:2" x14ac:dyDescent="0.25">
      <c r="A1740" s="1" t="s">
        <v>2624</v>
      </c>
      <c r="B1740" s="1" t="s">
        <v>6319</v>
      </c>
    </row>
    <row r="1741" spans="1:2" x14ac:dyDescent="0.25">
      <c r="A1741" s="1" t="s">
        <v>2625</v>
      </c>
      <c r="B1741" s="1" t="s">
        <v>6320</v>
      </c>
    </row>
    <row r="1742" spans="1:2" x14ac:dyDescent="0.25">
      <c r="A1742" s="1" t="s">
        <v>2626</v>
      </c>
      <c r="B1742" s="1" t="s">
        <v>6321</v>
      </c>
    </row>
    <row r="1743" spans="1:2" x14ac:dyDescent="0.25">
      <c r="A1743" s="1" t="s">
        <v>2627</v>
      </c>
      <c r="B1743" s="1" t="s">
        <v>6322</v>
      </c>
    </row>
    <row r="1744" spans="1:2" x14ac:dyDescent="0.25">
      <c r="A1744" s="1" t="s">
        <v>2628</v>
      </c>
      <c r="B1744" s="1" t="s">
        <v>5721</v>
      </c>
    </row>
    <row r="1745" spans="1:2" x14ac:dyDescent="0.25">
      <c r="A1745" s="1" t="s">
        <v>4307</v>
      </c>
      <c r="B1745" s="1" t="s">
        <v>4848</v>
      </c>
    </row>
    <row r="1746" spans="1:2" x14ac:dyDescent="0.25">
      <c r="A1746" s="1" t="s">
        <v>2629</v>
      </c>
      <c r="B1746" s="1" t="s">
        <v>6323</v>
      </c>
    </row>
    <row r="1747" spans="1:2" x14ac:dyDescent="0.25">
      <c r="A1747" s="1" t="s">
        <v>2630</v>
      </c>
      <c r="B1747" s="1" t="s">
        <v>6324</v>
      </c>
    </row>
    <row r="1748" spans="1:2" x14ac:dyDescent="0.25">
      <c r="A1748" s="1" t="s">
        <v>2631</v>
      </c>
      <c r="B1748" s="1" t="s">
        <v>6325</v>
      </c>
    </row>
    <row r="1749" spans="1:2" x14ac:dyDescent="0.25">
      <c r="A1749" s="1" t="s">
        <v>2632</v>
      </c>
      <c r="B1749" s="1" t="s">
        <v>6326</v>
      </c>
    </row>
    <row r="1750" spans="1:2" x14ac:dyDescent="0.25">
      <c r="A1750" s="1" t="s">
        <v>2633</v>
      </c>
      <c r="B1750" s="1" t="s">
        <v>5519</v>
      </c>
    </row>
    <row r="1751" spans="1:2" x14ac:dyDescent="0.25">
      <c r="A1751" s="1" t="s">
        <v>882</v>
      </c>
      <c r="B1751" s="1" t="s">
        <v>6327</v>
      </c>
    </row>
    <row r="1752" spans="1:2" x14ac:dyDescent="0.25">
      <c r="A1752" s="1" t="s">
        <v>2634</v>
      </c>
      <c r="B1752" s="1" t="s">
        <v>6328</v>
      </c>
    </row>
    <row r="1753" spans="1:2" x14ac:dyDescent="0.25">
      <c r="A1753" s="1" t="s">
        <v>2635</v>
      </c>
      <c r="B1753" s="1" t="s">
        <v>6329</v>
      </c>
    </row>
    <row r="1754" spans="1:2" x14ac:dyDescent="0.25">
      <c r="A1754" s="1" t="s">
        <v>2636</v>
      </c>
      <c r="B1754" s="1" t="s">
        <v>6330</v>
      </c>
    </row>
    <row r="1755" spans="1:2" x14ac:dyDescent="0.25">
      <c r="A1755" s="1" t="s">
        <v>2637</v>
      </c>
      <c r="B1755" s="1" t="s">
        <v>4819</v>
      </c>
    </row>
    <row r="1756" spans="1:2" x14ac:dyDescent="0.25">
      <c r="A1756" s="1" t="s">
        <v>2638</v>
      </c>
      <c r="B1756" s="1" t="s">
        <v>6331</v>
      </c>
    </row>
    <row r="1757" spans="1:2" x14ac:dyDescent="0.25">
      <c r="A1757" s="1" t="s">
        <v>2639</v>
      </c>
      <c r="B1757" s="1" t="s">
        <v>6330</v>
      </c>
    </row>
    <row r="1758" spans="1:2" x14ac:dyDescent="0.25">
      <c r="A1758" s="1" t="s">
        <v>2640</v>
      </c>
      <c r="B1758" s="1" t="s">
        <v>6332</v>
      </c>
    </row>
    <row r="1759" spans="1:2" x14ac:dyDescent="0.25">
      <c r="A1759" s="1" t="s">
        <v>2641</v>
      </c>
      <c r="B1759" s="1" t="s">
        <v>5440</v>
      </c>
    </row>
    <row r="1760" spans="1:2" x14ac:dyDescent="0.25">
      <c r="A1760" s="1" t="s">
        <v>2642</v>
      </c>
      <c r="B1760" s="1" t="s">
        <v>6333</v>
      </c>
    </row>
    <row r="1761" spans="1:2" x14ac:dyDescent="0.25">
      <c r="A1761" s="1" t="s">
        <v>2643</v>
      </c>
      <c r="B1761" s="1" t="s">
        <v>6334</v>
      </c>
    </row>
    <row r="1762" spans="1:2" x14ac:dyDescent="0.25">
      <c r="A1762" s="1" t="s">
        <v>2644</v>
      </c>
      <c r="B1762" s="1" t="s">
        <v>6335</v>
      </c>
    </row>
    <row r="1763" spans="1:2" x14ac:dyDescent="0.25">
      <c r="A1763" s="1" t="s">
        <v>2645</v>
      </c>
      <c r="B1763" s="1" t="s">
        <v>6336</v>
      </c>
    </row>
    <row r="1764" spans="1:2" x14ac:dyDescent="0.25">
      <c r="A1764" s="1" t="s">
        <v>2646</v>
      </c>
      <c r="B1764" s="1" t="s">
        <v>6337</v>
      </c>
    </row>
    <row r="1765" spans="1:2" x14ac:dyDescent="0.25">
      <c r="A1765" s="1" t="s">
        <v>2647</v>
      </c>
      <c r="B1765" s="1" t="s">
        <v>6338</v>
      </c>
    </row>
    <row r="1766" spans="1:2" x14ac:dyDescent="0.25">
      <c r="A1766" s="1" t="s">
        <v>2648</v>
      </c>
      <c r="B1766" s="1" t="s">
        <v>5473</v>
      </c>
    </row>
    <row r="1767" spans="1:2" x14ac:dyDescent="0.25">
      <c r="A1767" s="1" t="s">
        <v>4315</v>
      </c>
      <c r="B1767" s="1" t="s">
        <v>6339</v>
      </c>
    </row>
    <row r="1768" spans="1:2" x14ac:dyDescent="0.25">
      <c r="A1768" s="1" t="s">
        <v>2649</v>
      </c>
      <c r="B1768" s="1" t="s">
        <v>6340</v>
      </c>
    </row>
    <row r="1769" spans="1:2" x14ac:dyDescent="0.25">
      <c r="A1769" s="1" t="s">
        <v>2650</v>
      </c>
      <c r="B1769" s="1" t="s">
        <v>6341</v>
      </c>
    </row>
    <row r="1770" spans="1:2" x14ac:dyDescent="0.25">
      <c r="A1770" s="1" t="s">
        <v>2651</v>
      </c>
      <c r="B1770" s="1" t="s">
        <v>6342</v>
      </c>
    </row>
    <row r="1771" spans="1:2" x14ac:dyDescent="0.25">
      <c r="A1771" s="1" t="s">
        <v>2652</v>
      </c>
      <c r="B1771" s="1" t="s">
        <v>6343</v>
      </c>
    </row>
    <row r="1772" spans="1:2" x14ac:dyDescent="0.25">
      <c r="A1772" s="1" t="s">
        <v>2653</v>
      </c>
      <c r="B1772" s="1" t="s">
        <v>6344</v>
      </c>
    </row>
    <row r="1773" spans="1:2" x14ac:dyDescent="0.25">
      <c r="A1773" s="1" t="s">
        <v>2654</v>
      </c>
      <c r="B1773" s="1" t="s">
        <v>6345</v>
      </c>
    </row>
    <row r="1774" spans="1:2" x14ac:dyDescent="0.25">
      <c r="A1774" s="1" t="s">
        <v>2655</v>
      </c>
      <c r="B1774" s="1" t="s">
        <v>6346</v>
      </c>
    </row>
    <row r="1775" spans="1:2" x14ac:dyDescent="0.25">
      <c r="A1775" s="1" t="s">
        <v>2656</v>
      </c>
      <c r="B1775" s="1" t="s">
        <v>6347</v>
      </c>
    </row>
    <row r="1776" spans="1:2" x14ac:dyDescent="0.25">
      <c r="A1776" s="1" t="s">
        <v>2657</v>
      </c>
      <c r="B1776" s="1" t="s">
        <v>6348</v>
      </c>
    </row>
    <row r="1777" spans="1:2" x14ac:dyDescent="0.25">
      <c r="A1777" s="1" t="s">
        <v>2658</v>
      </c>
      <c r="B1777" s="1" t="s">
        <v>5261</v>
      </c>
    </row>
    <row r="1778" spans="1:2" x14ac:dyDescent="0.25">
      <c r="A1778" s="1" t="s">
        <v>2659</v>
      </c>
      <c r="B1778" s="1" t="s">
        <v>6349</v>
      </c>
    </row>
    <row r="1779" spans="1:2" x14ac:dyDescent="0.25">
      <c r="A1779" s="1" t="s">
        <v>2660</v>
      </c>
      <c r="B1779" s="1" t="s">
        <v>6350</v>
      </c>
    </row>
    <row r="1780" spans="1:2" x14ac:dyDescent="0.25">
      <c r="A1780" s="1" t="s">
        <v>2661</v>
      </c>
      <c r="B1780" s="1" t="s">
        <v>5182</v>
      </c>
    </row>
    <row r="1781" spans="1:2" x14ac:dyDescent="0.25">
      <c r="A1781" s="1" t="s">
        <v>2662</v>
      </c>
      <c r="B1781" s="1" t="s">
        <v>4356</v>
      </c>
    </row>
    <row r="1782" spans="1:2" x14ac:dyDescent="0.25">
      <c r="A1782" s="1" t="s">
        <v>2663</v>
      </c>
      <c r="B1782" s="1" t="s">
        <v>4662</v>
      </c>
    </row>
    <row r="1783" spans="1:2" x14ac:dyDescent="0.25">
      <c r="A1783" s="1" t="s">
        <v>2664</v>
      </c>
      <c r="B1783" s="1" t="s">
        <v>6351</v>
      </c>
    </row>
    <row r="1784" spans="1:2" x14ac:dyDescent="0.25">
      <c r="A1784" s="1" t="s">
        <v>2665</v>
      </c>
      <c r="B1784" s="1" t="s">
        <v>6352</v>
      </c>
    </row>
    <row r="1785" spans="1:2" x14ac:dyDescent="0.25">
      <c r="A1785" s="1" t="s">
        <v>2666</v>
      </c>
      <c r="B1785" s="1" t="s">
        <v>5712</v>
      </c>
    </row>
    <row r="1786" spans="1:2" x14ac:dyDescent="0.25">
      <c r="A1786" s="1" t="s">
        <v>2667</v>
      </c>
      <c r="B1786" s="1" t="s">
        <v>6353</v>
      </c>
    </row>
    <row r="1787" spans="1:2" x14ac:dyDescent="0.25">
      <c r="A1787" s="1" t="s">
        <v>2668</v>
      </c>
      <c r="B1787" s="1" t="s">
        <v>5297</v>
      </c>
    </row>
    <row r="1788" spans="1:2" x14ac:dyDescent="0.25">
      <c r="A1788" s="1" t="s">
        <v>2669</v>
      </c>
      <c r="B1788" s="1" t="s">
        <v>4756</v>
      </c>
    </row>
    <row r="1789" spans="1:2" x14ac:dyDescent="0.25">
      <c r="A1789" s="1" t="s">
        <v>2670</v>
      </c>
      <c r="B1789" s="1" t="s">
        <v>4858</v>
      </c>
    </row>
    <row r="1790" spans="1:2" x14ac:dyDescent="0.25">
      <c r="A1790" s="1" t="s">
        <v>2671</v>
      </c>
      <c r="B1790" s="1" t="s">
        <v>6354</v>
      </c>
    </row>
    <row r="1791" spans="1:2" x14ac:dyDescent="0.25">
      <c r="A1791" s="1" t="s">
        <v>2672</v>
      </c>
      <c r="B1791" s="1" t="s">
        <v>5701</v>
      </c>
    </row>
    <row r="1792" spans="1:2" x14ac:dyDescent="0.25">
      <c r="A1792" s="1" t="s">
        <v>2673</v>
      </c>
      <c r="B1792" s="1" t="s">
        <v>5390</v>
      </c>
    </row>
    <row r="1793" spans="1:2" x14ac:dyDescent="0.25">
      <c r="A1793" s="1" t="s">
        <v>2674</v>
      </c>
      <c r="B1793" s="1" t="s">
        <v>6355</v>
      </c>
    </row>
    <row r="1794" spans="1:2" x14ac:dyDescent="0.25">
      <c r="A1794" s="1" t="s">
        <v>2675</v>
      </c>
      <c r="B1794" s="1" t="s">
        <v>6356</v>
      </c>
    </row>
    <row r="1795" spans="1:2" x14ac:dyDescent="0.25">
      <c r="A1795" s="1" t="s">
        <v>2676</v>
      </c>
      <c r="B1795" s="1" t="s">
        <v>6357</v>
      </c>
    </row>
    <row r="1796" spans="1:2" x14ac:dyDescent="0.25">
      <c r="A1796" s="1" t="s">
        <v>2677</v>
      </c>
      <c r="B1796" s="1" t="s">
        <v>6358</v>
      </c>
    </row>
    <row r="1797" spans="1:2" x14ac:dyDescent="0.25">
      <c r="A1797" s="1" t="s">
        <v>2678</v>
      </c>
      <c r="B1797" s="1" t="s">
        <v>5182</v>
      </c>
    </row>
    <row r="1798" spans="1:2" x14ac:dyDescent="0.25">
      <c r="A1798" s="1" t="s">
        <v>2679</v>
      </c>
      <c r="B1798" s="1" t="s">
        <v>4739</v>
      </c>
    </row>
    <row r="1799" spans="1:2" x14ac:dyDescent="0.25">
      <c r="A1799" s="1" t="s">
        <v>2680</v>
      </c>
      <c r="B1799" s="1" t="s">
        <v>6359</v>
      </c>
    </row>
    <row r="1800" spans="1:2" x14ac:dyDescent="0.25">
      <c r="A1800" s="1" t="s">
        <v>2681</v>
      </c>
      <c r="B1800" s="1" t="s">
        <v>6360</v>
      </c>
    </row>
    <row r="1801" spans="1:2" x14ac:dyDescent="0.25">
      <c r="A1801" s="1" t="s">
        <v>2682</v>
      </c>
      <c r="B1801" s="1" t="s">
        <v>6361</v>
      </c>
    </row>
    <row r="1802" spans="1:2" x14ac:dyDescent="0.25">
      <c r="A1802" s="1" t="s">
        <v>2683</v>
      </c>
      <c r="B1802" s="1" t="s">
        <v>6362</v>
      </c>
    </row>
    <row r="1803" spans="1:2" x14ac:dyDescent="0.25">
      <c r="A1803" s="1" t="s">
        <v>2684</v>
      </c>
      <c r="B1803" s="1" t="s">
        <v>5218</v>
      </c>
    </row>
    <row r="1804" spans="1:2" x14ac:dyDescent="0.25">
      <c r="A1804" s="1" t="s">
        <v>2685</v>
      </c>
      <c r="B1804" s="1" t="s">
        <v>6363</v>
      </c>
    </row>
    <row r="1805" spans="1:2" x14ac:dyDescent="0.25">
      <c r="A1805" s="1" t="s">
        <v>2686</v>
      </c>
      <c r="B1805" s="1" t="s">
        <v>4637</v>
      </c>
    </row>
    <row r="1806" spans="1:2" x14ac:dyDescent="0.25">
      <c r="A1806" s="1" t="s">
        <v>2687</v>
      </c>
      <c r="B1806" s="1" t="s">
        <v>6364</v>
      </c>
    </row>
    <row r="1807" spans="1:2" x14ac:dyDescent="0.25">
      <c r="A1807" s="1" t="s">
        <v>2688</v>
      </c>
      <c r="B1807" s="1" t="s">
        <v>6365</v>
      </c>
    </row>
    <row r="1808" spans="1:2" x14ac:dyDescent="0.25">
      <c r="A1808" s="1" t="s">
        <v>2689</v>
      </c>
      <c r="B1808" s="1" t="s">
        <v>6366</v>
      </c>
    </row>
    <row r="1809" spans="1:2" x14ac:dyDescent="0.25">
      <c r="A1809" s="1" t="s">
        <v>4281</v>
      </c>
      <c r="B1809" s="1" t="s">
        <v>6367</v>
      </c>
    </row>
    <row r="1810" spans="1:2" x14ac:dyDescent="0.25">
      <c r="A1810" s="1" t="s">
        <v>2690</v>
      </c>
      <c r="B1810" s="1" t="s">
        <v>4763</v>
      </c>
    </row>
    <row r="1811" spans="1:2" x14ac:dyDescent="0.25">
      <c r="A1811" s="1" t="s">
        <v>2691</v>
      </c>
      <c r="B1811" s="1" t="s">
        <v>6368</v>
      </c>
    </row>
    <row r="1812" spans="1:2" x14ac:dyDescent="0.25">
      <c r="A1812" s="1" t="s">
        <v>2692</v>
      </c>
      <c r="B1812" s="1" t="s">
        <v>5994</v>
      </c>
    </row>
    <row r="1813" spans="1:2" x14ac:dyDescent="0.25">
      <c r="A1813" s="1" t="s">
        <v>2693</v>
      </c>
      <c r="B1813" s="1" t="s">
        <v>4791</v>
      </c>
    </row>
    <row r="1814" spans="1:2" x14ac:dyDescent="0.25">
      <c r="A1814" s="1" t="s">
        <v>2694</v>
      </c>
      <c r="B1814" s="1" t="s">
        <v>4767</v>
      </c>
    </row>
    <row r="1815" spans="1:2" x14ac:dyDescent="0.25">
      <c r="A1815" s="1" t="s">
        <v>2695</v>
      </c>
      <c r="B1815" s="1" t="s">
        <v>6340</v>
      </c>
    </row>
    <row r="1816" spans="1:2" x14ac:dyDescent="0.25">
      <c r="A1816" s="1" t="s">
        <v>2696</v>
      </c>
      <c r="B1816" s="1" t="s">
        <v>6369</v>
      </c>
    </row>
    <row r="1817" spans="1:2" x14ac:dyDescent="0.25">
      <c r="A1817" s="1" t="s">
        <v>2697</v>
      </c>
      <c r="B1817" s="1" t="s">
        <v>6370</v>
      </c>
    </row>
    <row r="1818" spans="1:2" x14ac:dyDescent="0.25">
      <c r="A1818" s="1" t="s">
        <v>2698</v>
      </c>
      <c r="B1818" s="1" t="s">
        <v>6371</v>
      </c>
    </row>
    <row r="1819" spans="1:2" x14ac:dyDescent="0.25">
      <c r="A1819" s="1" t="s">
        <v>2699</v>
      </c>
      <c r="B1819" s="1" t="s">
        <v>6372</v>
      </c>
    </row>
    <row r="1820" spans="1:2" x14ac:dyDescent="0.25">
      <c r="A1820" s="1" t="s">
        <v>2700</v>
      </c>
      <c r="B1820" s="1" t="s">
        <v>6373</v>
      </c>
    </row>
    <row r="1821" spans="1:2" x14ac:dyDescent="0.25">
      <c r="A1821" s="1" t="s">
        <v>2701</v>
      </c>
      <c r="B1821" s="1" t="s">
        <v>6374</v>
      </c>
    </row>
    <row r="1822" spans="1:2" x14ac:dyDescent="0.25">
      <c r="A1822" s="1" t="s">
        <v>2702</v>
      </c>
      <c r="B1822" s="1" t="s">
        <v>6375</v>
      </c>
    </row>
    <row r="1823" spans="1:2" x14ac:dyDescent="0.25">
      <c r="A1823" s="1" t="s">
        <v>2703</v>
      </c>
      <c r="B1823" s="1" t="s">
        <v>6376</v>
      </c>
    </row>
    <row r="1824" spans="1:2" x14ac:dyDescent="0.25">
      <c r="A1824" s="1" t="s">
        <v>2704</v>
      </c>
      <c r="B1824" s="1" t="s">
        <v>5543</v>
      </c>
    </row>
    <row r="1825" spans="1:2" x14ac:dyDescent="0.25">
      <c r="A1825" s="1" t="s">
        <v>2705</v>
      </c>
      <c r="B1825" s="1" t="s">
        <v>6377</v>
      </c>
    </row>
    <row r="1826" spans="1:2" x14ac:dyDescent="0.25">
      <c r="A1826" s="1" t="s">
        <v>2706</v>
      </c>
      <c r="B1826" s="1" t="s">
        <v>6378</v>
      </c>
    </row>
    <row r="1827" spans="1:2" x14ac:dyDescent="0.25">
      <c r="A1827" s="1" t="s">
        <v>2707</v>
      </c>
      <c r="B1827" s="1" t="s">
        <v>5513</v>
      </c>
    </row>
    <row r="1828" spans="1:2" x14ac:dyDescent="0.25">
      <c r="A1828" s="1" t="s">
        <v>2708</v>
      </c>
      <c r="B1828" s="1" t="s">
        <v>6379</v>
      </c>
    </row>
    <row r="1829" spans="1:2" x14ac:dyDescent="0.25">
      <c r="A1829" s="1" t="s">
        <v>2709</v>
      </c>
      <c r="B1829" s="1" t="s">
        <v>6380</v>
      </c>
    </row>
    <row r="1830" spans="1:2" x14ac:dyDescent="0.25">
      <c r="A1830" s="1" t="s">
        <v>2710</v>
      </c>
      <c r="B1830" s="1" t="s">
        <v>6381</v>
      </c>
    </row>
    <row r="1831" spans="1:2" x14ac:dyDescent="0.25">
      <c r="A1831" s="1" t="s">
        <v>2711</v>
      </c>
      <c r="B1831" s="1" t="s">
        <v>6382</v>
      </c>
    </row>
    <row r="1832" spans="1:2" x14ac:dyDescent="0.25">
      <c r="A1832" s="1" t="s">
        <v>2712</v>
      </c>
      <c r="B1832" s="1" t="s">
        <v>4765</v>
      </c>
    </row>
    <row r="1833" spans="1:2" x14ac:dyDescent="0.25">
      <c r="A1833" s="1" t="s">
        <v>2713</v>
      </c>
      <c r="B1833" s="1" t="s">
        <v>6383</v>
      </c>
    </row>
    <row r="1834" spans="1:2" x14ac:dyDescent="0.25">
      <c r="A1834" s="1" t="s">
        <v>2714</v>
      </c>
      <c r="B1834" s="1" t="s">
        <v>6384</v>
      </c>
    </row>
    <row r="1835" spans="1:2" x14ac:dyDescent="0.25">
      <c r="A1835" s="1" t="s">
        <v>2715</v>
      </c>
      <c r="B1835" s="1" t="s">
        <v>4657</v>
      </c>
    </row>
    <row r="1836" spans="1:2" x14ac:dyDescent="0.25">
      <c r="A1836" s="1" t="s">
        <v>2716</v>
      </c>
      <c r="B1836" s="1" t="s">
        <v>6385</v>
      </c>
    </row>
    <row r="1837" spans="1:2" x14ac:dyDescent="0.25">
      <c r="A1837" s="1" t="s">
        <v>2717</v>
      </c>
      <c r="B1837" s="1" t="s">
        <v>4511</v>
      </c>
    </row>
    <row r="1838" spans="1:2" x14ac:dyDescent="0.25">
      <c r="A1838" s="1" t="s">
        <v>2718</v>
      </c>
      <c r="B1838" s="1" t="s">
        <v>6386</v>
      </c>
    </row>
    <row r="1839" spans="1:2" x14ac:dyDescent="0.25">
      <c r="A1839" s="1" t="s">
        <v>2719</v>
      </c>
      <c r="B1839" s="1" t="s">
        <v>6387</v>
      </c>
    </row>
    <row r="1840" spans="1:2" x14ac:dyDescent="0.25">
      <c r="A1840" s="1" t="s">
        <v>2720</v>
      </c>
      <c r="B1840" s="1" t="s">
        <v>6388</v>
      </c>
    </row>
    <row r="1841" spans="1:2" x14ac:dyDescent="0.25">
      <c r="A1841" s="1" t="s">
        <v>2721</v>
      </c>
      <c r="B1841" s="1" t="s">
        <v>4665</v>
      </c>
    </row>
    <row r="1842" spans="1:2" x14ac:dyDescent="0.25">
      <c r="A1842" s="1" t="s">
        <v>2722</v>
      </c>
      <c r="B1842" s="1" t="s">
        <v>4666</v>
      </c>
    </row>
    <row r="1843" spans="1:2" x14ac:dyDescent="0.25">
      <c r="A1843" s="1" t="s">
        <v>2723</v>
      </c>
      <c r="B1843" s="1" t="s">
        <v>4672</v>
      </c>
    </row>
    <row r="1844" spans="1:2" x14ac:dyDescent="0.25">
      <c r="A1844" s="1" t="s">
        <v>2724</v>
      </c>
      <c r="B1844" s="1" t="s">
        <v>6389</v>
      </c>
    </row>
    <row r="1845" spans="1:2" x14ac:dyDescent="0.25">
      <c r="A1845" s="1" t="s">
        <v>2725</v>
      </c>
      <c r="B1845" s="1" t="s">
        <v>6390</v>
      </c>
    </row>
    <row r="1846" spans="1:2" x14ac:dyDescent="0.25">
      <c r="A1846" s="1" t="s">
        <v>2726</v>
      </c>
      <c r="B1846" s="1" t="s">
        <v>6391</v>
      </c>
    </row>
    <row r="1847" spans="1:2" x14ac:dyDescent="0.25">
      <c r="A1847" s="1" t="s">
        <v>2727</v>
      </c>
      <c r="B1847" s="1" t="s">
        <v>5440</v>
      </c>
    </row>
    <row r="1848" spans="1:2" x14ac:dyDescent="0.25">
      <c r="A1848" s="1" t="s">
        <v>2728</v>
      </c>
      <c r="B1848" s="1" t="s">
        <v>5533</v>
      </c>
    </row>
    <row r="1849" spans="1:2" x14ac:dyDescent="0.25">
      <c r="A1849" s="1" t="s">
        <v>2729</v>
      </c>
      <c r="B1849" s="1" t="s">
        <v>6392</v>
      </c>
    </row>
    <row r="1850" spans="1:2" x14ac:dyDescent="0.25">
      <c r="A1850" s="1" t="s">
        <v>2730</v>
      </c>
      <c r="B1850" s="1" t="s">
        <v>6393</v>
      </c>
    </row>
    <row r="1851" spans="1:2" x14ac:dyDescent="0.25">
      <c r="A1851" s="1" t="s">
        <v>2731</v>
      </c>
      <c r="B1851" s="1" t="s">
        <v>6394</v>
      </c>
    </row>
    <row r="1852" spans="1:2" x14ac:dyDescent="0.25">
      <c r="A1852" s="1" t="s">
        <v>2732</v>
      </c>
      <c r="B1852" s="1" t="s">
        <v>5919</v>
      </c>
    </row>
    <row r="1853" spans="1:2" x14ac:dyDescent="0.25">
      <c r="A1853" s="1" t="s">
        <v>2733</v>
      </c>
      <c r="B1853" s="1" t="s">
        <v>6395</v>
      </c>
    </row>
    <row r="1854" spans="1:2" x14ac:dyDescent="0.25">
      <c r="A1854" s="1" t="s">
        <v>2734</v>
      </c>
      <c r="B1854" s="1" t="s">
        <v>6396</v>
      </c>
    </row>
    <row r="1855" spans="1:2" x14ac:dyDescent="0.25">
      <c r="A1855" s="1" t="s">
        <v>2735</v>
      </c>
      <c r="B1855" s="1" t="s">
        <v>6397</v>
      </c>
    </row>
    <row r="1856" spans="1:2" x14ac:dyDescent="0.25">
      <c r="A1856" s="1" t="s">
        <v>2736</v>
      </c>
      <c r="B1856" s="1" t="s">
        <v>5286</v>
      </c>
    </row>
    <row r="1857" spans="1:2" x14ac:dyDescent="0.25">
      <c r="A1857" s="1" t="s">
        <v>2737</v>
      </c>
      <c r="B1857" s="1" t="s">
        <v>4573</v>
      </c>
    </row>
    <row r="1858" spans="1:2" x14ac:dyDescent="0.25">
      <c r="A1858" s="1" t="s">
        <v>2738</v>
      </c>
      <c r="B1858" s="1" t="s">
        <v>6398</v>
      </c>
    </row>
    <row r="1859" spans="1:2" x14ac:dyDescent="0.25">
      <c r="A1859" s="1" t="s">
        <v>2739</v>
      </c>
      <c r="B1859" s="1" t="s">
        <v>4387</v>
      </c>
    </row>
    <row r="1860" spans="1:2" x14ac:dyDescent="0.25">
      <c r="A1860" s="1" t="s">
        <v>2740</v>
      </c>
      <c r="B1860" s="1" t="s">
        <v>6399</v>
      </c>
    </row>
    <row r="1861" spans="1:2" x14ac:dyDescent="0.25">
      <c r="A1861" s="1" t="s">
        <v>2741</v>
      </c>
      <c r="B1861" s="1" t="s">
        <v>4775</v>
      </c>
    </row>
    <row r="1862" spans="1:2" x14ac:dyDescent="0.25">
      <c r="A1862" s="1" t="s">
        <v>630</v>
      </c>
      <c r="B1862" s="1" t="s">
        <v>6367</v>
      </c>
    </row>
    <row r="1863" spans="1:2" x14ac:dyDescent="0.25">
      <c r="A1863" s="1" t="s">
        <v>2742</v>
      </c>
      <c r="B1863" s="1" t="s">
        <v>4863</v>
      </c>
    </row>
    <row r="1864" spans="1:2" x14ac:dyDescent="0.25">
      <c r="A1864" s="1" t="s">
        <v>2743</v>
      </c>
      <c r="B1864" s="1" t="s">
        <v>5466</v>
      </c>
    </row>
    <row r="1865" spans="1:2" x14ac:dyDescent="0.25">
      <c r="A1865" s="1" t="s">
        <v>2744</v>
      </c>
      <c r="B1865" s="1" t="s">
        <v>4764</v>
      </c>
    </row>
    <row r="1866" spans="1:2" x14ac:dyDescent="0.25">
      <c r="A1866" s="1" t="s">
        <v>2745</v>
      </c>
      <c r="B1866" s="1" t="s">
        <v>6049</v>
      </c>
    </row>
    <row r="1867" spans="1:2" x14ac:dyDescent="0.25">
      <c r="A1867" s="1" t="s">
        <v>2746</v>
      </c>
      <c r="B1867" s="1" t="s">
        <v>6400</v>
      </c>
    </row>
    <row r="1868" spans="1:2" x14ac:dyDescent="0.25">
      <c r="A1868" s="1" t="s">
        <v>2747</v>
      </c>
      <c r="B1868" s="1" t="s">
        <v>6401</v>
      </c>
    </row>
    <row r="1869" spans="1:2" x14ac:dyDescent="0.25">
      <c r="A1869" s="1" t="s">
        <v>2748</v>
      </c>
      <c r="B1869" s="1" t="s">
        <v>6402</v>
      </c>
    </row>
    <row r="1870" spans="1:2" x14ac:dyDescent="0.25">
      <c r="A1870" s="1" t="s">
        <v>2749</v>
      </c>
      <c r="B1870" s="1" t="s">
        <v>6403</v>
      </c>
    </row>
    <row r="1871" spans="1:2" x14ac:dyDescent="0.25">
      <c r="A1871" s="1" t="s">
        <v>2750</v>
      </c>
      <c r="B1871" s="1" t="s">
        <v>6404</v>
      </c>
    </row>
    <row r="1872" spans="1:2" x14ac:dyDescent="0.25">
      <c r="A1872" s="1" t="s">
        <v>2751</v>
      </c>
      <c r="B1872" s="1" t="s">
        <v>4582</v>
      </c>
    </row>
    <row r="1873" spans="1:2" x14ac:dyDescent="0.25">
      <c r="A1873" s="1" t="s">
        <v>2752</v>
      </c>
      <c r="B1873" s="1" t="s">
        <v>6405</v>
      </c>
    </row>
    <row r="1874" spans="1:2" x14ac:dyDescent="0.25">
      <c r="A1874" s="1" t="s">
        <v>2753</v>
      </c>
      <c r="B1874" s="1" t="s">
        <v>5424</v>
      </c>
    </row>
    <row r="1875" spans="1:2" x14ac:dyDescent="0.25">
      <c r="A1875" s="1" t="s">
        <v>2754</v>
      </c>
      <c r="B1875" s="1" t="s">
        <v>5293</v>
      </c>
    </row>
    <row r="1876" spans="1:2" x14ac:dyDescent="0.25">
      <c r="A1876" s="1" t="s">
        <v>2755</v>
      </c>
      <c r="B1876" s="1" t="s">
        <v>5449</v>
      </c>
    </row>
    <row r="1877" spans="1:2" x14ac:dyDescent="0.25">
      <c r="A1877" s="1" t="s">
        <v>2756</v>
      </c>
      <c r="B1877" s="1" t="s">
        <v>5362</v>
      </c>
    </row>
    <row r="1878" spans="1:2" x14ac:dyDescent="0.25">
      <c r="A1878" s="1" t="s">
        <v>2757</v>
      </c>
      <c r="B1878" s="1" t="s">
        <v>5203</v>
      </c>
    </row>
    <row r="1879" spans="1:2" x14ac:dyDescent="0.25">
      <c r="A1879" s="1" t="s">
        <v>2758</v>
      </c>
      <c r="B1879" s="1" t="s">
        <v>5362</v>
      </c>
    </row>
    <row r="1880" spans="1:2" x14ac:dyDescent="0.25">
      <c r="A1880" s="1" t="s">
        <v>2759</v>
      </c>
      <c r="B1880" s="1" t="s">
        <v>5362</v>
      </c>
    </row>
    <row r="1881" spans="1:2" x14ac:dyDescent="0.25">
      <c r="A1881" s="1" t="s">
        <v>2760</v>
      </c>
      <c r="B1881" s="1" t="s">
        <v>5187</v>
      </c>
    </row>
    <row r="1882" spans="1:2" x14ac:dyDescent="0.25">
      <c r="A1882" s="1" t="s">
        <v>2761</v>
      </c>
      <c r="B1882" s="1" t="s">
        <v>5000</v>
      </c>
    </row>
    <row r="1883" spans="1:2" x14ac:dyDescent="0.25">
      <c r="A1883" s="1" t="s">
        <v>2762</v>
      </c>
      <c r="B1883" s="1" t="s">
        <v>6406</v>
      </c>
    </row>
    <row r="1884" spans="1:2" x14ac:dyDescent="0.25">
      <c r="A1884" s="1" t="s">
        <v>2763</v>
      </c>
      <c r="B1884" s="1" t="s">
        <v>6407</v>
      </c>
    </row>
    <row r="1885" spans="1:2" x14ac:dyDescent="0.25">
      <c r="A1885" s="1" t="s">
        <v>2764</v>
      </c>
      <c r="B1885" s="1" t="s">
        <v>6408</v>
      </c>
    </row>
    <row r="1886" spans="1:2" x14ac:dyDescent="0.25">
      <c r="A1886" s="1" t="s">
        <v>2765</v>
      </c>
      <c r="B1886" s="1" t="s">
        <v>6409</v>
      </c>
    </row>
    <row r="1887" spans="1:2" x14ac:dyDescent="0.25">
      <c r="A1887" s="1" t="s">
        <v>2766</v>
      </c>
      <c r="B1887" s="1" t="s">
        <v>6258</v>
      </c>
    </row>
    <row r="1888" spans="1:2" x14ac:dyDescent="0.25">
      <c r="A1888" s="1" t="s">
        <v>2767</v>
      </c>
      <c r="B1888" s="1" t="s">
        <v>6410</v>
      </c>
    </row>
    <row r="1889" spans="1:2" x14ac:dyDescent="0.25">
      <c r="A1889" s="1" t="s">
        <v>2768</v>
      </c>
      <c r="B1889" s="1" t="s">
        <v>6411</v>
      </c>
    </row>
    <row r="1890" spans="1:2" x14ac:dyDescent="0.25">
      <c r="A1890" s="1" t="s">
        <v>2769</v>
      </c>
      <c r="B1890" s="1" t="s">
        <v>6412</v>
      </c>
    </row>
    <row r="1891" spans="1:2" x14ac:dyDescent="0.25">
      <c r="A1891" s="1" t="s">
        <v>2770</v>
      </c>
      <c r="B1891" s="1" t="s">
        <v>6413</v>
      </c>
    </row>
    <row r="1892" spans="1:2" x14ac:dyDescent="0.25">
      <c r="A1892" s="1" t="s">
        <v>2771</v>
      </c>
      <c r="B1892" s="1" t="s">
        <v>6414</v>
      </c>
    </row>
    <row r="1893" spans="1:2" x14ac:dyDescent="0.25">
      <c r="A1893" s="1" t="s">
        <v>2772</v>
      </c>
      <c r="B1893" s="1" t="s">
        <v>4754</v>
      </c>
    </row>
    <row r="1894" spans="1:2" x14ac:dyDescent="0.25">
      <c r="A1894" s="1" t="s">
        <v>2773</v>
      </c>
      <c r="B1894" s="1" t="s">
        <v>6415</v>
      </c>
    </row>
    <row r="1895" spans="1:2" x14ac:dyDescent="0.25">
      <c r="A1895" s="1" t="s">
        <v>2774</v>
      </c>
      <c r="B1895" s="1" t="s">
        <v>4631</v>
      </c>
    </row>
    <row r="1896" spans="1:2" x14ac:dyDescent="0.25">
      <c r="A1896" s="1" t="s">
        <v>2775</v>
      </c>
      <c r="B1896" s="1" t="s">
        <v>6416</v>
      </c>
    </row>
    <row r="1897" spans="1:2" x14ac:dyDescent="0.25">
      <c r="A1897" s="1" t="s">
        <v>2776</v>
      </c>
      <c r="B1897" s="1" t="s">
        <v>6417</v>
      </c>
    </row>
    <row r="1898" spans="1:2" x14ac:dyDescent="0.25">
      <c r="A1898" s="1" t="s">
        <v>2777</v>
      </c>
      <c r="B1898" s="1" t="s">
        <v>4801</v>
      </c>
    </row>
    <row r="1899" spans="1:2" x14ac:dyDescent="0.25">
      <c r="A1899" s="1" t="s">
        <v>2778</v>
      </c>
      <c r="B1899" s="1" t="s">
        <v>6418</v>
      </c>
    </row>
    <row r="1900" spans="1:2" x14ac:dyDescent="0.25">
      <c r="A1900" s="1" t="s">
        <v>2779</v>
      </c>
      <c r="B1900" s="1" t="s">
        <v>6419</v>
      </c>
    </row>
    <row r="1901" spans="1:2" x14ac:dyDescent="0.25">
      <c r="A1901" s="1" t="s">
        <v>2780</v>
      </c>
      <c r="B1901" s="1" t="s">
        <v>6420</v>
      </c>
    </row>
    <row r="1902" spans="1:2" x14ac:dyDescent="0.25">
      <c r="A1902" s="1" t="s">
        <v>2781</v>
      </c>
      <c r="B1902" s="1" t="s">
        <v>4712</v>
      </c>
    </row>
    <row r="1903" spans="1:2" x14ac:dyDescent="0.25">
      <c r="A1903" s="1" t="s">
        <v>2782</v>
      </c>
      <c r="B1903" s="1" t="s">
        <v>6421</v>
      </c>
    </row>
    <row r="1904" spans="1:2" x14ac:dyDescent="0.25">
      <c r="A1904" s="1" t="s">
        <v>2783</v>
      </c>
      <c r="B1904" s="1" t="s">
        <v>4886</v>
      </c>
    </row>
    <row r="1905" spans="1:2" x14ac:dyDescent="0.25">
      <c r="A1905" s="1" t="s">
        <v>2784</v>
      </c>
      <c r="B1905" s="1" t="s">
        <v>4889</v>
      </c>
    </row>
    <row r="1906" spans="1:2" x14ac:dyDescent="0.25">
      <c r="A1906" s="1" t="s">
        <v>2785</v>
      </c>
      <c r="B1906" s="1" t="s">
        <v>5829</v>
      </c>
    </row>
    <row r="1907" spans="1:2" x14ac:dyDescent="0.25">
      <c r="A1907" s="1" t="s">
        <v>4360</v>
      </c>
      <c r="B1907" s="1" t="s">
        <v>6422</v>
      </c>
    </row>
    <row r="1908" spans="1:2" x14ac:dyDescent="0.25">
      <c r="A1908" s="1" t="s">
        <v>2786</v>
      </c>
      <c r="B1908" s="1" t="s">
        <v>6423</v>
      </c>
    </row>
    <row r="1909" spans="1:2" x14ac:dyDescent="0.25">
      <c r="A1909" s="1" t="s">
        <v>2787</v>
      </c>
      <c r="B1909" s="1" t="s">
        <v>6424</v>
      </c>
    </row>
    <row r="1910" spans="1:2" x14ac:dyDescent="0.25">
      <c r="A1910" s="1" t="s">
        <v>2788</v>
      </c>
      <c r="B1910" s="1" t="s">
        <v>6425</v>
      </c>
    </row>
    <row r="1911" spans="1:2" x14ac:dyDescent="0.25">
      <c r="A1911" s="1" t="s">
        <v>2789</v>
      </c>
      <c r="B1911" s="1" t="s">
        <v>4592</v>
      </c>
    </row>
    <row r="1912" spans="1:2" x14ac:dyDescent="0.25">
      <c r="A1912" s="1" t="s">
        <v>2790</v>
      </c>
      <c r="B1912" s="1" t="s">
        <v>5362</v>
      </c>
    </row>
    <row r="1913" spans="1:2" x14ac:dyDescent="0.25">
      <c r="A1913" s="1" t="s">
        <v>2791</v>
      </c>
      <c r="B1913" s="1" t="s">
        <v>6426</v>
      </c>
    </row>
    <row r="1914" spans="1:2" x14ac:dyDescent="0.25">
      <c r="A1914" s="1" t="s">
        <v>2792</v>
      </c>
      <c r="B1914" s="1" t="s">
        <v>6427</v>
      </c>
    </row>
    <row r="1915" spans="1:2" x14ac:dyDescent="0.25">
      <c r="A1915" s="1" t="s">
        <v>2793</v>
      </c>
      <c r="B1915" s="1" t="s">
        <v>6428</v>
      </c>
    </row>
    <row r="1916" spans="1:2" x14ac:dyDescent="0.25">
      <c r="A1916" s="1" t="s">
        <v>2794</v>
      </c>
      <c r="B1916" s="1" t="s">
        <v>6429</v>
      </c>
    </row>
    <row r="1917" spans="1:2" x14ac:dyDescent="0.25">
      <c r="A1917" s="1" t="s">
        <v>2795</v>
      </c>
      <c r="B1917" s="1" t="s">
        <v>6430</v>
      </c>
    </row>
    <row r="1918" spans="1:2" x14ac:dyDescent="0.25">
      <c r="A1918" s="1" t="s">
        <v>2796</v>
      </c>
      <c r="B1918" s="1" t="s">
        <v>4666</v>
      </c>
    </row>
    <row r="1919" spans="1:2" x14ac:dyDescent="0.25">
      <c r="A1919" s="1" t="s">
        <v>2797</v>
      </c>
      <c r="B1919" s="1" t="s">
        <v>4678</v>
      </c>
    </row>
    <row r="1920" spans="1:2" x14ac:dyDescent="0.25">
      <c r="A1920" s="1" t="s">
        <v>2798</v>
      </c>
      <c r="B1920" s="1" t="s">
        <v>6431</v>
      </c>
    </row>
    <row r="1921" spans="1:2" x14ac:dyDescent="0.25">
      <c r="A1921" s="1" t="s">
        <v>2799</v>
      </c>
      <c r="B1921" s="1" t="s">
        <v>5530</v>
      </c>
    </row>
    <row r="1922" spans="1:2" x14ac:dyDescent="0.25">
      <c r="A1922" s="1" t="s">
        <v>2800</v>
      </c>
      <c r="B1922" s="1" t="s">
        <v>5863</v>
      </c>
    </row>
    <row r="1923" spans="1:2" x14ac:dyDescent="0.25">
      <c r="A1923" s="1" t="s">
        <v>2801</v>
      </c>
      <c r="B1923" s="1" t="s">
        <v>4625</v>
      </c>
    </row>
    <row r="1924" spans="1:2" x14ac:dyDescent="0.25">
      <c r="A1924" s="1" t="s">
        <v>2802</v>
      </c>
      <c r="B1924" s="1" t="s">
        <v>6432</v>
      </c>
    </row>
    <row r="1925" spans="1:2" x14ac:dyDescent="0.25">
      <c r="A1925" s="1" t="s">
        <v>2803</v>
      </c>
      <c r="B1925" s="1" t="s">
        <v>6433</v>
      </c>
    </row>
    <row r="1926" spans="1:2" x14ac:dyDescent="0.25">
      <c r="A1926" s="1" t="s">
        <v>2804</v>
      </c>
      <c r="B1926" s="1" t="s">
        <v>6279</v>
      </c>
    </row>
    <row r="1927" spans="1:2" x14ac:dyDescent="0.25">
      <c r="A1927" s="1" t="s">
        <v>2805</v>
      </c>
      <c r="B1927" s="1" t="s">
        <v>4768</v>
      </c>
    </row>
    <row r="1928" spans="1:2" x14ac:dyDescent="0.25">
      <c r="A1928" s="1" t="s">
        <v>2806</v>
      </c>
      <c r="B1928" s="1" t="s">
        <v>6434</v>
      </c>
    </row>
    <row r="1929" spans="1:2" x14ac:dyDescent="0.25">
      <c r="A1929" s="1" t="s">
        <v>2807</v>
      </c>
      <c r="B1929" s="1" t="s">
        <v>6435</v>
      </c>
    </row>
    <row r="1930" spans="1:2" x14ac:dyDescent="0.25">
      <c r="A1930" s="1" t="s">
        <v>2808</v>
      </c>
      <c r="B1930" s="1" t="s">
        <v>6436</v>
      </c>
    </row>
    <row r="1931" spans="1:2" x14ac:dyDescent="0.25">
      <c r="A1931" s="1" t="s">
        <v>2809</v>
      </c>
      <c r="B1931" s="1" t="s">
        <v>4782</v>
      </c>
    </row>
    <row r="1932" spans="1:2" x14ac:dyDescent="0.25">
      <c r="A1932" s="1" t="s">
        <v>2810</v>
      </c>
      <c r="B1932" s="1" t="s">
        <v>5477</v>
      </c>
    </row>
    <row r="1933" spans="1:2" x14ac:dyDescent="0.25">
      <c r="A1933" s="1" t="s">
        <v>2811</v>
      </c>
      <c r="B1933" s="1" t="s">
        <v>6437</v>
      </c>
    </row>
    <row r="1934" spans="1:2" x14ac:dyDescent="0.25">
      <c r="A1934" s="1" t="s">
        <v>2812</v>
      </c>
      <c r="B1934" s="1" t="s">
        <v>6438</v>
      </c>
    </row>
    <row r="1935" spans="1:2" x14ac:dyDescent="0.25">
      <c r="A1935" s="1" t="s">
        <v>2813</v>
      </c>
      <c r="B1935" s="1" t="s">
        <v>6064</v>
      </c>
    </row>
    <row r="1936" spans="1:2" x14ac:dyDescent="0.25">
      <c r="A1936" s="1" t="s">
        <v>2814</v>
      </c>
      <c r="B1936" s="1" t="s">
        <v>5184</v>
      </c>
    </row>
    <row r="1937" spans="1:2" x14ac:dyDescent="0.25">
      <c r="A1937" s="1" t="s">
        <v>2815</v>
      </c>
      <c r="B1937" s="1" t="s">
        <v>5866</v>
      </c>
    </row>
    <row r="1938" spans="1:2" x14ac:dyDescent="0.25">
      <c r="A1938" s="1" t="s">
        <v>2816</v>
      </c>
      <c r="B1938" s="1" t="s">
        <v>4888</v>
      </c>
    </row>
    <row r="1939" spans="1:2" x14ac:dyDescent="0.25">
      <c r="A1939" s="1" t="s">
        <v>2817</v>
      </c>
      <c r="B1939" s="1" t="s">
        <v>5044</v>
      </c>
    </row>
    <row r="1940" spans="1:2" x14ac:dyDescent="0.25">
      <c r="A1940" s="1" t="s">
        <v>2818</v>
      </c>
      <c r="B1940" s="1" t="s">
        <v>4952</v>
      </c>
    </row>
    <row r="1941" spans="1:2" x14ac:dyDescent="0.25">
      <c r="A1941" s="1" t="s">
        <v>2819</v>
      </c>
      <c r="B1941" s="1" t="s">
        <v>6439</v>
      </c>
    </row>
    <row r="1942" spans="1:2" x14ac:dyDescent="0.25">
      <c r="A1942" s="1" t="s">
        <v>2820</v>
      </c>
      <c r="B1942" s="1" t="s">
        <v>6440</v>
      </c>
    </row>
    <row r="1943" spans="1:2" x14ac:dyDescent="0.25">
      <c r="A1943" s="1" t="s">
        <v>2821</v>
      </c>
      <c r="B1943" s="1" t="s">
        <v>6441</v>
      </c>
    </row>
    <row r="1944" spans="1:2" x14ac:dyDescent="0.25">
      <c r="A1944" s="1" t="s">
        <v>2822</v>
      </c>
      <c r="B1944" s="1" t="s">
        <v>6116</v>
      </c>
    </row>
    <row r="1945" spans="1:2" x14ac:dyDescent="0.25">
      <c r="A1945" s="1" t="s">
        <v>2823</v>
      </c>
      <c r="B1945" s="1" t="s">
        <v>6442</v>
      </c>
    </row>
    <row r="1946" spans="1:2" x14ac:dyDescent="0.25">
      <c r="A1946" s="1" t="s">
        <v>2824</v>
      </c>
      <c r="B1946" s="1" t="s">
        <v>6443</v>
      </c>
    </row>
    <row r="1947" spans="1:2" x14ac:dyDescent="0.25">
      <c r="A1947" s="1" t="s">
        <v>2825</v>
      </c>
      <c r="B1947" s="1" t="s">
        <v>4805</v>
      </c>
    </row>
    <row r="1948" spans="1:2" x14ac:dyDescent="0.25">
      <c r="A1948" s="1" t="s">
        <v>2826</v>
      </c>
      <c r="B1948" s="1" t="s">
        <v>6444</v>
      </c>
    </row>
    <row r="1949" spans="1:2" x14ac:dyDescent="0.25">
      <c r="A1949" s="1" t="s">
        <v>2827</v>
      </c>
      <c r="B1949" s="1" t="s">
        <v>6445</v>
      </c>
    </row>
    <row r="1950" spans="1:2" x14ac:dyDescent="0.25">
      <c r="A1950" s="1" t="s">
        <v>2828</v>
      </c>
      <c r="B1950" s="1" t="s">
        <v>5222</v>
      </c>
    </row>
    <row r="1951" spans="1:2" x14ac:dyDescent="0.25">
      <c r="A1951" s="1" t="s">
        <v>2829</v>
      </c>
      <c r="B1951" s="1" t="s">
        <v>5537</v>
      </c>
    </row>
    <row r="1952" spans="1:2" x14ac:dyDescent="0.25">
      <c r="A1952" s="1" t="s">
        <v>2830</v>
      </c>
      <c r="B1952" s="1" t="s">
        <v>6446</v>
      </c>
    </row>
    <row r="1953" spans="1:2" x14ac:dyDescent="0.25">
      <c r="A1953" s="1" t="s">
        <v>2831</v>
      </c>
      <c r="B1953" s="1" t="s">
        <v>5602</v>
      </c>
    </row>
    <row r="1954" spans="1:2" x14ac:dyDescent="0.25">
      <c r="A1954" s="1" t="s">
        <v>2832</v>
      </c>
      <c r="B1954" s="1" t="s">
        <v>4604</v>
      </c>
    </row>
    <row r="1955" spans="1:2" x14ac:dyDescent="0.25">
      <c r="A1955" s="1" t="s">
        <v>2833</v>
      </c>
      <c r="B1955" s="1" t="s">
        <v>6447</v>
      </c>
    </row>
    <row r="1956" spans="1:2" x14ac:dyDescent="0.25">
      <c r="A1956" s="1" t="s">
        <v>2834</v>
      </c>
      <c r="B1956" s="1" t="s">
        <v>6448</v>
      </c>
    </row>
    <row r="1957" spans="1:2" x14ac:dyDescent="0.25">
      <c r="A1957" s="1" t="s">
        <v>2835</v>
      </c>
      <c r="B1957" s="1" t="s">
        <v>5261</v>
      </c>
    </row>
    <row r="1958" spans="1:2" x14ac:dyDescent="0.25">
      <c r="A1958" s="1" t="s">
        <v>2836</v>
      </c>
      <c r="B1958" s="1" t="s">
        <v>5599</v>
      </c>
    </row>
    <row r="1959" spans="1:2" x14ac:dyDescent="0.25">
      <c r="A1959" s="1" t="s">
        <v>2837</v>
      </c>
      <c r="B1959" s="1" t="s">
        <v>6449</v>
      </c>
    </row>
    <row r="1960" spans="1:2" x14ac:dyDescent="0.25">
      <c r="A1960" s="1" t="s">
        <v>2838</v>
      </c>
      <c r="B1960" s="1" t="s">
        <v>5679</v>
      </c>
    </row>
    <row r="1961" spans="1:2" x14ac:dyDescent="0.25">
      <c r="A1961" s="1" t="s">
        <v>2839</v>
      </c>
      <c r="B1961" s="1" t="s">
        <v>6450</v>
      </c>
    </row>
    <row r="1962" spans="1:2" x14ac:dyDescent="0.25">
      <c r="A1962" s="1" t="s">
        <v>2840</v>
      </c>
      <c r="B1962" s="1" t="s">
        <v>4896</v>
      </c>
    </row>
    <row r="1963" spans="1:2" x14ac:dyDescent="0.25">
      <c r="A1963" s="1" t="s">
        <v>2841</v>
      </c>
      <c r="B1963" s="1" t="s">
        <v>6451</v>
      </c>
    </row>
    <row r="1964" spans="1:2" x14ac:dyDescent="0.25">
      <c r="A1964" s="1" t="s">
        <v>2842</v>
      </c>
      <c r="B1964" s="1" t="s">
        <v>4407</v>
      </c>
    </row>
    <row r="1965" spans="1:2" x14ac:dyDescent="0.25">
      <c r="A1965" s="1" t="s">
        <v>2843</v>
      </c>
      <c r="B1965" s="1" t="s">
        <v>4378</v>
      </c>
    </row>
    <row r="1966" spans="1:2" x14ac:dyDescent="0.25">
      <c r="A1966" s="1" t="s">
        <v>2844</v>
      </c>
      <c r="B1966" s="1" t="s">
        <v>4661</v>
      </c>
    </row>
    <row r="1967" spans="1:2" x14ac:dyDescent="0.25">
      <c r="A1967" s="1" t="s">
        <v>2845</v>
      </c>
      <c r="B1967" s="1" t="s">
        <v>6452</v>
      </c>
    </row>
    <row r="1968" spans="1:2" x14ac:dyDescent="0.25">
      <c r="A1968" s="1" t="s">
        <v>2846</v>
      </c>
      <c r="B1968" s="1" t="s">
        <v>6453</v>
      </c>
    </row>
    <row r="1969" spans="1:2" x14ac:dyDescent="0.25">
      <c r="A1969" s="1" t="s">
        <v>2847</v>
      </c>
      <c r="B1969" s="1" t="s">
        <v>6454</v>
      </c>
    </row>
    <row r="1970" spans="1:2" x14ac:dyDescent="0.25">
      <c r="A1970" s="1" t="s">
        <v>2848</v>
      </c>
      <c r="B1970" s="1" t="s">
        <v>5836</v>
      </c>
    </row>
    <row r="1971" spans="1:2" x14ac:dyDescent="0.25">
      <c r="A1971" s="1" t="s">
        <v>2849</v>
      </c>
      <c r="B1971" s="1" t="s">
        <v>5187</v>
      </c>
    </row>
    <row r="1972" spans="1:2" x14ac:dyDescent="0.25">
      <c r="A1972" s="1" t="s">
        <v>2850</v>
      </c>
      <c r="B1972" s="1" t="s">
        <v>6455</v>
      </c>
    </row>
    <row r="1973" spans="1:2" x14ac:dyDescent="0.25">
      <c r="A1973" s="1" t="s">
        <v>2851</v>
      </c>
      <c r="B1973" s="1" t="s">
        <v>6456</v>
      </c>
    </row>
    <row r="1974" spans="1:2" x14ac:dyDescent="0.25">
      <c r="A1974" s="1" t="s">
        <v>2852</v>
      </c>
      <c r="B1974" s="1" t="s">
        <v>4620</v>
      </c>
    </row>
    <row r="1975" spans="1:2" x14ac:dyDescent="0.25">
      <c r="A1975" s="1" t="s">
        <v>2853</v>
      </c>
      <c r="B1975" s="1" t="s">
        <v>6457</v>
      </c>
    </row>
    <row r="1976" spans="1:2" x14ac:dyDescent="0.25">
      <c r="A1976" s="1" t="s">
        <v>2854</v>
      </c>
      <c r="B1976" s="1" t="s">
        <v>6458</v>
      </c>
    </row>
    <row r="1977" spans="1:2" x14ac:dyDescent="0.25">
      <c r="A1977" s="1" t="s">
        <v>2855</v>
      </c>
      <c r="B1977" s="1" t="s">
        <v>4589</v>
      </c>
    </row>
    <row r="1978" spans="1:2" x14ac:dyDescent="0.25">
      <c r="A1978" s="1" t="s">
        <v>2856</v>
      </c>
      <c r="B1978" s="1" t="s">
        <v>6459</v>
      </c>
    </row>
    <row r="1979" spans="1:2" x14ac:dyDescent="0.25">
      <c r="A1979" s="1" t="s">
        <v>2857</v>
      </c>
      <c r="B1979" s="1" t="s">
        <v>5691</v>
      </c>
    </row>
    <row r="1980" spans="1:2" x14ac:dyDescent="0.25">
      <c r="A1980" s="1" t="s">
        <v>2858</v>
      </c>
      <c r="B1980" s="1" t="s">
        <v>6460</v>
      </c>
    </row>
    <row r="1981" spans="1:2" x14ac:dyDescent="0.25">
      <c r="A1981" s="1" t="s">
        <v>2859</v>
      </c>
      <c r="B1981" s="1" t="s">
        <v>5407</v>
      </c>
    </row>
    <row r="1982" spans="1:2" x14ac:dyDescent="0.25">
      <c r="A1982" s="1" t="s">
        <v>2860</v>
      </c>
      <c r="B1982" s="1" t="s">
        <v>4568</v>
      </c>
    </row>
    <row r="1983" spans="1:2" x14ac:dyDescent="0.25">
      <c r="A1983" s="1" t="s">
        <v>2861</v>
      </c>
      <c r="B1983" s="1" t="s">
        <v>6132</v>
      </c>
    </row>
    <row r="1984" spans="1:2" x14ac:dyDescent="0.25">
      <c r="A1984" s="1" t="s">
        <v>2862</v>
      </c>
      <c r="B1984" s="1" t="s">
        <v>5530</v>
      </c>
    </row>
    <row r="1985" spans="1:2" x14ac:dyDescent="0.25">
      <c r="A1985" s="1" t="s">
        <v>2863</v>
      </c>
      <c r="B1985" s="1" t="s">
        <v>6461</v>
      </c>
    </row>
    <row r="1986" spans="1:2" x14ac:dyDescent="0.25">
      <c r="A1986" s="1" t="s">
        <v>2864</v>
      </c>
      <c r="B1986" s="1" t="s">
        <v>6462</v>
      </c>
    </row>
    <row r="1987" spans="1:2" x14ac:dyDescent="0.25">
      <c r="A1987" s="1" t="s">
        <v>2865</v>
      </c>
      <c r="B1987" s="1" t="s">
        <v>6463</v>
      </c>
    </row>
    <row r="1988" spans="1:2" x14ac:dyDescent="0.25">
      <c r="A1988" s="1" t="s">
        <v>2866</v>
      </c>
      <c r="B1988" s="1" t="s">
        <v>5982</v>
      </c>
    </row>
    <row r="1989" spans="1:2" x14ac:dyDescent="0.25">
      <c r="A1989" s="1" t="s">
        <v>2867</v>
      </c>
      <c r="B1989" s="1" t="s">
        <v>4951</v>
      </c>
    </row>
    <row r="1990" spans="1:2" x14ac:dyDescent="0.25">
      <c r="A1990" s="1" t="s">
        <v>2868</v>
      </c>
      <c r="B1990" s="1" t="s">
        <v>6464</v>
      </c>
    </row>
    <row r="1991" spans="1:2" x14ac:dyDescent="0.25">
      <c r="A1991" s="1" t="s">
        <v>2869</v>
      </c>
      <c r="B1991" s="1" t="s">
        <v>6465</v>
      </c>
    </row>
    <row r="1992" spans="1:2" x14ac:dyDescent="0.25">
      <c r="A1992" s="1" t="s">
        <v>2870</v>
      </c>
      <c r="B1992" s="1" t="s">
        <v>5905</v>
      </c>
    </row>
    <row r="1993" spans="1:2" x14ac:dyDescent="0.25">
      <c r="A1993" s="1" t="s">
        <v>2871</v>
      </c>
      <c r="B1993" s="1" t="s">
        <v>4385</v>
      </c>
    </row>
    <row r="1994" spans="1:2" x14ac:dyDescent="0.25">
      <c r="A1994" s="1" t="s">
        <v>2872</v>
      </c>
      <c r="B1994" s="1" t="s">
        <v>6466</v>
      </c>
    </row>
    <row r="1995" spans="1:2" x14ac:dyDescent="0.25">
      <c r="A1995" s="1" t="s">
        <v>4282</v>
      </c>
      <c r="B1995" s="1" t="s">
        <v>5947</v>
      </c>
    </row>
    <row r="1996" spans="1:2" x14ac:dyDescent="0.25">
      <c r="A1996" s="1" t="s">
        <v>2873</v>
      </c>
      <c r="B1996" s="1" t="s">
        <v>6467</v>
      </c>
    </row>
    <row r="1997" spans="1:2" x14ac:dyDescent="0.25">
      <c r="A1997" s="1" t="s">
        <v>2874</v>
      </c>
      <c r="B1997" s="1" t="s">
        <v>6468</v>
      </c>
    </row>
    <row r="1998" spans="1:2" x14ac:dyDescent="0.25">
      <c r="A1998" s="1" t="s">
        <v>2875</v>
      </c>
      <c r="B1998" s="1" t="s">
        <v>6469</v>
      </c>
    </row>
    <row r="1999" spans="1:2" x14ac:dyDescent="0.25">
      <c r="A1999" s="1" t="s">
        <v>2876</v>
      </c>
      <c r="B1999" s="1" t="s">
        <v>5368</v>
      </c>
    </row>
    <row r="2000" spans="1:2" x14ac:dyDescent="0.25">
      <c r="A2000" s="1" t="s">
        <v>2877</v>
      </c>
      <c r="B2000" s="1" t="s">
        <v>4986</v>
      </c>
    </row>
    <row r="2001" spans="1:2" x14ac:dyDescent="0.25">
      <c r="A2001" s="1" t="s">
        <v>2878</v>
      </c>
      <c r="B2001" s="1" t="s">
        <v>5592</v>
      </c>
    </row>
    <row r="2002" spans="1:2" x14ac:dyDescent="0.25">
      <c r="A2002" s="1" t="s">
        <v>2879</v>
      </c>
      <c r="B2002" s="1" t="s">
        <v>6470</v>
      </c>
    </row>
    <row r="2003" spans="1:2" x14ac:dyDescent="0.25">
      <c r="A2003" s="1" t="s">
        <v>2880</v>
      </c>
      <c r="B2003" s="1" t="s">
        <v>6471</v>
      </c>
    </row>
    <row r="2004" spans="1:2" x14ac:dyDescent="0.25">
      <c r="A2004" s="1" t="s">
        <v>2881</v>
      </c>
      <c r="B2004" s="1" t="s">
        <v>6472</v>
      </c>
    </row>
    <row r="2005" spans="1:2" x14ac:dyDescent="0.25">
      <c r="A2005" s="1" t="s">
        <v>2882</v>
      </c>
      <c r="B2005" s="1" t="s">
        <v>6473</v>
      </c>
    </row>
    <row r="2006" spans="1:2" x14ac:dyDescent="0.25">
      <c r="A2006" s="1" t="s">
        <v>2883</v>
      </c>
      <c r="B2006" s="1" t="s">
        <v>6474</v>
      </c>
    </row>
    <row r="2007" spans="1:2" x14ac:dyDescent="0.25">
      <c r="A2007" s="1" t="s">
        <v>2884</v>
      </c>
      <c r="B2007" s="1" t="s">
        <v>5430</v>
      </c>
    </row>
    <row r="2008" spans="1:2" x14ac:dyDescent="0.25">
      <c r="A2008" s="1" t="s">
        <v>2885</v>
      </c>
      <c r="B2008" s="1" t="s">
        <v>5997</v>
      </c>
    </row>
    <row r="2009" spans="1:2" x14ac:dyDescent="0.25">
      <c r="A2009" s="1" t="s">
        <v>2886</v>
      </c>
      <c r="B2009" s="1" t="s">
        <v>4708</v>
      </c>
    </row>
    <row r="2010" spans="1:2" x14ac:dyDescent="0.25">
      <c r="A2010" s="1" t="s">
        <v>2887</v>
      </c>
      <c r="B2010" s="1" t="s">
        <v>6475</v>
      </c>
    </row>
    <row r="2011" spans="1:2" x14ac:dyDescent="0.25">
      <c r="A2011" s="1" t="s">
        <v>2888</v>
      </c>
      <c r="B2011" s="1" t="s">
        <v>6476</v>
      </c>
    </row>
    <row r="2012" spans="1:2" x14ac:dyDescent="0.25">
      <c r="A2012" s="1" t="s">
        <v>2889</v>
      </c>
      <c r="B2012" s="1" t="s">
        <v>6477</v>
      </c>
    </row>
    <row r="2013" spans="1:2" x14ac:dyDescent="0.25">
      <c r="A2013" s="1" t="s">
        <v>2890</v>
      </c>
      <c r="B2013" s="1" t="s">
        <v>4372</v>
      </c>
    </row>
    <row r="2014" spans="1:2" x14ac:dyDescent="0.25">
      <c r="A2014" s="1" t="s">
        <v>2891</v>
      </c>
      <c r="B2014" s="1" t="s">
        <v>6103</v>
      </c>
    </row>
    <row r="2015" spans="1:2" x14ac:dyDescent="0.25">
      <c r="A2015" s="1" t="s">
        <v>2892</v>
      </c>
      <c r="B2015" s="1" t="s">
        <v>6478</v>
      </c>
    </row>
    <row r="2016" spans="1:2" x14ac:dyDescent="0.25">
      <c r="A2016" s="1" t="s">
        <v>2893</v>
      </c>
      <c r="B2016" s="1" t="s">
        <v>6479</v>
      </c>
    </row>
    <row r="2017" spans="1:2" x14ac:dyDescent="0.25">
      <c r="A2017" s="1" t="s">
        <v>2894</v>
      </c>
      <c r="B2017" s="1" t="s">
        <v>4929</v>
      </c>
    </row>
    <row r="2018" spans="1:2" x14ac:dyDescent="0.25">
      <c r="A2018" s="1" t="s">
        <v>2895</v>
      </c>
      <c r="B2018" s="1" t="s">
        <v>6480</v>
      </c>
    </row>
    <row r="2019" spans="1:2" x14ac:dyDescent="0.25">
      <c r="A2019" s="1" t="s">
        <v>2896</v>
      </c>
      <c r="B2019" s="1" t="s">
        <v>6481</v>
      </c>
    </row>
    <row r="2020" spans="1:2" x14ac:dyDescent="0.25">
      <c r="A2020" s="1" t="s">
        <v>2897</v>
      </c>
      <c r="B2020" s="1" t="s">
        <v>6446</v>
      </c>
    </row>
    <row r="2021" spans="1:2" x14ac:dyDescent="0.25">
      <c r="A2021" s="1" t="s">
        <v>2898</v>
      </c>
      <c r="B2021" s="1" t="s">
        <v>6482</v>
      </c>
    </row>
    <row r="2022" spans="1:2" x14ac:dyDescent="0.25">
      <c r="A2022" s="1" t="s">
        <v>2899</v>
      </c>
      <c r="B2022" s="1" t="s">
        <v>6483</v>
      </c>
    </row>
    <row r="2023" spans="1:2" x14ac:dyDescent="0.25">
      <c r="A2023" s="1" t="s">
        <v>2900</v>
      </c>
      <c r="B2023" s="1" t="s">
        <v>6484</v>
      </c>
    </row>
    <row r="2024" spans="1:2" x14ac:dyDescent="0.25">
      <c r="A2024" s="1" t="s">
        <v>2901</v>
      </c>
      <c r="B2024" s="1" t="s">
        <v>6485</v>
      </c>
    </row>
    <row r="2025" spans="1:2" x14ac:dyDescent="0.25">
      <c r="A2025" s="1" t="s">
        <v>2902</v>
      </c>
      <c r="B2025" s="1" t="s">
        <v>6486</v>
      </c>
    </row>
    <row r="2026" spans="1:2" x14ac:dyDescent="0.25">
      <c r="A2026" s="1" t="s">
        <v>2903</v>
      </c>
      <c r="B2026" s="1" t="s">
        <v>6487</v>
      </c>
    </row>
    <row r="2027" spans="1:2" x14ac:dyDescent="0.25">
      <c r="A2027" s="1" t="s">
        <v>2904</v>
      </c>
      <c r="B2027" s="1" t="s">
        <v>5508</v>
      </c>
    </row>
    <row r="2028" spans="1:2" x14ac:dyDescent="0.25">
      <c r="A2028" s="1" t="s">
        <v>2905</v>
      </c>
      <c r="B2028" s="1" t="s">
        <v>6488</v>
      </c>
    </row>
    <row r="2029" spans="1:2" x14ac:dyDescent="0.25">
      <c r="A2029" s="1" t="s">
        <v>2906</v>
      </c>
      <c r="B2029" s="1" t="s">
        <v>5179</v>
      </c>
    </row>
    <row r="2030" spans="1:2" x14ac:dyDescent="0.25">
      <c r="A2030" s="1" t="s">
        <v>2907</v>
      </c>
      <c r="B2030" s="1" t="s">
        <v>6489</v>
      </c>
    </row>
    <row r="2031" spans="1:2" x14ac:dyDescent="0.25">
      <c r="A2031" s="1" t="s">
        <v>2908</v>
      </c>
      <c r="B2031" s="1" t="s">
        <v>6490</v>
      </c>
    </row>
    <row r="2032" spans="1:2" x14ac:dyDescent="0.25">
      <c r="A2032" s="1" t="s">
        <v>2909</v>
      </c>
      <c r="B2032" s="1" t="s">
        <v>6491</v>
      </c>
    </row>
    <row r="2033" spans="1:2" x14ac:dyDescent="0.25">
      <c r="A2033" s="1" t="s">
        <v>2910</v>
      </c>
      <c r="B2033" s="1" t="s">
        <v>6332</v>
      </c>
    </row>
    <row r="2034" spans="1:2" x14ac:dyDescent="0.25">
      <c r="A2034" s="1" t="s">
        <v>2911</v>
      </c>
      <c r="B2034" s="1" t="s">
        <v>4804</v>
      </c>
    </row>
    <row r="2035" spans="1:2" x14ac:dyDescent="0.25">
      <c r="A2035" s="1" t="s">
        <v>2912</v>
      </c>
      <c r="B2035" s="1" t="s">
        <v>6492</v>
      </c>
    </row>
    <row r="2036" spans="1:2" x14ac:dyDescent="0.25">
      <c r="A2036" s="1" t="s">
        <v>2913</v>
      </c>
      <c r="B2036" s="1" t="s">
        <v>6278</v>
      </c>
    </row>
    <row r="2037" spans="1:2" x14ac:dyDescent="0.25">
      <c r="A2037" s="1" t="s">
        <v>2914</v>
      </c>
      <c r="B2037" s="1" t="s">
        <v>4531</v>
      </c>
    </row>
    <row r="2038" spans="1:2" x14ac:dyDescent="0.25">
      <c r="A2038" s="1" t="s">
        <v>2915</v>
      </c>
      <c r="B2038" s="1" t="s">
        <v>6493</v>
      </c>
    </row>
    <row r="2039" spans="1:2" x14ac:dyDescent="0.25">
      <c r="A2039" s="1" t="s">
        <v>2916</v>
      </c>
      <c r="B2039" s="1" t="s">
        <v>6236</v>
      </c>
    </row>
    <row r="2040" spans="1:2" x14ac:dyDescent="0.25">
      <c r="A2040" s="1" t="s">
        <v>2917</v>
      </c>
      <c r="B2040" s="1" t="s">
        <v>5719</v>
      </c>
    </row>
    <row r="2041" spans="1:2" x14ac:dyDescent="0.25">
      <c r="A2041" s="1" t="s">
        <v>2918</v>
      </c>
      <c r="B2041" s="1" t="s">
        <v>6494</v>
      </c>
    </row>
    <row r="2042" spans="1:2" x14ac:dyDescent="0.25">
      <c r="A2042" s="1" t="s">
        <v>2919</v>
      </c>
      <c r="B2042" s="1" t="s">
        <v>5894</v>
      </c>
    </row>
    <row r="2043" spans="1:2" x14ac:dyDescent="0.25">
      <c r="A2043" s="1" t="s">
        <v>2920</v>
      </c>
      <c r="B2043" s="1" t="s">
        <v>4327</v>
      </c>
    </row>
    <row r="2044" spans="1:2" x14ac:dyDescent="0.25">
      <c r="A2044" s="1" t="s">
        <v>2921</v>
      </c>
      <c r="B2044" s="1" t="s">
        <v>4753</v>
      </c>
    </row>
    <row r="2045" spans="1:2" x14ac:dyDescent="0.25">
      <c r="A2045" s="1" t="s">
        <v>2922</v>
      </c>
      <c r="B2045" s="1" t="s">
        <v>6495</v>
      </c>
    </row>
    <row r="2046" spans="1:2" x14ac:dyDescent="0.25">
      <c r="A2046" s="1" t="s">
        <v>2923</v>
      </c>
      <c r="B2046" s="1" t="s">
        <v>4672</v>
      </c>
    </row>
    <row r="2047" spans="1:2" x14ac:dyDescent="0.25">
      <c r="A2047" s="1" t="s">
        <v>2924</v>
      </c>
      <c r="B2047" s="1" t="s">
        <v>6057</v>
      </c>
    </row>
    <row r="2048" spans="1:2" x14ac:dyDescent="0.25">
      <c r="A2048" s="1" t="s">
        <v>2925</v>
      </c>
      <c r="B2048" s="1" t="s">
        <v>6055</v>
      </c>
    </row>
    <row r="2049" spans="1:2" x14ac:dyDescent="0.25">
      <c r="A2049" s="1" t="s">
        <v>2926</v>
      </c>
      <c r="B2049" s="1" t="s">
        <v>6496</v>
      </c>
    </row>
    <row r="2050" spans="1:2" x14ac:dyDescent="0.25">
      <c r="A2050" s="1" t="s">
        <v>2927</v>
      </c>
      <c r="B2050" s="1" t="s">
        <v>6497</v>
      </c>
    </row>
    <row r="2051" spans="1:2" x14ac:dyDescent="0.25">
      <c r="A2051" s="1" t="s">
        <v>2928</v>
      </c>
      <c r="B2051" s="1" t="s">
        <v>4827</v>
      </c>
    </row>
    <row r="2052" spans="1:2" x14ac:dyDescent="0.25">
      <c r="A2052" s="1" t="s">
        <v>2929</v>
      </c>
      <c r="B2052" s="1" t="s">
        <v>6498</v>
      </c>
    </row>
    <row r="2053" spans="1:2" x14ac:dyDescent="0.25">
      <c r="A2053" s="1" t="s">
        <v>2930</v>
      </c>
      <c r="B2053" s="1" t="s">
        <v>6499</v>
      </c>
    </row>
    <row r="2054" spans="1:2" x14ac:dyDescent="0.25">
      <c r="A2054" s="1" t="s">
        <v>2931</v>
      </c>
      <c r="B2054" s="1" t="s">
        <v>6500</v>
      </c>
    </row>
    <row r="2055" spans="1:2" x14ac:dyDescent="0.25">
      <c r="A2055" s="1" t="s">
        <v>2932</v>
      </c>
      <c r="B2055" s="1" t="s">
        <v>6501</v>
      </c>
    </row>
    <row r="2056" spans="1:2" x14ac:dyDescent="0.25">
      <c r="A2056" s="1" t="s">
        <v>2933</v>
      </c>
      <c r="B2056" s="1" t="s">
        <v>4473</v>
      </c>
    </row>
    <row r="2057" spans="1:2" x14ac:dyDescent="0.25">
      <c r="A2057" s="1" t="s">
        <v>2934</v>
      </c>
      <c r="B2057" s="1" t="s">
        <v>5590</v>
      </c>
    </row>
    <row r="2058" spans="1:2" x14ac:dyDescent="0.25">
      <c r="A2058" s="1" t="s">
        <v>4283</v>
      </c>
      <c r="B2058" s="1" t="s">
        <v>5362</v>
      </c>
    </row>
    <row r="2059" spans="1:2" x14ac:dyDescent="0.25">
      <c r="A2059" s="1" t="s">
        <v>2935</v>
      </c>
      <c r="B2059" s="1" t="s">
        <v>6502</v>
      </c>
    </row>
    <row r="2060" spans="1:2" x14ac:dyDescent="0.25">
      <c r="A2060" s="1" t="s">
        <v>2936</v>
      </c>
      <c r="B2060" s="1" t="s">
        <v>4851</v>
      </c>
    </row>
    <row r="2061" spans="1:2" x14ac:dyDescent="0.25">
      <c r="A2061" s="1" t="s">
        <v>2937</v>
      </c>
      <c r="B2061" s="1" t="s">
        <v>4417</v>
      </c>
    </row>
    <row r="2062" spans="1:2" x14ac:dyDescent="0.25">
      <c r="A2062" s="1" t="s">
        <v>2938</v>
      </c>
      <c r="B2062" s="1" t="s">
        <v>6503</v>
      </c>
    </row>
    <row r="2063" spans="1:2" x14ac:dyDescent="0.25">
      <c r="A2063" s="1" t="s">
        <v>2939</v>
      </c>
      <c r="B2063" s="1" t="s">
        <v>6203</v>
      </c>
    </row>
    <row r="2064" spans="1:2" x14ac:dyDescent="0.25">
      <c r="A2064" s="1" t="s">
        <v>2940</v>
      </c>
      <c r="B2064" s="1" t="s">
        <v>6504</v>
      </c>
    </row>
    <row r="2065" spans="1:2" x14ac:dyDescent="0.25">
      <c r="A2065" s="1" t="s">
        <v>2941</v>
      </c>
      <c r="B2065" s="1" t="s">
        <v>6505</v>
      </c>
    </row>
    <row r="2066" spans="1:2" x14ac:dyDescent="0.25">
      <c r="A2066" s="1" t="s">
        <v>2942</v>
      </c>
      <c r="B2066" s="1" t="s">
        <v>6506</v>
      </c>
    </row>
    <row r="2067" spans="1:2" x14ac:dyDescent="0.25">
      <c r="A2067" s="1" t="s">
        <v>2943</v>
      </c>
      <c r="B2067" s="1" t="s">
        <v>6062</v>
      </c>
    </row>
    <row r="2068" spans="1:2" x14ac:dyDescent="0.25">
      <c r="A2068" s="1" t="s">
        <v>2944</v>
      </c>
      <c r="B2068" s="1" t="s">
        <v>6507</v>
      </c>
    </row>
    <row r="2069" spans="1:2" x14ac:dyDescent="0.25">
      <c r="A2069" s="1" t="s">
        <v>2945</v>
      </c>
      <c r="B2069" s="1" t="s">
        <v>6508</v>
      </c>
    </row>
    <row r="2070" spans="1:2" x14ac:dyDescent="0.25">
      <c r="A2070" s="1" t="s">
        <v>2946</v>
      </c>
      <c r="B2070" s="1" t="s">
        <v>4673</v>
      </c>
    </row>
    <row r="2071" spans="1:2" x14ac:dyDescent="0.25">
      <c r="A2071" s="1" t="s">
        <v>2947</v>
      </c>
      <c r="B2071" s="1" t="s">
        <v>4791</v>
      </c>
    </row>
    <row r="2072" spans="1:2" x14ac:dyDescent="0.25">
      <c r="A2072" s="1" t="s">
        <v>2948</v>
      </c>
      <c r="B2072" s="1" t="s">
        <v>6509</v>
      </c>
    </row>
    <row r="2073" spans="1:2" x14ac:dyDescent="0.25">
      <c r="A2073" s="1" t="s">
        <v>2949</v>
      </c>
      <c r="B2073" s="1" t="s">
        <v>6510</v>
      </c>
    </row>
    <row r="2074" spans="1:2" x14ac:dyDescent="0.25">
      <c r="A2074" s="1" t="s">
        <v>2950</v>
      </c>
      <c r="B2074" s="1" t="s">
        <v>6511</v>
      </c>
    </row>
    <row r="2075" spans="1:2" x14ac:dyDescent="0.25">
      <c r="A2075" s="1" t="s">
        <v>2951</v>
      </c>
      <c r="B2075" s="1" t="s">
        <v>6512</v>
      </c>
    </row>
    <row r="2076" spans="1:2" x14ac:dyDescent="0.25">
      <c r="A2076" s="1" t="s">
        <v>2952</v>
      </c>
      <c r="B2076" s="1" t="s">
        <v>4706</v>
      </c>
    </row>
    <row r="2077" spans="1:2" x14ac:dyDescent="0.25">
      <c r="A2077" s="1" t="s">
        <v>2953</v>
      </c>
      <c r="B2077" s="1" t="s">
        <v>6513</v>
      </c>
    </row>
    <row r="2078" spans="1:2" x14ac:dyDescent="0.25">
      <c r="A2078" s="1" t="s">
        <v>2954</v>
      </c>
      <c r="B2078" s="1" t="s">
        <v>6514</v>
      </c>
    </row>
    <row r="2079" spans="1:2" x14ac:dyDescent="0.25">
      <c r="A2079" s="1" t="s">
        <v>2955</v>
      </c>
      <c r="B2079" s="1" t="s">
        <v>6515</v>
      </c>
    </row>
    <row r="2080" spans="1:2" x14ac:dyDescent="0.25">
      <c r="A2080" s="1" t="s">
        <v>2956</v>
      </c>
      <c r="B2080" s="1" t="s">
        <v>6516</v>
      </c>
    </row>
    <row r="2081" spans="1:2" x14ac:dyDescent="0.25">
      <c r="A2081" s="1" t="s">
        <v>2957</v>
      </c>
      <c r="B2081" s="1" t="s">
        <v>6517</v>
      </c>
    </row>
    <row r="2082" spans="1:2" x14ac:dyDescent="0.25">
      <c r="A2082" s="1" t="s">
        <v>2958</v>
      </c>
      <c r="B2082" s="1" t="s">
        <v>4654</v>
      </c>
    </row>
    <row r="2083" spans="1:2" x14ac:dyDescent="0.25">
      <c r="A2083" s="1" t="s">
        <v>2959</v>
      </c>
      <c r="B2083" s="1" t="s">
        <v>6518</v>
      </c>
    </row>
    <row r="2084" spans="1:2" x14ac:dyDescent="0.25">
      <c r="A2084" s="1" t="s">
        <v>2960</v>
      </c>
      <c r="B2084" s="1" t="s">
        <v>5947</v>
      </c>
    </row>
    <row r="2085" spans="1:2" x14ac:dyDescent="0.25">
      <c r="A2085" s="1" t="s">
        <v>2961</v>
      </c>
      <c r="B2085" s="1" t="s">
        <v>6080</v>
      </c>
    </row>
    <row r="2086" spans="1:2" x14ac:dyDescent="0.25">
      <c r="A2086" s="1" t="s">
        <v>628</v>
      </c>
      <c r="B2086" s="1" t="s">
        <v>6519</v>
      </c>
    </row>
    <row r="2087" spans="1:2" x14ac:dyDescent="0.25">
      <c r="A2087" s="1" t="s">
        <v>2962</v>
      </c>
      <c r="B2087" s="1" t="s">
        <v>6520</v>
      </c>
    </row>
    <row r="2088" spans="1:2" x14ac:dyDescent="0.25">
      <c r="A2088" s="1" t="s">
        <v>2963</v>
      </c>
      <c r="B2088" s="1" t="s">
        <v>5856</v>
      </c>
    </row>
    <row r="2089" spans="1:2" x14ac:dyDescent="0.25">
      <c r="A2089" s="1" t="s">
        <v>2964</v>
      </c>
      <c r="B2089" s="1" t="s">
        <v>6405</v>
      </c>
    </row>
    <row r="2090" spans="1:2" x14ac:dyDescent="0.25">
      <c r="A2090" s="1" t="s">
        <v>2965</v>
      </c>
      <c r="B2090" s="1" t="s">
        <v>4651</v>
      </c>
    </row>
    <row r="2091" spans="1:2" x14ac:dyDescent="0.25">
      <c r="A2091" s="1" t="s">
        <v>2966</v>
      </c>
      <c r="B2091" s="1" t="s">
        <v>4389</v>
      </c>
    </row>
    <row r="2092" spans="1:2" x14ac:dyDescent="0.25">
      <c r="A2092" s="1" t="s">
        <v>2967</v>
      </c>
      <c r="B2092" s="1" t="s">
        <v>6370</v>
      </c>
    </row>
    <row r="2093" spans="1:2" x14ac:dyDescent="0.25">
      <c r="A2093" s="1" t="s">
        <v>2968</v>
      </c>
      <c r="B2093" s="1" t="s">
        <v>4730</v>
      </c>
    </row>
    <row r="2094" spans="1:2" x14ac:dyDescent="0.25">
      <c r="A2094" s="1" t="s">
        <v>2969</v>
      </c>
      <c r="B2094" s="1" t="s">
        <v>6521</v>
      </c>
    </row>
    <row r="2095" spans="1:2" x14ac:dyDescent="0.25">
      <c r="A2095" s="1" t="s">
        <v>2970</v>
      </c>
      <c r="B2095" s="1" t="s">
        <v>6522</v>
      </c>
    </row>
    <row r="2096" spans="1:2" x14ac:dyDescent="0.25">
      <c r="A2096" s="1" t="s">
        <v>2971</v>
      </c>
      <c r="B2096" s="1" t="s">
        <v>6053</v>
      </c>
    </row>
    <row r="2097" spans="1:2" x14ac:dyDescent="0.25">
      <c r="A2097" s="1" t="s">
        <v>2972</v>
      </c>
      <c r="B2097" s="1" t="s">
        <v>6523</v>
      </c>
    </row>
    <row r="2098" spans="1:2" x14ac:dyDescent="0.25">
      <c r="A2098" s="1" t="s">
        <v>2973</v>
      </c>
      <c r="B2098" s="1" t="s">
        <v>4900</v>
      </c>
    </row>
    <row r="2099" spans="1:2" x14ac:dyDescent="0.25">
      <c r="A2099" s="1" t="s">
        <v>2974</v>
      </c>
      <c r="B2099" s="1" t="s">
        <v>4567</v>
      </c>
    </row>
    <row r="2100" spans="1:2" x14ac:dyDescent="0.25">
      <c r="A2100" s="1" t="s">
        <v>2975</v>
      </c>
      <c r="B2100" s="1" t="s">
        <v>6232</v>
      </c>
    </row>
    <row r="2101" spans="1:2" x14ac:dyDescent="0.25">
      <c r="A2101" s="1" t="s">
        <v>2976</v>
      </c>
      <c r="B2101" s="1" t="s">
        <v>6524</v>
      </c>
    </row>
    <row r="2102" spans="1:2" x14ac:dyDescent="0.25">
      <c r="A2102" s="1" t="s">
        <v>2977</v>
      </c>
      <c r="B2102" s="1" t="s">
        <v>6525</v>
      </c>
    </row>
    <row r="2103" spans="1:2" x14ac:dyDescent="0.25">
      <c r="A2103" s="1" t="s">
        <v>2978</v>
      </c>
      <c r="B2103" s="1" t="s">
        <v>4986</v>
      </c>
    </row>
    <row r="2104" spans="1:2" x14ac:dyDescent="0.25">
      <c r="A2104" s="1" t="s">
        <v>2979</v>
      </c>
      <c r="B2104" s="1" t="s">
        <v>5449</v>
      </c>
    </row>
    <row r="2105" spans="1:2" x14ac:dyDescent="0.25">
      <c r="A2105" s="1" t="s">
        <v>2980</v>
      </c>
      <c r="B2105" s="1" t="s">
        <v>6526</v>
      </c>
    </row>
    <row r="2106" spans="1:2" x14ac:dyDescent="0.25">
      <c r="A2106" s="1" t="s">
        <v>2981</v>
      </c>
      <c r="B2106" s="1" t="s">
        <v>6527</v>
      </c>
    </row>
    <row r="2107" spans="1:2" x14ac:dyDescent="0.25">
      <c r="A2107" s="1" t="s">
        <v>2982</v>
      </c>
      <c r="B2107" s="1" t="s">
        <v>4672</v>
      </c>
    </row>
    <row r="2108" spans="1:2" x14ac:dyDescent="0.25">
      <c r="A2108" s="1" t="s">
        <v>2983</v>
      </c>
      <c r="B2108" s="1" t="s">
        <v>5685</v>
      </c>
    </row>
    <row r="2109" spans="1:2" x14ac:dyDescent="0.25">
      <c r="A2109" s="1" t="s">
        <v>2984</v>
      </c>
      <c r="B2109" s="1" t="s">
        <v>4800</v>
      </c>
    </row>
    <row r="2110" spans="1:2" x14ac:dyDescent="0.25">
      <c r="A2110" s="1" t="s">
        <v>2985</v>
      </c>
      <c r="B2110" s="1" t="s">
        <v>5905</v>
      </c>
    </row>
    <row r="2111" spans="1:2" x14ac:dyDescent="0.25">
      <c r="A2111" s="1" t="s">
        <v>2986</v>
      </c>
      <c r="B2111" s="1" t="s">
        <v>4636</v>
      </c>
    </row>
    <row r="2112" spans="1:2" x14ac:dyDescent="0.25">
      <c r="A2112" s="1" t="s">
        <v>2987</v>
      </c>
      <c r="B2112" s="1" t="s">
        <v>4844</v>
      </c>
    </row>
    <row r="2113" spans="1:2" x14ac:dyDescent="0.25">
      <c r="A2113" s="1" t="s">
        <v>2988</v>
      </c>
      <c r="B2113" s="1" t="s">
        <v>6528</v>
      </c>
    </row>
    <row r="2114" spans="1:2" x14ac:dyDescent="0.25">
      <c r="A2114" s="1" t="s">
        <v>2989</v>
      </c>
      <c r="B2114" s="1" t="s">
        <v>4577</v>
      </c>
    </row>
    <row r="2115" spans="1:2" x14ac:dyDescent="0.25">
      <c r="A2115" s="1" t="s">
        <v>2990</v>
      </c>
      <c r="B2115" s="1" t="s">
        <v>5157</v>
      </c>
    </row>
    <row r="2116" spans="1:2" x14ac:dyDescent="0.25">
      <c r="A2116" s="1" t="s">
        <v>2991</v>
      </c>
      <c r="B2116" s="1" t="s">
        <v>5682</v>
      </c>
    </row>
    <row r="2117" spans="1:2" x14ac:dyDescent="0.25">
      <c r="A2117" s="1" t="s">
        <v>2992</v>
      </c>
      <c r="B2117" s="1" t="s">
        <v>6529</v>
      </c>
    </row>
    <row r="2118" spans="1:2" x14ac:dyDescent="0.25">
      <c r="A2118" s="1" t="s">
        <v>2993</v>
      </c>
      <c r="B2118" s="1" t="s">
        <v>5270</v>
      </c>
    </row>
    <row r="2119" spans="1:2" x14ac:dyDescent="0.25">
      <c r="A2119" s="1" t="s">
        <v>2994</v>
      </c>
      <c r="B2119" s="1" t="s">
        <v>6530</v>
      </c>
    </row>
    <row r="2120" spans="1:2" x14ac:dyDescent="0.25">
      <c r="A2120" s="1" t="s">
        <v>2995</v>
      </c>
      <c r="B2120" s="1" t="s">
        <v>5359</v>
      </c>
    </row>
    <row r="2121" spans="1:2" x14ac:dyDescent="0.25">
      <c r="A2121" s="1" t="s">
        <v>2996</v>
      </c>
      <c r="B2121" s="1" t="s">
        <v>6531</v>
      </c>
    </row>
    <row r="2122" spans="1:2" x14ac:dyDescent="0.25">
      <c r="A2122" s="1" t="s">
        <v>2997</v>
      </c>
      <c r="B2122" s="1" t="s">
        <v>5204</v>
      </c>
    </row>
    <row r="2123" spans="1:2" x14ac:dyDescent="0.25">
      <c r="A2123" s="1" t="s">
        <v>2998</v>
      </c>
      <c r="B2123" s="1" t="s">
        <v>6532</v>
      </c>
    </row>
    <row r="2124" spans="1:2" x14ac:dyDescent="0.25">
      <c r="A2124" s="1" t="s">
        <v>2999</v>
      </c>
      <c r="B2124" s="1" t="s">
        <v>5979</v>
      </c>
    </row>
    <row r="2125" spans="1:2" x14ac:dyDescent="0.25">
      <c r="A2125" s="1" t="s">
        <v>3000</v>
      </c>
      <c r="B2125" s="1" t="s">
        <v>5206</v>
      </c>
    </row>
    <row r="2126" spans="1:2" x14ac:dyDescent="0.25">
      <c r="A2126" s="1" t="s">
        <v>3001</v>
      </c>
      <c r="B2126" s="1" t="s">
        <v>5376</v>
      </c>
    </row>
    <row r="2127" spans="1:2" x14ac:dyDescent="0.25">
      <c r="A2127" s="1" t="s">
        <v>3002</v>
      </c>
      <c r="B2127" s="1" t="s">
        <v>6533</v>
      </c>
    </row>
    <row r="2128" spans="1:2" x14ac:dyDescent="0.25">
      <c r="A2128" s="1" t="s">
        <v>3003</v>
      </c>
      <c r="B2128" s="1" t="s">
        <v>6534</v>
      </c>
    </row>
    <row r="2129" spans="1:2" x14ac:dyDescent="0.25">
      <c r="A2129" s="1" t="s">
        <v>3004</v>
      </c>
      <c r="B2129" s="1" t="s">
        <v>4508</v>
      </c>
    </row>
    <row r="2130" spans="1:2" x14ac:dyDescent="0.25">
      <c r="A2130" s="1" t="s">
        <v>3005</v>
      </c>
      <c r="B2130" s="1" t="s">
        <v>4375</v>
      </c>
    </row>
    <row r="2131" spans="1:2" x14ac:dyDescent="0.25">
      <c r="A2131" s="1" t="s">
        <v>3006</v>
      </c>
      <c r="B2131" s="1" t="s">
        <v>5497</v>
      </c>
    </row>
    <row r="2132" spans="1:2" x14ac:dyDescent="0.25">
      <c r="A2132" s="1" t="s">
        <v>3007</v>
      </c>
      <c r="B2132" s="1" t="s">
        <v>5828</v>
      </c>
    </row>
    <row r="2133" spans="1:2" x14ac:dyDescent="0.25">
      <c r="A2133" s="1" t="s">
        <v>3008</v>
      </c>
      <c r="B2133" s="1" t="s">
        <v>6367</v>
      </c>
    </row>
    <row r="2134" spans="1:2" x14ac:dyDescent="0.25">
      <c r="A2134" s="1" t="s">
        <v>3009</v>
      </c>
      <c r="B2134" s="1" t="s">
        <v>6535</v>
      </c>
    </row>
    <row r="2135" spans="1:2" x14ac:dyDescent="0.25">
      <c r="A2135" s="1" t="s">
        <v>3010</v>
      </c>
      <c r="B2135" s="1" t="s">
        <v>6244</v>
      </c>
    </row>
    <row r="2136" spans="1:2" x14ac:dyDescent="0.25">
      <c r="A2136" s="1" t="s">
        <v>3011</v>
      </c>
      <c r="B2136" s="1" t="s">
        <v>6536</v>
      </c>
    </row>
    <row r="2137" spans="1:2" x14ac:dyDescent="0.25">
      <c r="A2137" s="1" t="s">
        <v>3012</v>
      </c>
      <c r="B2137" s="1" t="s">
        <v>5611</v>
      </c>
    </row>
    <row r="2138" spans="1:2" x14ac:dyDescent="0.25">
      <c r="A2138" s="1" t="s">
        <v>3013</v>
      </c>
      <c r="B2138" s="1" t="s">
        <v>6537</v>
      </c>
    </row>
    <row r="2139" spans="1:2" x14ac:dyDescent="0.25">
      <c r="A2139" s="1" t="s">
        <v>3014</v>
      </c>
      <c r="B2139" s="1" t="s">
        <v>6538</v>
      </c>
    </row>
    <row r="2140" spans="1:2" x14ac:dyDescent="0.25">
      <c r="A2140" s="1" t="s">
        <v>3015</v>
      </c>
      <c r="B2140" s="1" t="s">
        <v>6539</v>
      </c>
    </row>
    <row r="2141" spans="1:2" x14ac:dyDescent="0.25">
      <c r="A2141" s="1" t="s">
        <v>3016</v>
      </c>
      <c r="B2141" s="1" t="s">
        <v>6540</v>
      </c>
    </row>
    <row r="2142" spans="1:2" x14ac:dyDescent="0.25">
      <c r="A2142" s="1" t="s">
        <v>3017</v>
      </c>
      <c r="B2142" s="1" t="s">
        <v>4737</v>
      </c>
    </row>
    <row r="2143" spans="1:2" x14ac:dyDescent="0.25">
      <c r="A2143" s="1" t="s">
        <v>3018</v>
      </c>
      <c r="B2143" s="1" t="s">
        <v>6541</v>
      </c>
    </row>
    <row r="2144" spans="1:2" x14ac:dyDescent="0.25">
      <c r="A2144" s="1" t="s">
        <v>4674</v>
      </c>
      <c r="B2144" s="1" t="s">
        <v>6542</v>
      </c>
    </row>
    <row r="2145" spans="1:2" x14ac:dyDescent="0.25">
      <c r="A2145" s="1" t="s">
        <v>3019</v>
      </c>
      <c r="B2145" s="1" t="s">
        <v>6543</v>
      </c>
    </row>
    <row r="2146" spans="1:2" x14ac:dyDescent="0.25">
      <c r="A2146" s="1" t="s">
        <v>3020</v>
      </c>
      <c r="B2146" s="1" t="s">
        <v>6544</v>
      </c>
    </row>
    <row r="2147" spans="1:2" x14ac:dyDescent="0.25">
      <c r="A2147" s="1" t="s">
        <v>3021</v>
      </c>
      <c r="B2147" s="1" t="s">
        <v>6545</v>
      </c>
    </row>
    <row r="2148" spans="1:2" x14ac:dyDescent="0.25">
      <c r="A2148" s="1" t="s">
        <v>3022</v>
      </c>
      <c r="B2148" s="1" t="s">
        <v>6546</v>
      </c>
    </row>
    <row r="2149" spans="1:2" x14ac:dyDescent="0.25">
      <c r="A2149" s="1" t="s">
        <v>3023</v>
      </c>
      <c r="B2149" s="1" t="s">
        <v>6547</v>
      </c>
    </row>
    <row r="2150" spans="1:2" x14ac:dyDescent="0.25">
      <c r="A2150" s="1" t="s">
        <v>3024</v>
      </c>
      <c r="B2150" s="1" t="s">
        <v>6548</v>
      </c>
    </row>
    <row r="2151" spans="1:2" x14ac:dyDescent="0.25">
      <c r="A2151" s="1" t="s">
        <v>3025</v>
      </c>
      <c r="B2151" s="1" t="s">
        <v>6549</v>
      </c>
    </row>
    <row r="2152" spans="1:2" x14ac:dyDescent="0.25">
      <c r="A2152" s="1" t="s">
        <v>3026</v>
      </c>
      <c r="B2152" s="1" t="s">
        <v>6550</v>
      </c>
    </row>
    <row r="2153" spans="1:2" x14ac:dyDescent="0.25">
      <c r="A2153" s="1" t="s">
        <v>3027</v>
      </c>
      <c r="B2153" s="1" t="s">
        <v>4784</v>
      </c>
    </row>
    <row r="2154" spans="1:2" x14ac:dyDescent="0.25">
      <c r="A2154" s="1" t="s">
        <v>3028</v>
      </c>
      <c r="B2154" s="1" t="s">
        <v>6551</v>
      </c>
    </row>
    <row r="2155" spans="1:2" x14ac:dyDescent="0.25">
      <c r="A2155" s="1" t="s">
        <v>3029</v>
      </c>
      <c r="B2155" s="1" t="s">
        <v>6552</v>
      </c>
    </row>
    <row r="2156" spans="1:2" x14ac:dyDescent="0.25">
      <c r="A2156" s="1" t="s">
        <v>3030</v>
      </c>
      <c r="B2156" s="1" t="s">
        <v>6553</v>
      </c>
    </row>
    <row r="2157" spans="1:2" x14ac:dyDescent="0.25">
      <c r="A2157" s="1" t="s">
        <v>3031</v>
      </c>
      <c r="B2157" s="1" t="s">
        <v>6554</v>
      </c>
    </row>
    <row r="2158" spans="1:2" x14ac:dyDescent="0.25">
      <c r="A2158" s="1" t="s">
        <v>3032</v>
      </c>
      <c r="B2158" s="1" t="s">
        <v>6555</v>
      </c>
    </row>
    <row r="2159" spans="1:2" x14ac:dyDescent="0.25">
      <c r="A2159" s="1" t="s">
        <v>3033</v>
      </c>
      <c r="B2159" s="1" t="s">
        <v>6556</v>
      </c>
    </row>
    <row r="2160" spans="1:2" x14ac:dyDescent="0.25">
      <c r="A2160" s="1" t="s">
        <v>3034</v>
      </c>
      <c r="B2160" s="1" t="s">
        <v>6167</v>
      </c>
    </row>
    <row r="2161" spans="1:2" x14ac:dyDescent="0.25">
      <c r="A2161" s="1" t="s">
        <v>3035</v>
      </c>
      <c r="B2161" s="1" t="s">
        <v>6557</v>
      </c>
    </row>
    <row r="2162" spans="1:2" x14ac:dyDescent="0.25">
      <c r="A2162" s="1" t="s">
        <v>3036</v>
      </c>
      <c r="B2162" s="1" t="s">
        <v>6558</v>
      </c>
    </row>
    <row r="2163" spans="1:2" x14ac:dyDescent="0.25">
      <c r="A2163" s="1" t="s">
        <v>3037</v>
      </c>
      <c r="B2163" s="1" t="s">
        <v>6559</v>
      </c>
    </row>
    <row r="2164" spans="1:2" x14ac:dyDescent="0.25">
      <c r="A2164" s="1" t="s">
        <v>3038</v>
      </c>
      <c r="B2164" s="1" t="s">
        <v>4604</v>
      </c>
    </row>
    <row r="2165" spans="1:2" x14ac:dyDescent="0.25">
      <c r="A2165" s="1" t="s">
        <v>3039</v>
      </c>
      <c r="B2165" s="1" t="s">
        <v>6560</v>
      </c>
    </row>
    <row r="2166" spans="1:2" x14ac:dyDescent="0.25">
      <c r="A2166" s="1" t="s">
        <v>3040</v>
      </c>
      <c r="B2166" s="1" t="s">
        <v>5044</v>
      </c>
    </row>
    <row r="2167" spans="1:2" x14ac:dyDescent="0.25">
      <c r="A2167" s="1" t="s">
        <v>3041</v>
      </c>
      <c r="B2167" s="1" t="s">
        <v>6561</v>
      </c>
    </row>
    <row r="2168" spans="1:2" x14ac:dyDescent="0.25">
      <c r="A2168" s="1" t="s">
        <v>3042</v>
      </c>
      <c r="B2168" s="1" t="s">
        <v>6562</v>
      </c>
    </row>
    <row r="2169" spans="1:2" x14ac:dyDescent="0.25">
      <c r="A2169" s="1" t="s">
        <v>3043</v>
      </c>
      <c r="B2169" s="1" t="s">
        <v>6563</v>
      </c>
    </row>
    <row r="2170" spans="1:2" x14ac:dyDescent="0.25">
      <c r="A2170" s="1" t="s">
        <v>3044</v>
      </c>
      <c r="B2170" s="1" t="s">
        <v>6564</v>
      </c>
    </row>
    <row r="2171" spans="1:2" x14ac:dyDescent="0.25">
      <c r="A2171" s="1" t="s">
        <v>3045</v>
      </c>
      <c r="B2171" s="1" t="s">
        <v>6189</v>
      </c>
    </row>
    <row r="2172" spans="1:2" x14ac:dyDescent="0.25">
      <c r="A2172" s="1" t="s">
        <v>3046</v>
      </c>
      <c r="B2172" s="1" t="s">
        <v>6565</v>
      </c>
    </row>
    <row r="2173" spans="1:2" x14ac:dyDescent="0.25">
      <c r="A2173" s="1" t="s">
        <v>3047</v>
      </c>
      <c r="B2173" s="1" t="s">
        <v>6566</v>
      </c>
    </row>
    <row r="2174" spans="1:2" x14ac:dyDescent="0.25">
      <c r="A2174" s="1" t="s">
        <v>4272</v>
      </c>
      <c r="B2174" s="1" t="s">
        <v>4594</v>
      </c>
    </row>
    <row r="2175" spans="1:2" x14ac:dyDescent="0.25">
      <c r="A2175" s="1" t="s">
        <v>3048</v>
      </c>
      <c r="B2175" s="1" t="s">
        <v>5210</v>
      </c>
    </row>
    <row r="2176" spans="1:2" x14ac:dyDescent="0.25">
      <c r="A2176" s="1" t="s">
        <v>3049</v>
      </c>
      <c r="B2176" s="1" t="s">
        <v>6567</v>
      </c>
    </row>
    <row r="2177" spans="1:2" x14ac:dyDescent="0.25">
      <c r="A2177" s="1" t="s">
        <v>3050</v>
      </c>
      <c r="B2177" s="1" t="s">
        <v>6568</v>
      </c>
    </row>
    <row r="2178" spans="1:2" x14ac:dyDescent="0.25">
      <c r="A2178" s="1" t="s">
        <v>3051</v>
      </c>
      <c r="B2178" s="1" t="s">
        <v>6569</v>
      </c>
    </row>
    <row r="2179" spans="1:2" x14ac:dyDescent="0.25">
      <c r="A2179" s="1" t="s">
        <v>3052</v>
      </c>
      <c r="B2179" s="1" t="s">
        <v>6570</v>
      </c>
    </row>
    <row r="2180" spans="1:2" x14ac:dyDescent="0.25">
      <c r="A2180" s="1" t="s">
        <v>3053</v>
      </c>
      <c r="B2180" s="1" t="s">
        <v>6571</v>
      </c>
    </row>
    <row r="2181" spans="1:2" x14ac:dyDescent="0.25">
      <c r="A2181" s="1" t="s">
        <v>3054</v>
      </c>
      <c r="B2181" s="1" t="s">
        <v>6572</v>
      </c>
    </row>
    <row r="2182" spans="1:2" x14ac:dyDescent="0.25">
      <c r="A2182" s="1" t="s">
        <v>3055</v>
      </c>
      <c r="B2182" s="1" t="s">
        <v>5191</v>
      </c>
    </row>
    <row r="2183" spans="1:2" x14ac:dyDescent="0.25">
      <c r="A2183" s="1" t="s">
        <v>3056</v>
      </c>
      <c r="B2183" s="1" t="s">
        <v>6573</v>
      </c>
    </row>
    <row r="2184" spans="1:2" x14ac:dyDescent="0.25">
      <c r="A2184" s="1" t="s">
        <v>3057</v>
      </c>
      <c r="B2184" s="1" t="s">
        <v>6355</v>
      </c>
    </row>
    <row r="2185" spans="1:2" x14ac:dyDescent="0.25">
      <c r="A2185" s="1" t="s">
        <v>3058</v>
      </c>
      <c r="B2185" s="1" t="s">
        <v>6574</v>
      </c>
    </row>
    <row r="2186" spans="1:2" x14ac:dyDescent="0.25">
      <c r="A2186" s="1" t="s">
        <v>3059</v>
      </c>
      <c r="B2186" s="1" t="s">
        <v>6575</v>
      </c>
    </row>
    <row r="2187" spans="1:2" x14ac:dyDescent="0.25">
      <c r="A2187" s="1" t="s">
        <v>3060</v>
      </c>
      <c r="B2187" s="1" t="s">
        <v>4477</v>
      </c>
    </row>
    <row r="2188" spans="1:2" x14ac:dyDescent="0.25">
      <c r="A2188" s="1" t="s">
        <v>3061</v>
      </c>
      <c r="B2188" s="1" t="s">
        <v>4719</v>
      </c>
    </row>
    <row r="2189" spans="1:2" x14ac:dyDescent="0.25">
      <c r="A2189" s="1" t="s">
        <v>3062</v>
      </c>
      <c r="B2189" s="1" t="s">
        <v>5133</v>
      </c>
    </row>
    <row r="2190" spans="1:2" x14ac:dyDescent="0.25">
      <c r="A2190" s="1" t="s">
        <v>3063</v>
      </c>
      <c r="B2190" s="1" t="s">
        <v>6576</v>
      </c>
    </row>
    <row r="2191" spans="1:2" x14ac:dyDescent="0.25">
      <c r="A2191" s="1" t="s">
        <v>3064</v>
      </c>
      <c r="B2191" s="1" t="s">
        <v>6577</v>
      </c>
    </row>
    <row r="2192" spans="1:2" x14ac:dyDescent="0.25">
      <c r="A2192" s="1" t="s">
        <v>3065</v>
      </c>
      <c r="B2192" s="1" t="s">
        <v>6578</v>
      </c>
    </row>
    <row r="2193" spans="1:2" x14ac:dyDescent="0.25">
      <c r="A2193" s="1" t="s">
        <v>4336</v>
      </c>
      <c r="B2193" s="1" t="s">
        <v>6579</v>
      </c>
    </row>
    <row r="2194" spans="1:2" x14ac:dyDescent="0.25">
      <c r="A2194" s="1" t="s">
        <v>3066</v>
      </c>
      <c r="B2194" s="1" t="s">
        <v>4625</v>
      </c>
    </row>
    <row r="2195" spans="1:2" x14ac:dyDescent="0.25">
      <c r="A2195" s="1" t="s">
        <v>3067</v>
      </c>
      <c r="B2195" s="1" t="s">
        <v>6580</v>
      </c>
    </row>
    <row r="2196" spans="1:2" x14ac:dyDescent="0.25">
      <c r="A2196" s="1" t="s">
        <v>3068</v>
      </c>
      <c r="B2196" s="1" t="s">
        <v>4747</v>
      </c>
    </row>
    <row r="2197" spans="1:2" x14ac:dyDescent="0.25">
      <c r="A2197" s="1" t="s">
        <v>3069</v>
      </c>
      <c r="B2197" s="1" t="s">
        <v>6581</v>
      </c>
    </row>
    <row r="2198" spans="1:2" x14ac:dyDescent="0.25">
      <c r="A2198" s="1" t="s">
        <v>3070</v>
      </c>
      <c r="B2198" s="1" t="s">
        <v>4668</v>
      </c>
    </row>
    <row r="2199" spans="1:2" x14ac:dyDescent="0.25">
      <c r="A2199" s="1" t="s">
        <v>3071</v>
      </c>
      <c r="B2199" s="1" t="s">
        <v>4679</v>
      </c>
    </row>
    <row r="2200" spans="1:2" x14ac:dyDescent="0.25">
      <c r="A2200" s="1" t="s">
        <v>4316</v>
      </c>
      <c r="B2200" s="1" t="s">
        <v>6582</v>
      </c>
    </row>
    <row r="2201" spans="1:2" x14ac:dyDescent="0.25">
      <c r="A2201" s="1" t="s">
        <v>3072</v>
      </c>
      <c r="B2201" s="1" t="s">
        <v>6366</v>
      </c>
    </row>
    <row r="2202" spans="1:2" x14ac:dyDescent="0.25">
      <c r="A2202" s="1" t="s">
        <v>3073</v>
      </c>
      <c r="B2202" s="1" t="s">
        <v>5796</v>
      </c>
    </row>
    <row r="2203" spans="1:2" x14ac:dyDescent="0.25">
      <c r="A2203" s="1" t="s">
        <v>3074</v>
      </c>
      <c r="B2203" s="1" t="s">
        <v>6418</v>
      </c>
    </row>
    <row r="2204" spans="1:2" x14ac:dyDescent="0.25">
      <c r="A2204" s="1" t="s">
        <v>3075</v>
      </c>
      <c r="B2204" s="1" t="s">
        <v>6583</v>
      </c>
    </row>
    <row r="2205" spans="1:2" x14ac:dyDescent="0.25">
      <c r="A2205" s="1" t="s">
        <v>3076</v>
      </c>
      <c r="B2205" s="1" t="s">
        <v>6584</v>
      </c>
    </row>
    <row r="2206" spans="1:2" x14ac:dyDescent="0.25">
      <c r="A2206" s="1" t="s">
        <v>3077</v>
      </c>
      <c r="B2206" s="1" t="s">
        <v>6585</v>
      </c>
    </row>
    <row r="2207" spans="1:2" x14ac:dyDescent="0.25">
      <c r="A2207" s="1" t="s">
        <v>3078</v>
      </c>
      <c r="B2207" s="1" t="s">
        <v>6586</v>
      </c>
    </row>
    <row r="2208" spans="1:2" x14ac:dyDescent="0.25">
      <c r="A2208" s="1" t="s">
        <v>3079</v>
      </c>
      <c r="B2208" s="1" t="s">
        <v>4856</v>
      </c>
    </row>
    <row r="2209" spans="1:2" x14ac:dyDescent="0.25">
      <c r="A2209" s="1" t="s">
        <v>3080</v>
      </c>
      <c r="B2209" s="1" t="s">
        <v>6587</v>
      </c>
    </row>
    <row r="2210" spans="1:2" x14ac:dyDescent="0.25">
      <c r="A2210" s="1" t="s">
        <v>3081</v>
      </c>
      <c r="B2210" s="1" t="s">
        <v>5454</v>
      </c>
    </row>
    <row r="2211" spans="1:2" x14ac:dyDescent="0.25">
      <c r="A2211" s="1" t="s">
        <v>3082</v>
      </c>
      <c r="B2211" s="1" t="s">
        <v>5513</v>
      </c>
    </row>
    <row r="2212" spans="1:2" x14ac:dyDescent="0.25">
      <c r="A2212" s="1" t="s">
        <v>3083</v>
      </c>
      <c r="B2212" s="1" t="s">
        <v>6588</v>
      </c>
    </row>
    <row r="2213" spans="1:2" x14ac:dyDescent="0.25">
      <c r="A2213" s="1" t="s">
        <v>3084</v>
      </c>
      <c r="B2213" s="1" t="s">
        <v>4813</v>
      </c>
    </row>
    <row r="2214" spans="1:2" x14ac:dyDescent="0.25">
      <c r="A2214" s="1" t="s">
        <v>4275</v>
      </c>
      <c r="B2214" s="1" t="s">
        <v>4745</v>
      </c>
    </row>
    <row r="2215" spans="1:2" x14ac:dyDescent="0.25">
      <c r="A2215" s="1" t="s">
        <v>3085</v>
      </c>
      <c r="B2215" s="1" t="s">
        <v>6589</v>
      </c>
    </row>
    <row r="2216" spans="1:2" x14ac:dyDescent="0.25">
      <c r="A2216" s="1" t="s">
        <v>3086</v>
      </c>
      <c r="B2216" s="1" t="s">
        <v>6590</v>
      </c>
    </row>
    <row r="2217" spans="1:2" x14ac:dyDescent="0.25">
      <c r="A2217" s="1" t="s">
        <v>3087</v>
      </c>
      <c r="B2217" s="1" t="s">
        <v>4685</v>
      </c>
    </row>
    <row r="2218" spans="1:2" x14ac:dyDescent="0.25">
      <c r="A2218" s="1" t="s">
        <v>3088</v>
      </c>
      <c r="B2218" s="1" t="s">
        <v>4699</v>
      </c>
    </row>
    <row r="2219" spans="1:2" x14ac:dyDescent="0.25">
      <c r="A2219" s="1" t="s">
        <v>4284</v>
      </c>
      <c r="B2219" s="1" t="s">
        <v>5611</v>
      </c>
    </row>
    <row r="2220" spans="1:2" x14ac:dyDescent="0.25">
      <c r="A2220" s="1" t="s">
        <v>3089</v>
      </c>
      <c r="B2220" s="1" t="s">
        <v>4790</v>
      </c>
    </row>
    <row r="2221" spans="1:2" x14ac:dyDescent="0.25">
      <c r="A2221" s="1" t="s">
        <v>3090</v>
      </c>
      <c r="B2221" s="1" t="s">
        <v>6591</v>
      </c>
    </row>
    <row r="2222" spans="1:2" x14ac:dyDescent="0.25">
      <c r="A2222" s="1" t="s">
        <v>3091</v>
      </c>
      <c r="B2222" s="1" t="s">
        <v>6592</v>
      </c>
    </row>
    <row r="2223" spans="1:2" x14ac:dyDescent="0.25">
      <c r="A2223" s="1" t="s">
        <v>3092</v>
      </c>
      <c r="B2223" s="1" t="s">
        <v>6593</v>
      </c>
    </row>
    <row r="2224" spans="1:2" x14ac:dyDescent="0.25">
      <c r="A2224" s="1" t="s">
        <v>3093</v>
      </c>
      <c r="B2224" s="1" t="s">
        <v>6135</v>
      </c>
    </row>
    <row r="2225" spans="1:2" x14ac:dyDescent="0.25">
      <c r="A2225" s="1" t="s">
        <v>3094</v>
      </c>
      <c r="B2225" s="1" t="s">
        <v>6577</v>
      </c>
    </row>
    <row r="2226" spans="1:2" x14ac:dyDescent="0.25">
      <c r="A2226" s="1" t="s">
        <v>3095</v>
      </c>
      <c r="B2226" s="1" t="s">
        <v>4372</v>
      </c>
    </row>
    <row r="2227" spans="1:2" x14ac:dyDescent="0.25">
      <c r="A2227" s="1" t="s">
        <v>3096</v>
      </c>
      <c r="B2227" s="1" t="s">
        <v>6594</v>
      </c>
    </row>
    <row r="2228" spans="1:2" x14ac:dyDescent="0.25">
      <c r="A2228" s="1" t="s">
        <v>3097</v>
      </c>
      <c r="B2228" s="1" t="s">
        <v>6595</v>
      </c>
    </row>
    <row r="2229" spans="1:2" x14ac:dyDescent="0.25">
      <c r="A2229" s="1" t="s">
        <v>3098</v>
      </c>
      <c r="B2229" s="1" t="s">
        <v>6596</v>
      </c>
    </row>
    <row r="2230" spans="1:2" x14ac:dyDescent="0.25">
      <c r="A2230" s="1" t="s">
        <v>3099</v>
      </c>
      <c r="B2230" s="1" t="s">
        <v>6597</v>
      </c>
    </row>
    <row r="2231" spans="1:2" x14ac:dyDescent="0.25">
      <c r="A2231" s="1" t="s">
        <v>3100</v>
      </c>
      <c r="B2231" s="1" t="s">
        <v>6598</v>
      </c>
    </row>
    <row r="2232" spans="1:2" x14ac:dyDescent="0.25">
      <c r="A2232" s="1" t="s">
        <v>3101</v>
      </c>
      <c r="B2232" s="1" t="s">
        <v>5571</v>
      </c>
    </row>
    <row r="2233" spans="1:2" x14ac:dyDescent="0.25">
      <c r="A2233" s="1" t="s">
        <v>3102</v>
      </c>
      <c r="B2233" s="1" t="s">
        <v>6599</v>
      </c>
    </row>
    <row r="2234" spans="1:2" x14ac:dyDescent="0.25">
      <c r="A2234" s="1" t="s">
        <v>3103</v>
      </c>
      <c r="B2234" s="1" t="s">
        <v>6600</v>
      </c>
    </row>
    <row r="2235" spans="1:2" x14ac:dyDescent="0.25">
      <c r="A2235" s="1" t="s">
        <v>3104</v>
      </c>
      <c r="B2235" s="1" t="s">
        <v>6601</v>
      </c>
    </row>
    <row r="2236" spans="1:2" x14ac:dyDescent="0.25">
      <c r="A2236" s="1" t="s">
        <v>3105</v>
      </c>
      <c r="B2236" s="1" t="s">
        <v>5828</v>
      </c>
    </row>
    <row r="2237" spans="1:2" x14ac:dyDescent="0.25">
      <c r="A2237" s="1" t="s">
        <v>3106</v>
      </c>
      <c r="B2237" s="1" t="s">
        <v>6602</v>
      </c>
    </row>
    <row r="2238" spans="1:2" x14ac:dyDescent="0.25">
      <c r="A2238" s="1" t="s">
        <v>3107</v>
      </c>
      <c r="B2238" s="1" t="s">
        <v>4584</v>
      </c>
    </row>
    <row r="2239" spans="1:2" x14ac:dyDescent="0.25">
      <c r="A2239" s="1" t="s">
        <v>3108</v>
      </c>
      <c r="B2239" s="1" t="s">
        <v>6603</v>
      </c>
    </row>
    <row r="2240" spans="1:2" x14ac:dyDescent="0.25">
      <c r="A2240" s="1" t="s">
        <v>3109</v>
      </c>
      <c r="B2240" s="1" t="s">
        <v>4883</v>
      </c>
    </row>
    <row r="2241" spans="1:2" x14ac:dyDescent="0.25">
      <c r="A2241" s="1" t="s">
        <v>3110</v>
      </c>
      <c r="B2241" s="1" t="s">
        <v>6604</v>
      </c>
    </row>
    <row r="2242" spans="1:2" x14ac:dyDescent="0.25">
      <c r="A2242" s="1" t="s">
        <v>3111</v>
      </c>
      <c r="B2242" s="1" t="s">
        <v>6605</v>
      </c>
    </row>
    <row r="2243" spans="1:2" x14ac:dyDescent="0.25">
      <c r="A2243" s="1" t="s">
        <v>3112</v>
      </c>
      <c r="B2243" s="1" t="s">
        <v>5433</v>
      </c>
    </row>
    <row r="2244" spans="1:2" x14ac:dyDescent="0.25">
      <c r="A2244" s="1" t="s">
        <v>3113</v>
      </c>
      <c r="B2244" s="1" t="s">
        <v>6073</v>
      </c>
    </row>
    <row r="2245" spans="1:2" x14ac:dyDescent="0.25">
      <c r="A2245" s="1" t="s">
        <v>3114</v>
      </c>
      <c r="B2245" s="1" t="s">
        <v>4245</v>
      </c>
    </row>
    <row r="2246" spans="1:2" x14ac:dyDescent="0.25">
      <c r="A2246" s="1" t="s">
        <v>3115</v>
      </c>
      <c r="B2246" s="1" t="s">
        <v>5471</v>
      </c>
    </row>
    <row r="2247" spans="1:2" x14ac:dyDescent="0.25">
      <c r="A2247" s="1" t="s">
        <v>3116</v>
      </c>
      <c r="B2247" s="1" t="s">
        <v>4675</v>
      </c>
    </row>
    <row r="2248" spans="1:2" x14ac:dyDescent="0.25">
      <c r="A2248" s="1" t="s">
        <v>3117</v>
      </c>
      <c r="B2248" s="1" t="s">
        <v>6606</v>
      </c>
    </row>
    <row r="2249" spans="1:2" x14ac:dyDescent="0.25">
      <c r="A2249" s="1" t="s">
        <v>3118</v>
      </c>
      <c r="B2249" s="1" t="s">
        <v>6269</v>
      </c>
    </row>
    <row r="2250" spans="1:2" x14ac:dyDescent="0.25">
      <c r="A2250" s="1" t="s">
        <v>3119</v>
      </c>
      <c r="B2250" s="1" t="s">
        <v>6607</v>
      </c>
    </row>
    <row r="2251" spans="1:2" x14ac:dyDescent="0.25">
      <c r="A2251" s="1" t="s">
        <v>3120</v>
      </c>
      <c r="B2251" s="1" t="s">
        <v>6608</v>
      </c>
    </row>
    <row r="2252" spans="1:2" x14ac:dyDescent="0.25">
      <c r="A2252" s="1" t="s">
        <v>3121</v>
      </c>
      <c r="B2252" s="1" t="s">
        <v>5148</v>
      </c>
    </row>
    <row r="2253" spans="1:2" x14ac:dyDescent="0.25">
      <c r="A2253" s="1" t="s">
        <v>3122</v>
      </c>
      <c r="B2253" s="1" t="s">
        <v>5236</v>
      </c>
    </row>
    <row r="2254" spans="1:2" x14ac:dyDescent="0.25">
      <c r="A2254" s="1" t="s">
        <v>3123</v>
      </c>
      <c r="B2254" s="1" t="s">
        <v>4895</v>
      </c>
    </row>
    <row r="2255" spans="1:2" x14ac:dyDescent="0.25">
      <c r="A2255" s="1" t="s">
        <v>3124</v>
      </c>
      <c r="B2255" s="1" t="s">
        <v>6609</v>
      </c>
    </row>
    <row r="2256" spans="1:2" x14ac:dyDescent="0.25">
      <c r="A2256" s="1" t="s">
        <v>3125</v>
      </c>
      <c r="B2256" s="1" t="s">
        <v>6610</v>
      </c>
    </row>
    <row r="2257" spans="1:2" x14ac:dyDescent="0.25">
      <c r="A2257" s="1" t="s">
        <v>3126</v>
      </c>
      <c r="B2257" s="1" t="s">
        <v>4856</v>
      </c>
    </row>
    <row r="2258" spans="1:2" x14ac:dyDescent="0.25">
      <c r="A2258" s="1" t="s">
        <v>3127</v>
      </c>
      <c r="B2258" s="1" t="s">
        <v>5216</v>
      </c>
    </row>
    <row r="2259" spans="1:2" x14ac:dyDescent="0.25">
      <c r="A2259" s="1" t="s">
        <v>3128</v>
      </c>
      <c r="B2259" s="1" t="s">
        <v>5204</v>
      </c>
    </row>
    <row r="2260" spans="1:2" x14ac:dyDescent="0.25">
      <c r="A2260" s="1" t="s">
        <v>3129</v>
      </c>
      <c r="B2260" s="1" t="s">
        <v>6611</v>
      </c>
    </row>
    <row r="2261" spans="1:2" x14ac:dyDescent="0.25">
      <c r="A2261" s="1" t="s">
        <v>3130</v>
      </c>
      <c r="B2261" s="1" t="s">
        <v>4815</v>
      </c>
    </row>
    <row r="2262" spans="1:2" x14ac:dyDescent="0.25">
      <c r="A2262" s="1" t="s">
        <v>3131</v>
      </c>
      <c r="B2262" s="1" t="s">
        <v>6612</v>
      </c>
    </row>
    <row r="2263" spans="1:2" x14ac:dyDescent="0.25">
      <c r="A2263" s="1" t="s">
        <v>3132</v>
      </c>
      <c r="B2263" s="1" t="s">
        <v>6613</v>
      </c>
    </row>
    <row r="2264" spans="1:2" x14ac:dyDescent="0.25">
      <c r="A2264" s="1" t="s">
        <v>3133</v>
      </c>
      <c r="B2264" s="1" t="s">
        <v>6086</v>
      </c>
    </row>
    <row r="2265" spans="1:2" x14ac:dyDescent="0.25">
      <c r="A2265" s="1" t="s">
        <v>3134</v>
      </c>
      <c r="B2265" s="1" t="s">
        <v>5257</v>
      </c>
    </row>
    <row r="2266" spans="1:2" x14ac:dyDescent="0.25">
      <c r="A2266" s="1" t="s">
        <v>3135</v>
      </c>
      <c r="B2266" s="1" t="s">
        <v>4350</v>
      </c>
    </row>
    <row r="2267" spans="1:2" x14ac:dyDescent="0.25">
      <c r="A2267" s="1" t="s">
        <v>3136</v>
      </c>
      <c r="B2267" s="1" t="s">
        <v>5263</v>
      </c>
    </row>
    <row r="2268" spans="1:2" x14ac:dyDescent="0.25">
      <c r="A2268" s="1" t="s">
        <v>3137</v>
      </c>
      <c r="B2268" s="1" t="s">
        <v>5757</v>
      </c>
    </row>
    <row r="2269" spans="1:2" x14ac:dyDescent="0.25">
      <c r="A2269" s="1" t="s">
        <v>3138</v>
      </c>
      <c r="B2269" s="1" t="s">
        <v>4794</v>
      </c>
    </row>
    <row r="2270" spans="1:2" x14ac:dyDescent="0.25">
      <c r="A2270" s="1" t="s">
        <v>3139</v>
      </c>
      <c r="B2270" s="1" t="s">
        <v>6614</v>
      </c>
    </row>
    <row r="2271" spans="1:2" x14ac:dyDescent="0.25">
      <c r="A2271" s="1" t="s">
        <v>3140</v>
      </c>
      <c r="B2271" s="1" t="s">
        <v>6615</v>
      </c>
    </row>
    <row r="2272" spans="1:2" x14ac:dyDescent="0.25">
      <c r="A2272" s="1" t="s">
        <v>3141</v>
      </c>
      <c r="B2272" s="1" t="s">
        <v>6616</v>
      </c>
    </row>
    <row r="2273" spans="1:2" x14ac:dyDescent="0.25">
      <c r="A2273" s="1" t="s">
        <v>3142</v>
      </c>
      <c r="B2273" s="1" t="s">
        <v>6617</v>
      </c>
    </row>
    <row r="2274" spans="1:2" x14ac:dyDescent="0.25">
      <c r="A2274" s="1" t="s">
        <v>3143</v>
      </c>
      <c r="B2274" s="1" t="s">
        <v>5778</v>
      </c>
    </row>
    <row r="2275" spans="1:2" x14ac:dyDescent="0.25">
      <c r="A2275" s="1" t="s">
        <v>3144</v>
      </c>
      <c r="B2275" s="1" t="s">
        <v>6363</v>
      </c>
    </row>
    <row r="2276" spans="1:2" x14ac:dyDescent="0.25">
      <c r="A2276" s="1" t="s">
        <v>3145</v>
      </c>
      <c r="B2276" s="1" t="s">
        <v>6618</v>
      </c>
    </row>
    <row r="2277" spans="1:2" x14ac:dyDescent="0.25">
      <c r="A2277" s="1" t="s">
        <v>3146</v>
      </c>
      <c r="B2277" s="1" t="s">
        <v>6619</v>
      </c>
    </row>
    <row r="2278" spans="1:2" x14ac:dyDescent="0.25">
      <c r="A2278" s="1" t="s">
        <v>3147</v>
      </c>
      <c r="B2278" s="1" t="s">
        <v>4597</v>
      </c>
    </row>
    <row r="2279" spans="1:2" x14ac:dyDescent="0.25">
      <c r="A2279" s="1" t="s">
        <v>3148</v>
      </c>
      <c r="B2279" s="1" t="s">
        <v>6620</v>
      </c>
    </row>
    <row r="2280" spans="1:2" x14ac:dyDescent="0.25">
      <c r="A2280" s="1" t="s">
        <v>3149</v>
      </c>
      <c r="B2280" s="1" t="s">
        <v>6621</v>
      </c>
    </row>
    <row r="2281" spans="1:2" x14ac:dyDescent="0.25">
      <c r="A2281" s="1" t="s">
        <v>3150</v>
      </c>
      <c r="B2281" s="1" t="s">
        <v>6622</v>
      </c>
    </row>
    <row r="2282" spans="1:2" x14ac:dyDescent="0.25">
      <c r="A2282" s="1" t="s">
        <v>3151</v>
      </c>
      <c r="B2282" s="1" t="s">
        <v>6623</v>
      </c>
    </row>
    <row r="2283" spans="1:2" x14ac:dyDescent="0.25">
      <c r="A2283" s="1" t="s">
        <v>4285</v>
      </c>
      <c r="B2283" s="1" t="s">
        <v>4986</v>
      </c>
    </row>
    <row r="2284" spans="1:2" x14ac:dyDescent="0.25">
      <c r="A2284" s="1" t="s">
        <v>3152</v>
      </c>
      <c r="B2284" s="1" t="s">
        <v>6624</v>
      </c>
    </row>
    <row r="2285" spans="1:2" x14ac:dyDescent="0.25">
      <c r="A2285" s="1" t="s">
        <v>3153</v>
      </c>
      <c r="B2285" s="1" t="s">
        <v>4726</v>
      </c>
    </row>
    <row r="2286" spans="1:2" x14ac:dyDescent="0.25">
      <c r="A2286" s="1" t="s">
        <v>3154</v>
      </c>
      <c r="B2286" s="1" t="s">
        <v>6625</v>
      </c>
    </row>
    <row r="2287" spans="1:2" x14ac:dyDescent="0.25">
      <c r="A2287" s="1" t="s">
        <v>3155</v>
      </c>
      <c r="B2287" s="1" t="s">
        <v>4629</v>
      </c>
    </row>
    <row r="2288" spans="1:2" x14ac:dyDescent="0.25">
      <c r="A2288" s="1" t="s">
        <v>3156</v>
      </c>
      <c r="B2288" s="1" t="s">
        <v>4493</v>
      </c>
    </row>
    <row r="2289" spans="1:2" x14ac:dyDescent="0.25">
      <c r="A2289" s="1" t="s">
        <v>3157</v>
      </c>
      <c r="B2289" s="1" t="s">
        <v>5947</v>
      </c>
    </row>
    <row r="2290" spans="1:2" x14ac:dyDescent="0.25">
      <c r="A2290" s="1" t="s">
        <v>3158</v>
      </c>
      <c r="B2290" s="1" t="s">
        <v>6531</v>
      </c>
    </row>
    <row r="2291" spans="1:2" x14ac:dyDescent="0.25">
      <c r="A2291" s="1" t="s">
        <v>3159</v>
      </c>
      <c r="B2291" s="1" t="s">
        <v>6626</v>
      </c>
    </row>
    <row r="2292" spans="1:2" x14ac:dyDescent="0.25">
      <c r="A2292" s="1" t="s">
        <v>3160</v>
      </c>
      <c r="B2292" s="1" t="s">
        <v>6627</v>
      </c>
    </row>
    <row r="2293" spans="1:2" x14ac:dyDescent="0.25">
      <c r="A2293" s="1" t="s">
        <v>3161</v>
      </c>
      <c r="B2293" s="1" t="s">
        <v>6164</v>
      </c>
    </row>
    <row r="2294" spans="1:2" x14ac:dyDescent="0.25">
      <c r="A2294" s="1" t="s">
        <v>3162</v>
      </c>
      <c r="B2294" s="1" t="s">
        <v>5453</v>
      </c>
    </row>
    <row r="2295" spans="1:2" x14ac:dyDescent="0.25">
      <c r="A2295" s="1" t="s">
        <v>3163</v>
      </c>
      <c r="B2295" s="1" t="s">
        <v>5902</v>
      </c>
    </row>
    <row r="2296" spans="1:2" x14ac:dyDescent="0.25">
      <c r="A2296" s="1" t="s">
        <v>3164</v>
      </c>
      <c r="B2296" s="1" t="s">
        <v>6628</v>
      </c>
    </row>
    <row r="2297" spans="1:2" x14ac:dyDescent="0.25">
      <c r="A2297" s="1" t="s">
        <v>3165</v>
      </c>
      <c r="B2297" s="1" t="s">
        <v>4926</v>
      </c>
    </row>
    <row r="2298" spans="1:2" x14ac:dyDescent="0.25">
      <c r="A2298" s="1" t="s">
        <v>3166</v>
      </c>
      <c r="B2298" s="1" t="s">
        <v>6629</v>
      </c>
    </row>
    <row r="2299" spans="1:2" x14ac:dyDescent="0.25">
      <c r="A2299" s="1" t="s">
        <v>3167</v>
      </c>
      <c r="B2299" s="1" t="s">
        <v>5243</v>
      </c>
    </row>
    <row r="2300" spans="1:2" x14ac:dyDescent="0.25">
      <c r="A2300" s="1" t="s">
        <v>3168</v>
      </c>
      <c r="B2300" s="1" t="s">
        <v>6630</v>
      </c>
    </row>
    <row r="2301" spans="1:2" x14ac:dyDescent="0.25">
      <c r="A2301" s="1" t="s">
        <v>3169</v>
      </c>
      <c r="B2301" s="1" t="s">
        <v>6631</v>
      </c>
    </row>
    <row r="2302" spans="1:2" x14ac:dyDescent="0.25">
      <c r="A2302" s="1" t="s">
        <v>3170</v>
      </c>
      <c r="B2302" s="1" t="s">
        <v>6632</v>
      </c>
    </row>
    <row r="2303" spans="1:2" x14ac:dyDescent="0.25">
      <c r="A2303" s="1" t="s">
        <v>3171</v>
      </c>
      <c r="B2303" s="1" t="s">
        <v>6633</v>
      </c>
    </row>
    <row r="2304" spans="1:2" x14ac:dyDescent="0.25">
      <c r="A2304" s="1" t="s">
        <v>3172</v>
      </c>
      <c r="B2304" s="1" t="s">
        <v>6634</v>
      </c>
    </row>
    <row r="2305" spans="1:2" x14ac:dyDescent="0.25">
      <c r="A2305" s="1" t="s">
        <v>3173</v>
      </c>
      <c r="B2305" s="1" t="s">
        <v>6635</v>
      </c>
    </row>
    <row r="2306" spans="1:2" x14ac:dyDescent="0.25">
      <c r="A2306" s="1" t="s">
        <v>3174</v>
      </c>
      <c r="B2306" s="1" t="s">
        <v>6314</v>
      </c>
    </row>
    <row r="2307" spans="1:2" x14ac:dyDescent="0.25">
      <c r="A2307" s="1" t="s">
        <v>3175</v>
      </c>
      <c r="B2307" s="1" t="s">
        <v>6636</v>
      </c>
    </row>
    <row r="2308" spans="1:2" x14ac:dyDescent="0.25">
      <c r="A2308" s="1" t="s">
        <v>3176</v>
      </c>
      <c r="B2308" s="1" t="s">
        <v>6637</v>
      </c>
    </row>
    <row r="2309" spans="1:2" x14ac:dyDescent="0.25">
      <c r="A2309" s="1" t="s">
        <v>3177</v>
      </c>
      <c r="B2309" s="1" t="s">
        <v>4590</v>
      </c>
    </row>
    <row r="2310" spans="1:2" x14ac:dyDescent="0.25">
      <c r="A2310" s="1" t="s">
        <v>3178</v>
      </c>
      <c r="B2310" s="1" t="s">
        <v>5451</v>
      </c>
    </row>
    <row r="2311" spans="1:2" x14ac:dyDescent="0.25">
      <c r="A2311" s="1" t="s">
        <v>3179</v>
      </c>
      <c r="B2311" s="1" t="s">
        <v>5558</v>
      </c>
    </row>
    <row r="2312" spans="1:2" x14ac:dyDescent="0.25">
      <c r="A2312" s="1" t="s">
        <v>3180</v>
      </c>
      <c r="B2312" s="1" t="s">
        <v>6638</v>
      </c>
    </row>
    <row r="2313" spans="1:2" x14ac:dyDescent="0.25">
      <c r="A2313" s="1" t="s">
        <v>3181</v>
      </c>
      <c r="B2313" s="1" t="s">
        <v>6639</v>
      </c>
    </row>
    <row r="2314" spans="1:2" x14ac:dyDescent="0.25">
      <c r="A2314" s="1" t="s">
        <v>3182</v>
      </c>
      <c r="B2314" s="1" t="s">
        <v>5345</v>
      </c>
    </row>
    <row r="2315" spans="1:2" x14ac:dyDescent="0.25">
      <c r="A2315" s="1" t="s">
        <v>3183</v>
      </c>
      <c r="B2315" s="1" t="s">
        <v>4852</v>
      </c>
    </row>
    <row r="2316" spans="1:2" x14ac:dyDescent="0.25">
      <c r="A2316" s="1" t="s">
        <v>3184</v>
      </c>
      <c r="B2316" s="1" t="s">
        <v>6640</v>
      </c>
    </row>
    <row r="2317" spans="1:2" x14ac:dyDescent="0.25">
      <c r="A2317" s="1" t="s">
        <v>3185</v>
      </c>
      <c r="B2317" s="1" t="s">
        <v>5796</v>
      </c>
    </row>
    <row r="2318" spans="1:2" x14ac:dyDescent="0.25">
      <c r="A2318" s="1" t="s">
        <v>3186</v>
      </c>
      <c r="B2318" s="1" t="s">
        <v>6641</v>
      </c>
    </row>
    <row r="2319" spans="1:2" x14ac:dyDescent="0.25">
      <c r="A2319" s="1" t="s">
        <v>3187</v>
      </c>
      <c r="B2319" s="1" t="s">
        <v>5934</v>
      </c>
    </row>
    <row r="2320" spans="1:2" x14ac:dyDescent="0.25">
      <c r="A2320" s="1" t="s">
        <v>3188</v>
      </c>
      <c r="B2320" s="1" t="s">
        <v>6642</v>
      </c>
    </row>
    <row r="2321" spans="1:2" x14ac:dyDescent="0.25">
      <c r="A2321" s="1" t="s">
        <v>3189</v>
      </c>
      <c r="B2321" s="1" t="s">
        <v>6643</v>
      </c>
    </row>
    <row r="2322" spans="1:2" x14ac:dyDescent="0.25">
      <c r="A2322" s="1" t="s">
        <v>679</v>
      </c>
      <c r="B2322" s="1" t="s">
        <v>6644</v>
      </c>
    </row>
    <row r="2323" spans="1:2" x14ac:dyDescent="0.25">
      <c r="A2323" s="1" t="s">
        <v>3190</v>
      </c>
      <c r="B2323" s="1" t="s">
        <v>4796</v>
      </c>
    </row>
    <row r="2324" spans="1:2" x14ac:dyDescent="0.25">
      <c r="A2324" s="1" t="s">
        <v>3191</v>
      </c>
      <c r="B2324" s="1" t="s">
        <v>4961</v>
      </c>
    </row>
    <row r="2325" spans="1:2" x14ac:dyDescent="0.25">
      <c r="A2325" s="1" t="s">
        <v>3192</v>
      </c>
      <c r="B2325" s="1" t="s">
        <v>6645</v>
      </c>
    </row>
    <row r="2326" spans="1:2" x14ac:dyDescent="0.25">
      <c r="A2326" s="1" t="s">
        <v>3193</v>
      </c>
      <c r="B2326" s="1" t="s">
        <v>6646</v>
      </c>
    </row>
    <row r="2327" spans="1:2" x14ac:dyDescent="0.25">
      <c r="A2327" s="1" t="s">
        <v>3194</v>
      </c>
      <c r="B2327" s="1" t="s">
        <v>4734</v>
      </c>
    </row>
    <row r="2328" spans="1:2" x14ac:dyDescent="0.25">
      <c r="A2328" s="1" t="s">
        <v>3195</v>
      </c>
      <c r="B2328" s="1" t="s">
        <v>5908</v>
      </c>
    </row>
    <row r="2329" spans="1:2" x14ac:dyDescent="0.25">
      <c r="A2329" s="1" t="s">
        <v>3196</v>
      </c>
      <c r="B2329" s="1" t="s">
        <v>4785</v>
      </c>
    </row>
    <row r="2330" spans="1:2" x14ac:dyDescent="0.25">
      <c r="A2330" s="1" t="s">
        <v>3197</v>
      </c>
      <c r="B2330" s="1" t="s">
        <v>6647</v>
      </c>
    </row>
    <row r="2331" spans="1:2" x14ac:dyDescent="0.25">
      <c r="A2331" s="1" t="s">
        <v>3198</v>
      </c>
      <c r="B2331" s="1" t="s">
        <v>6063</v>
      </c>
    </row>
    <row r="2332" spans="1:2" x14ac:dyDescent="0.25">
      <c r="A2332" s="1" t="s">
        <v>3199</v>
      </c>
      <c r="B2332" s="1" t="s">
        <v>6648</v>
      </c>
    </row>
    <row r="2333" spans="1:2" x14ac:dyDescent="0.25">
      <c r="A2333" s="1" t="s">
        <v>3200</v>
      </c>
      <c r="B2333" s="1" t="s">
        <v>6649</v>
      </c>
    </row>
    <row r="2334" spans="1:2" x14ac:dyDescent="0.25">
      <c r="A2334" s="1" t="s">
        <v>3201</v>
      </c>
      <c r="B2334" s="1" t="s">
        <v>6650</v>
      </c>
    </row>
    <row r="2335" spans="1:2" x14ac:dyDescent="0.25">
      <c r="A2335" s="1" t="s">
        <v>3202</v>
      </c>
      <c r="B2335" s="1" t="s">
        <v>6651</v>
      </c>
    </row>
    <row r="2336" spans="1:2" x14ac:dyDescent="0.25">
      <c r="A2336" s="1" t="s">
        <v>3203</v>
      </c>
      <c r="B2336" s="1" t="s">
        <v>6652</v>
      </c>
    </row>
    <row r="2337" spans="1:2" x14ac:dyDescent="0.25">
      <c r="A2337" s="1" t="s">
        <v>3204</v>
      </c>
      <c r="B2337" s="1" t="s">
        <v>6653</v>
      </c>
    </row>
    <row r="2338" spans="1:2" x14ac:dyDescent="0.25">
      <c r="A2338" s="1" t="s">
        <v>3205</v>
      </c>
      <c r="B2338" s="1" t="s">
        <v>6654</v>
      </c>
    </row>
    <row r="2339" spans="1:2" x14ac:dyDescent="0.25">
      <c r="A2339" s="1" t="s">
        <v>3206</v>
      </c>
      <c r="B2339" s="1" t="s">
        <v>6655</v>
      </c>
    </row>
    <row r="2340" spans="1:2" x14ac:dyDescent="0.25">
      <c r="A2340" s="1" t="s">
        <v>3207</v>
      </c>
      <c r="B2340" s="1" t="s">
        <v>5526</v>
      </c>
    </row>
    <row r="2341" spans="1:2" x14ac:dyDescent="0.25">
      <c r="A2341" s="1" t="s">
        <v>3208</v>
      </c>
      <c r="B2341" s="1" t="s">
        <v>6656</v>
      </c>
    </row>
    <row r="2342" spans="1:2" x14ac:dyDescent="0.25">
      <c r="A2342" s="1" t="s">
        <v>3209</v>
      </c>
      <c r="B2342" s="1" t="s">
        <v>5329</v>
      </c>
    </row>
    <row r="2343" spans="1:2" x14ac:dyDescent="0.25">
      <c r="A2343" s="1" t="s">
        <v>3210</v>
      </c>
      <c r="B2343" s="1" t="s">
        <v>6657</v>
      </c>
    </row>
    <row r="2344" spans="1:2" x14ac:dyDescent="0.25">
      <c r="A2344" s="1" t="s">
        <v>3211</v>
      </c>
      <c r="B2344" s="1" t="s">
        <v>6658</v>
      </c>
    </row>
    <row r="2345" spans="1:2" x14ac:dyDescent="0.25">
      <c r="A2345" s="1" t="s">
        <v>3212</v>
      </c>
      <c r="B2345" s="1" t="s">
        <v>4830</v>
      </c>
    </row>
    <row r="2346" spans="1:2" x14ac:dyDescent="0.25">
      <c r="A2346" s="1" t="s">
        <v>3213</v>
      </c>
      <c r="B2346" s="1" t="s">
        <v>6354</v>
      </c>
    </row>
    <row r="2347" spans="1:2" x14ac:dyDescent="0.25">
      <c r="A2347" s="1" t="s">
        <v>3214</v>
      </c>
      <c r="B2347" s="1" t="s">
        <v>6659</v>
      </c>
    </row>
    <row r="2348" spans="1:2" x14ac:dyDescent="0.25">
      <c r="A2348" s="1" t="s">
        <v>3215</v>
      </c>
      <c r="B2348" s="1" t="s">
        <v>5296</v>
      </c>
    </row>
    <row r="2349" spans="1:2" x14ac:dyDescent="0.25">
      <c r="A2349" s="1" t="s">
        <v>3216</v>
      </c>
      <c r="B2349" s="1" t="s">
        <v>6660</v>
      </c>
    </row>
    <row r="2350" spans="1:2" x14ac:dyDescent="0.25">
      <c r="A2350" s="1" t="s">
        <v>3217</v>
      </c>
      <c r="B2350" s="1" t="s">
        <v>6661</v>
      </c>
    </row>
    <row r="2351" spans="1:2" x14ac:dyDescent="0.25">
      <c r="A2351" s="1" t="s">
        <v>3218</v>
      </c>
      <c r="B2351" s="1" t="s">
        <v>4784</v>
      </c>
    </row>
    <row r="2352" spans="1:2" x14ac:dyDescent="0.25">
      <c r="A2352" s="1" t="s">
        <v>3219</v>
      </c>
      <c r="B2352" s="1" t="s">
        <v>6662</v>
      </c>
    </row>
    <row r="2353" spans="1:2" x14ac:dyDescent="0.25">
      <c r="A2353" s="1" t="s">
        <v>3220</v>
      </c>
      <c r="B2353" s="1" t="s">
        <v>6376</v>
      </c>
    </row>
    <row r="2354" spans="1:2" x14ac:dyDescent="0.25">
      <c r="A2354" s="1" t="s">
        <v>3221</v>
      </c>
      <c r="B2354" s="1" t="s">
        <v>6374</v>
      </c>
    </row>
    <row r="2355" spans="1:2" x14ac:dyDescent="0.25">
      <c r="A2355" s="1" t="s">
        <v>3222</v>
      </c>
      <c r="B2355" s="1" t="s">
        <v>6663</v>
      </c>
    </row>
    <row r="2356" spans="1:2" x14ac:dyDescent="0.25">
      <c r="A2356" s="1" t="s">
        <v>3223</v>
      </c>
      <c r="B2356" s="1" t="s">
        <v>6664</v>
      </c>
    </row>
    <row r="2357" spans="1:2" x14ac:dyDescent="0.25">
      <c r="A2357" s="1" t="s">
        <v>3224</v>
      </c>
      <c r="B2357" s="1" t="s">
        <v>6665</v>
      </c>
    </row>
    <row r="2358" spans="1:2" x14ac:dyDescent="0.25">
      <c r="A2358" s="1" t="s">
        <v>3225</v>
      </c>
      <c r="B2358" s="1" t="s">
        <v>6666</v>
      </c>
    </row>
    <row r="2359" spans="1:2" x14ac:dyDescent="0.25">
      <c r="A2359" s="1" t="s">
        <v>3226</v>
      </c>
      <c r="B2359" s="1" t="s">
        <v>4884</v>
      </c>
    </row>
    <row r="2360" spans="1:2" x14ac:dyDescent="0.25">
      <c r="A2360" s="1" t="s">
        <v>3227</v>
      </c>
      <c r="B2360" s="1" t="s">
        <v>5772</v>
      </c>
    </row>
    <row r="2361" spans="1:2" x14ac:dyDescent="0.25">
      <c r="A2361" s="1" t="s">
        <v>3228</v>
      </c>
      <c r="B2361" s="1" t="s">
        <v>4613</v>
      </c>
    </row>
    <row r="2362" spans="1:2" x14ac:dyDescent="0.25">
      <c r="A2362" s="1" t="s">
        <v>3229</v>
      </c>
      <c r="B2362" s="1" t="s">
        <v>6667</v>
      </c>
    </row>
    <row r="2363" spans="1:2" x14ac:dyDescent="0.25">
      <c r="A2363" s="1" t="s">
        <v>3230</v>
      </c>
      <c r="B2363" s="1" t="s">
        <v>4350</v>
      </c>
    </row>
    <row r="2364" spans="1:2" x14ac:dyDescent="0.25">
      <c r="A2364" s="1" t="s">
        <v>3231</v>
      </c>
      <c r="B2364" s="1" t="s">
        <v>6668</v>
      </c>
    </row>
    <row r="2365" spans="1:2" x14ac:dyDescent="0.25">
      <c r="A2365" s="1" t="s">
        <v>3232</v>
      </c>
      <c r="B2365" s="1" t="s">
        <v>6433</v>
      </c>
    </row>
    <row r="2366" spans="1:2" x14ac:dyDescent="0.25">
      <c r="A2366" s="1" t="s">
        <v>3233</v>
      </c>
      <c r="B2366" s="1" t="s">
        <v>6500</v>
      </c>
    </row>
    <row r="2367" spans="1:2" x14ac:dyDescent="0.25">
      <c r="A2367" s="1" t="s">
        <v>3234</v>
      </c>
      <c r="B2367" s="1" t="s">
        <v>5611</v>
      </c>
    </row>
    <row r="2368" spans="1:2" x14ac:dyDescent="0.25">
      <c r="A2368" s="1" t="s">
        <v>3235</v>
      </c>
      <c r="B2368" s="1" t="s">
        <v>6669</v>
      </c>
    </row>
    <row r="2369" spans="1:2" x14ac:dyDescent="0.25">
      <c r="A2369" s="1" t="s">
        <v>3236</v>
      </c>
      <c r="B2369" s="1" t="s">
        <v>6670</v>
      </c>
    </row>
    <row r="2370" spans="1:2" x14ac:dyDescent="0.25">
      <c r="A2370" s="1" t="s">
        <v>3237</v>
      </c>
      <c r="B2370" s="1" t="s">
        <v>4693</v>
      </c>
    </row>
    <row r="2371" spans="1:2" x14ac:dyDescent="0.25">
      <c r="A2371" s="1" t="s">
        <v>3238</v>
      </c>
      <c r="B2371" s="1" t="s">
        <v>6671</v>
      </c>
    </row>
    <row r="2372" spans="1:2" x14ac:dyDescent="0.25">
      <c r="A2372" s="1" t="s">
        <v>3239</v>
      </c>
      <c r="B2372" s="1" t="s">
        <v>6672</v>
      </c>
    </row>
    <row r="2373" spans="1:2" x14ac:dyDescent="0.25">
      <c r="A2373" s="1" t="s">
        <v>3240</v>
      </c>
      <c r="B2373" s="1" t="s">
        <v>6673</v>
      </c>
    </row>
    <row r="2374" spans="1:2" x14ac:dyDescent="0.25">
      <c r="A2374" s="1" t="s">
        <v>3241</v>
      </c>
      <c r="B2374" s="1" t="s">
        <v>4668</v>
      </c>
    </row>
    <row r="2375" spans="1:2" x14ac:dyDescent="0.25">
      <c r="A2375" s="1" t="s">
        <v>3242</v>
      </c>
      <c r="B2375" s="1" t="s">
        <v>6674</v>
      </c>
    </row>
    <row r="2376" spans="1:2" x14ac:dyDescent="0.25">
      <c r="A2376" s="1" t="s">
        <v>3243</v>
      </c>
      <c r="B2376" s="1" t="s">
        <v>6675</v>
      </c>
    </row>
    <row r="2377" spans="1:2" x14ac:dyDescent="0.25">
      <c r="A2377" s="1" t="s">
        <v>3244</v>
      </c>
      <c r="B2377" s="1" t="s">
        <v>6676</v>
      </c>
    </row>
    <row r="2378" spans="1:2" x14ac:dyDescent="0.25">
      <c r="A2378" s="1" t="s">
        <v>3245</v>
      </c>
      <c r="B2378" s="1" t="s">
        <v>5876</v>
      </c>
    </row>
    <row r="2379" spans="1:2" x14ac:dyDescent="0.25">
      <c r="A2379" s="1" t="s">
        <v>3246</v>
      </c>
      <c r="B2379" s="1" t="s">
        <v>4882</v>
      </c>
    </row>
    <row r="2380" spans="1:2" x14ac:dyDescent="0.25">
      <c r="A2380" s="1" t="s">
        <v>3247</v>
      </c>
      <c r="B2380" s="1" t="s">
        <v>6356</v>
      </c>
    </row>
    <row r="2381" spans="1:2" x14ac:dyDescent="0.25">
      <c r="A2381" s="1" t="s">
        <v>3248</v>
      </c>
      <c r="B2381" s="1" t="s">
        <v>6677</v>
      </c>
    </row>
    <row r="2382" spans="1:2" x14ac:dyDescent="0.25">
      <c r="A2382" s="1" t="s">
        <v>4286</v>
      </c>
      <c r="B2382" s="1" t="s">
        <v>4986</v>
      </c>
    </row>
    <row r="2383" spans="1:2" x14ac:dyDescent="0.25">
      <c r="A2383" s="1" t="s">
        <v>3249</v>
      </c>
      <c r="B2383" s="1" t="s">
        <v>6678</v>
      </c>
    </row>
    <row r="2384" spans="1:2" x14ac:dyDescent="0.25">
      <c r="A2384" s="1" t="s">
        <v>3250</v>
      </c>
      <c r="B2384" s="1" t="s">
        <v>6679</v>
      </c>
    </row>
    <row r="2385" spans="1:2" x14ac:dyDescent="0.25">
      <c r="A2385" s="1" t="s">
        <v>3251</v>
      </c>
      <c r="B2385" s="1" t="s">
        <v>6680</v>
      </c>
    </row>
    <row r="2386" spans="1:2" x14ac:dyDescent="0.25">
      <c r="A2386" s="1" t="s">
        <v>3252</v>
      </c>
      <c r="B2386" s="1" t="s">
        <v>6681</v>
      </c>
    </row>
    <row r="2387" spans="1:2" x14ac:dyDescent="0.25">
      <c r="A2387" s="1" t="s">
        <v>3253</v>
      </c>
      <c r="B2387" s="1" t="s">
        <v>4516</v>
      </c>
    </row>
    <row r="2388" spans="1:2" x14ac:dyDescent="0.25">
      <c r="A2388" s="1" t="s">
        <v>3254</v>
      </c>
      <c r="B2388" s="1" t="s">
        <v>5796</v>
      </c>
    </row>
    <row r="2389" spans="1:2" x14ac:dyDescent="0.25">
      <c r="A2389" s="1" t="s">
        <v>3255</v>
      </c>
      <c r="B2389" s="1" t="s">
        <v>4441</v>
      </c>
    </row>
    <row r="2390" spans="1:2" x14ac:dyDescent="0.25">
      <c r="A2390" s="1" t="s">
        <v>3256</v>
      </c>
      <c r="B2390" s="1" t="s">
        <v>5461</v>
      </c>
    </row>
    <row r="2391" spans="1:2" x14ac:dyDescent="0.25">
      <c r="A2391" s="1" t="s">
        <v>3257</v>
      </c>
      <c r="B2391" s="1" t="s">
        <v>6682</v>
      </c>
    </row>
    <row r="2392" spans="1:2" x14ac:dyDescent="0.25">
      <c r="A2392" s="1" t="s">
        <v>3258</v>
      </c>
      <c r="B2392" s="1" t="s">
        <v>6164</v>
      </c>
    </row>
    <row r="2393" spans="1:2" x14ac:dyDescent="0.25">
      <c r="A2393" s="1" t="s">
        <v>3259</v>
      </c>
      <c r="B2393" s="1" t="s">
        <v>4593</v>
      </c>
    </row>
    <row r="2394" spans="1:2" x14ac:dyDescent="0.25">
      <c r="A2394" s="1" t="s">
        <v>3260</v>
      </c>
      <c r="B2394" s="1" t="s">
        <v>6683</v>
      </c>
    </row>
    <row r="2395" spans="1:2" x14ac:dyDescent="0.25">
      <c r="A2395" s="1" t="s">
        <v>3261</v>
      </c>
      <c r="B2395" s="1" t="s">
        <v>6684</v>
      </c>
    </row>
    <row r="2396" spans="1:2" x14ac:dyDescent="0.25">
      <c r="A2396" s="1" t="s">
        <v>3262</v>
      </c>
      <c r="B2396" s="1" t="s">
        <v>6685</v>
      </c>
    </row>
    <row r="2397" spans="1:2" x14ac:dyDescent="0.25">
      <c r="A2397" s="1" t="s">
        <v>3263</v>
      </c>
      <c r="B2397" s="1" t="s">
        <v>6686</v>
      </c>
    </row>
    <row r="2398" spans="1:2" x14ac:dyDescent="0.25">
      <c r="A2398" s="1" t="s">
        <v>3264</v>
      </c>
      <c r="B2398" s="1" t="s">
        <v>5319</v>
      </c>
    </row>
    <row r="2399" spans="1:2" x14ac:dyDescent="0.25">
      <c r="A2399" s="1" t="s">
        <v>3265</v>
      </c>
      <c r="B2399" s="1" t="s">
        <v>4690</v>
      </c>
    </row>
    <row r="2400" spans="1:2" x14ac:dyDescent="0.25">
      <c r="A2400" s="1" t="s">
        <v>3266</v>
      </c>
      <c r="B2400" s="1" t="s">
        <v>6687</v>
      </c>
    </row>
    <row r="2401" spans="1:2" x14ac:dyDescent="0.25">
      <c r="A2401" s="1" t="s">
        <v>3267</v>
      </c>
      <c r="B2401" s="1" t="s">
        <v>6688</v>
      </c>
    </row>
    <row r="2402" spans="1:2" x14ac:dyDescent="0.25">
      <c r="A2402" s="1" t="s">
        <v>3268</v>
      </c>
      <c r="B2402" s="1" t="s">
        <v>6689</v>
      </c>
    </row>
    <row r="2403" spans="1:2" x14ac:dyDescent="0.25">
      <c r="A2403" s="1" t="s">
        <v>3269</v>
      </c>
      <c r="B2403" s="1" t="s">
        <v>4388</v>
      </c>
    </row>
    <row r="2404" spans="1:2" x14ac:dyDescent="0.25">
      <c r="A2404" s="1" t="s">
        <v>3270</v>
      </c>
      <c r="B2404" s="1" t="s">
        <v>6690</v>
      </c>
    </row>
    <row r="2405" spans="1:2" x14ac:dyDescent="0.25">
      <c r="A2405" s="1" t="s">
        <v>3271</v>
      </c>
      <c r="B2405" s="1" t="s">
        <v>6691</v>
      </c>
    </row>
    <row r="2406" spans="1:2" x14ac:dyDescent="0.25">
      <c r="A2406" s="1" t="s">
        <v>3272</v>
      </c>
      <c r="B2406" s="1" t="s">
        <v>6692</v>
      </c>
    </row>
    <row r="2407" spans="1:2" x14ac:dyDescent="0.25">
      <c r="A2407" s="1" t="s">
        <v>3273</v>
      </c>
      <c r="B2407" s="1" t="s">
        <v>4788</v>
      </c>
    </row>
    <row r="2408" spans="1:2" x14ac:dyDescent="0.25">
      <c r="A2408" s="1" t="s">
        <v>3274</v>
      </c>
      <c r="B2408" s="1" t="s">
        <v>5928</v>
      </c>
    </row>
    <row r="2409" spans="1:2" x14ac:dyDescent="0.25">
      <c r="A2409" s="1" t="s">
        <v>3275</v>
      </c>
      <c r="B2409" s="1" t="s">
        <v>6693</v>
      </c>
    </row>
    <row r="2410" spans="1:2" x14ac:dyDescent="0.25">
      <c r="A2410" s="1" t="s">
        <v>3276</v>
      </c>
      <c r="B2410" s="1" t="s">
        <v>6694</v>
      </c>
    </row>
    <row r="2411" spans="1:2" x14ac:dyDescent="0.25">
      <c r="A2411" s="1" t="s">
        <v>3277</v>
      </c>
      <c r="B2411" s="1" t="s">
        <v>6695</v>
      </c>
    </row>
    <row r="2412" spans="1:2" x14ac:dyDescent="0.25">
      <c r="A2412" s="1" t="s">
        <v>3278</v>
      </c>
      <c r="B2412" s="1" t="s">
        <v>6528</v>
      </c>
    </row>
    <row r="2413" spans="1:2" x14ac:dyDescent="0.25">
      <c r="A2413" s="1" t="s">
        <v>3279</v>
      </c>
      <c r="B2413" s="1" t="s">
        <v>6696</v>
      </c>
    </row>
    <row r="2414" spans="1:2" x14ac:dyDescent="0.25">
      <c r="A2414" s="1" t="s">
        <v>3280</v>
      </c>
      <c r="B2414" s="1" t="s">
        <v>6697</v>
      </c>
    </row>
    <row r="2415" spans="1:2" x14ac:dyDescent="0.25">
      <c r="A2415" s="1" t="s">
        <v>3281</v>
      </c>
      <c r="B2415" s="1" t="s">
        <v>6698</v>
      </c>
    </row>
    <row r="2416" spans="1:2" x14ac:dyDescent="0.25">
      <c r="A2416" s="1" t="s">
        <v>3282</v>
      </c>
      <c r="B2416" s="1" t="s">
        <v>6699</v>
      </c>
    </row>
    <row r="2417" spans="1:2" x14ac:dyDescent="0.25">
      <c r="A2417" s="1" t="s">
        <v>3283</v>
      </c>
      <c r="B2417" s="1" t="s">
        <v>4677</v>
      </c>
    </row>
    <row r="2418" spans="1:2" x14ac:dyDescent="0.25">
      <c r="A2418" s="1" t="s">
        <v>3284</v>
      </c>
      <c r="B2418" s="1" t="s">
        <v>5293</v>
      </c>
    </row>
    <row r="2419" spans="1:2" x14ac:dyDescent="0.25">
      <c r="A2419" s="1" t="s">
        <v>3285</v>
      </c>
      <c r="B2419" s="1" t="s">
        <v>6700</v>
      </c>
    </row>
    <row r="2420" spans="1:2" x14ac:dyDescent="0.25">
      <c r="A2420" s="1" t="s">
        <v>3286</v>
      </c>
      <c r="B2420" s="1" t="s">
        <v>6041</v>
      </c>
    </row>
    <row r="2421" spans="1:2" x14ac:dyDescent="0.25">
      <c r="A2421" s="1" t="s">
        <v>3287</v>
      </c>
      <c r="B2421" s="1" t="s">
        <v>6701</v>
      </c>
    </row>
    <row r="2422" spans="1:2" x14ac:dyDescent="0.25">
      <c r="A2422" s="1" t="s">
        <v>3288</v>
      </c>
      <c r="B2422" s="1" t="s">
        <v>4756</v>
      </c>
    </row>
    <row r="2423" spans="1:2" x14ac:dyDescent="0.25">
      <c r="A2423" s="1" t="s">
        <v>3289</v>
      </c>
      <c r="B2423" s="1" t="s">
        <v>6702</v>
      </c>
    </row>
    <row r="2424" spans="1:2" x14ac:dyDescent="0.25">
      <c r="A2424" s="1" t="s">
        <v>3290</v>
      </c>
      <c r="B2424" s="1" t="s">
        <v>6577</v>
      </c>
    </row>
    <row r="2425" spans="1:2" x14ac:dyDescent="0.25">
      <c r="A2425" s="1" t="s">
        <v>3291</v>
      </c>
      <c r="B2425" s="1" t="s">
        <v>6703</v>
      </c>
    </row>
    <row r="2426" spans="1:2" x14ac:dyDescent="0.25">
      <c r="A2426" s="1" t="s">
        <v>3292</v>
      </c>
      <c r="B2426" s="1" t="s">
        <v>6704</v>
      </c>
    </row>
    <row r="2427" spans="1:2" x14ac:dyDescent="0.25">
      <c r="A2427" s="1" t="s">
        <v>3293</v>
      </c>
      <c r="B2427" s="1" t="s">
        <v>4580</v>
      </c>
    </row>
    <row r="2428" spans="1:2" x14ac:dyDescent="0.25">
      <c r="A2428" s="1" t="s">
        <v>3294</v>
      </c>
      <c r="B2428" s="1" t="s">
        <v>6705</v>
      </c>
    </row>
    <row r="2429" spans="1:2" x14ac:dyDescent="0.25">
      <c r="A2429" s="1" t="s">
        <v>3295</v>
      </c>
      <c r="B2429" s="1" t="s">
        <v>4732</v>
      </c>
    </row>
    <row r="2430" spans="1:2" x14ac:dyDescent="0.25">
      <c r="A2430" s="1" t="s">
        <v>3296</v>
      </c>
      <c r="B2430" s="1" t="s">
        <v>6706</v>
      </c>
    </row>
    <row r="2431" spans="1:2" x14ac:dyDescent="0.25">
      <c r="A2431" s="1" t="s">
        <v>3297</v>
      </c>
      <c r="B2431" s="1" t="s">
        <v>6707</v>
      </c>
    </row>
    <row r="2432" spans="1:2" x14ac:dyDescent="0.25">
      <c r="A2432" s="1" t="s">
        <v>3298</v>
      </c>
      <c r="B2432" s="1" t="s">
        <v>6708</v>
      </c>
    </row>
    <row r="2433" spans="1:2" x14ac:dyDescent="0.25">
      <c r="A2433" s="1" t="s">
        <v>3299</v>
      </c>
      <c r="B2433" s="1" t="s">
        <v>4623</v>
      </c>
    </row>
    <row r="2434" spans="1:2" x14ac:dyDescent="0.25">
      <c r="A2434" s="1" t="s">
        <v>3300</v>
      </c>
      <c r="B2434" s="1" t="s">
        <v>5466</v>
      </c>
    </row>
    <row r="2435" spans="1:2" x14ac:dyDescent="0.25">
      <c r="A2435" s="1" t="s">
        <v>3301</v>
      </c>
      <c r="B2435" s="1" t="s">
        <v>5750</v>
      </c>
    </row>
    <row r="2436" spans="1:2" x14ac:dyDescent="0.25">
      <c r="A2436" s="1" t="s">
        <v>3302</v>
      </c>
      <c r="B2436" s="1" t="s">
        <v>6709</v>
      </c>
    </row>
    <row r="2437" spans="1:2" x14ac:dyDescent="0.25">
      <c r="A2437" s="1" t="s">
        <v>3303</v>
      </c>
      <c r="B2437" s="1" t="s">
        <v>6710</v>
      </c>
    </row>
    <row r="2438" spans="1:2" x14ac:dyDescent="0.25">
      <c r="A2438" s="1" t="s">
        <v>3304</v>
      </c>
      <c r="B2438" s="1" t="s">
        <v>5254</v>
      </c>
    </row>
    <row r="2439" spans="1:2" x14ac:dyDescent="0.25">
      <c r="A2439" s="1" t="s">
        <v>3305</v>
      </c>
      <c r="B2439" s="1" t="s">
        <v>6711</v>
      </c>
    </row>
    <row r="2440" spans="1:2" x14ac:dyDescent="0.25">
      <c r="A2440" s="1" t="s">
        <v>3306</v>
      </c>
      <c r="B2440" s="1" t="s">
        <v>5218</v>
      </c>
    </row>
    <row r="2441" spans="1:2" x14ac:dyDescent="0.25">
      <c r="A2441" s="1" t="s">
        <v>3307</v>
      </c>
      <c r="B2441" s="1" t="s">
        <v>6712</v>
      </c>
    </row>
    <row r="2442" spans="1:2" x14ac:dyDescent="0.25">
      <c r="A2442" s="1" t="s">
        <v>3308</v>
      </c>
      <c r="B2442" s="1" t="s">
        <v>6381</v>
      </c>
    </row>
    <row r="2443" spans="1:2" x14ac:dyDescent="0.25">
      <c r="A2443" s="1" t="s">
        <v>4262</v>
      </c>
      <c r="B2443" s="1" t="s">
        <v>6713</v>
      </c>
    </row>
    <row r="2444" spans="1:2" x14ac:dyDescent="0.25">
      <c r="A2444" s="1" t="s">
        <v>3309</v>
      </c>
      <c r="B2444" s="1" t="s">
        <v>6714</v>
      </c>
    </row>
    <row r="2445" spans="1:2" x14ac:dyDescent="0.25">
      <c r="A2445" s="1" t="s">
        <v>3310</v>
      </c>
      <c r="B2445" s="1" t="s">
        <v>5591</v>
      </c>
    </row>
    <row r="2446" spans="1:2" x14ac:dyDescent="0.25">
      <c r="A2446" s="1" t="s">
        <v>3311</v>
      </c>
      <c r="B2446" s="1" t="s">
        <v>6715</v>
      </c>
    </row>
    <row r="2447" spans="1:2" x14ac:dyDescent="0.25">
      <c r="A2447" s="1" t="s">
        <v>3312</v>
      </c>
      <c r="B2447" s="1" t="s">
        <v>6716</v>
      </c>
    </row>
    <row r="2448" spans="1:2" x14ac:dyDescent="0.25">
      <c r="A2448" s="1" t="s">
        <v>3313</v>
      </c>
      <c r="B2448" s="1" t="s">
        <v>6717</v>
      </c>
    </row>
    <row r="2449" spans="1:2" x14ac:dyDescent="0.25">
      <c r="A2449" s="1" t="s">
        <v>3314</v>
      </c>
      <c r="B2449" s="1" t="s">
        <v>6718</v>
      </c>
    </row>
    <row r="2450" spans="1:2" x14ac:dyDescent="0.25">
      <c r="A2450" s="1" t="s">
        <v>3315</v>
      </c>
      <c r="B2450" s="1" t="s">
        <v>6684</v>
      </c>
    </row>
    <row r="2451" spans="1:2" x14ac:dyDescent="0.25">
      <c r="A2451" s="1" t="s">
        <v>3316</v>
      </c>
      <c r="B2451" s="1" t="s">
        <v>6719</v>
      </c>
    </row>
    <row r="2452" spans="1:2" x14ac:dyDescent="0.25">
      <c r="A2452" s="1" t="s">
        <v>3317</v>
      </c>
      <c r="B2452" s="1" t="s">
        <v>6720</v>
      </c>
    </row>
    <row r="2453" spans="1:2" x14ac:dyDescent="0.25">
      <c r="A2453" s="1" t="s">
        <v>3318</v>
      </c>
      <c r="B2453" s="1" t="s">
        <v>5550</v>
      </c>
    </row>
    <row r="2454" spans="1:2" x14ac:dyDescent="0.25">
      <c r="A2454" s="1" t="s">
        <v>3319</v>
      </c>
      <c r="B2454" s="1" t="s">
        <v>6721</v>
      </c>
    </row>
    <row r="2455" spans="1:2" x14ac:dyDescent="0.25">
      <c r="A2455" s="1" t="s">
        <v>3320</v>
      </c>
      <c r="B2455" s="1" t="s">
        <v>5117</v>
      </c>
    </row>
    <row r="2456" spans="1:2" x14ac:dyDescent="0.25">
      <c r="A2456" s="1" t="s">
        <v>3321</v>
      </c>
      <c r="B2456" s="1" t="s">
        <v>6605</v>
      </c>
    </row>
    <row r="2457" spans="1:2" x14ac:dyDescent="0.25">
      <c r="A2457" s="1" t="s">
        <v>3322</v>
      </c>
      <c r="B2457" s="1" t="s">
        <v>5619</v>
      </c>
    </row>
    <row r="2458" spans="1:2" x14ac:dyDescent="0.25">
      <c r="A2458" s="1" t="s">
        <v>3323</v>
      </c>
      <c r="B2458" s="1" t="s">
        <v>6722</v>
      </c>
    </row>
    <row r="2459" spans="1:2" x14ac:dyDescent="0.25">
      <c r="A2459" s="1" t="s">
        <v>3324</v>
      </c>
      <c r="B2459" s="1" t="s">
        <v>4556</v>
      </c>
    </row>
    <row r="2460" spans="1:2" x14ac:dyDescent="0.25">
      <c r="A2460" s="1" t="s">
        <v>3325</v>
      </c>
      <c r="B2460" s="1" t="s">
        <v>4660</v>
      </c>
    </row>
    <row r="2461" spans="1:2" x14ac:dyDescent="0.25">
      <c r="A2461" s="1" t="s">
        <v>3326</v>
      </c>
      <c r="B2461" s="1" t="s">
        <v>4880</v>
      </c>
    </row>
    <row r="2462" spans="1:2" x14ac:dyDescent="0.25">
      <c r="A2462" s="1" t="s">
        <v>3327</v>
      </c>
      <c r="B2462" s="1" t="s">
        <v>6723</v>
      </c>
    </row>
    <row r="2463" spans="1:2" x14ac:dyDescent="0.25">
      <c r="A2463" s="1" t="s">
        <v>3328</v>
      </c>
      <c r="B2463" s="1" t="s">
        <v>6724</v>
      </c>
    </row>
    <row r="2464" spans="1:2" x14ac:dyDescent="0.25">
      <c r="A2464" s="1" t="s">
        <v>3329</v>
      </c>
      <c r="B2464" s="1" t="s">
        <v>4715</v>
      </c>
    </row>
    <row r="2465" spans="1:2" x14ac:dyDescent="0.25">
      <c r="A2465" s="1" t="s">
        <v>3330</v>
      </c>
      <c r="B2465" s="1" t="s">
        <v>5390</v>
      </c>
    </row>
    <row r="2466" spans="1:2" x14ac:dyDescent="0.25">
      <c r="A2466" s="1" t="s">
        <v>3331</v>
      </c>
      <c r="B2466" s="1" t="s">
        <v>5234</v>
      </c>
    </row>
    <row r="2467" spans="1:2" x14ac:dyDescent="0.25">
      <c r="A2467" s="1" t="s">
        <v>3332</v>
      </c>
      <c r="B2467" s="1" t="s">
        <v>5572</v>
      </c>
    </row>
    <row r="2468" spans="1:2" x14ac:dyDescent="0.25">
      <c r="A2468" s="1" t="s">
        <v>3333</v>
      </c>
      <c r="B2468" s="1" t="s">
        <v>6725</v>
      </c>
    </row>
    <row r="2469" spans="1:2" x14ac:dyDescent="0.25">
      <c r="A2469" s="1" t="s">
        <v>3334</v>
      </c>
      <c r="B2469" s="1" t="s">
        <v>6726</v>
      </c>
    </row>
    <row r="2470" spans="1:2" x14ac:dyDescent="0.25">
      <c r="A2470" s="1" t="s">
        <v>3335</v>
      </c>
      <c r="B2470" s="1" t="s">
        <v>4795</v>
      </c>
    </row>
    <row r="2471" spans="1:2" x14ac:dyDescent="0.25">
      <c r="A2471" s="1" t="s">
        <v>3336</v>
      </c>
      <c r="B2471" s="1" t="s">
        <v>5524</v>
      </c>
    </row>
    <row r="2472" spans="1:2" x14ac:dyDescent="0.25">
      <c r="A2472" s="1" t="s">
        <v>3337</v>
      </c>
      <c r="B2472" s="1" t="s">
        <v>4738</v>
      </c>
    </row>
    <row r="2473" spans="1:2" x14ac:dyDescent="0.25">
      <c r="A2473" s="1" t="s">
        <v>3338</v>
      </c>
      <c r="B2473" s="1" t="s">
        <v>6727</v>
      </c>
    </row>
    <row r="2474" spans="1:2" x14ac:dyDescent="0.25">
      <c r="A2474" s="1" t="s">
        <v>3339</v>
      </c>
      <c r="B2474" s="1" t="s">
        <v>6728</v>
      </c>
    </row>
    <row r="2475" spans="1:2" x14ac:dyDescent="0.25">
      <c r="A2475" s="1" t="s">
        <v>3340</v>
      </c>
      <c r="B2475" s="1" t="s">
        <v>4342</v>
      </c>
    </row>
    <row r="2476" spans="1:2" x14ac:dyDescent="0.25">
      <c r="A2476" s="1" t="s">
        <v>3341</v>
      </c>
      <c r="B2476" s="1" t="s">
        <v>4689</v>
      </c>
    </row>
    <row r="2477" spans="1:2" x14ac:dyDescent="0.25">
      <c r="A2477" s="1" t="s">
        <v>3342</v>
      </c>
      <c r="B2477" s="1" t="s">
        <v>6729</v>
      </c>
    </row>
    <row r="2478" spans="1:2" x14ac:dyDescent="0.25">
      <c r="A2478" s="1" t="s">
        <v>3343</v>
      </c>
      <c r="B2478" s="1" t="s">
        <v>4719</v>
      </c>
    </row>
    <row r="2479" spans="1:2" x14ac:dyDescent="0.25">
      <c r="A2479" s="1" t="s">
        <v>3344</v>
      </c>
      <c r="B2479" s="1" t="s">
        <v>6730</v>
      </c>
    </row>
    <row r="2480" spans="1:2" x14ac:dyDescent="0.25">
      <c r="A2480" s="1" t="s">
        <v>3345</v>
      </c>
      <c r="B2480" s="1" t="s">
        <v>6731</v>
      </c>
    </row>
    <row r="2481" spans="1:2" x14ac:dyDescent="0.25">
      <c r="A2481" s="1" t="s">
        <v>3346</v>
      </c>
      <c r="B2481" s="1" t="s">
        <v>4671</v>
      </c>
    </row>
    <row r="2482" spans="1:2" x14ac:dyDescent="0.25">
      <c r="A2482" s="1" t="s">
        <v>3347</v>
      </c>
      <c r="B2482" s="1" t="s">
        <v>6531</v>
      </c>
    </row>
    <row r="2483" spans="1:2" x14ac:dyDescent="0.25">
      <c r="A2483" s="1" t="s">
        <v>3348</v>
      </c>
      <c r="B2483" s="1" t="s">
        <v>6732</v>
      </c>
    </row>
    <row r="2484" spans="1:2" x14ac:dyDescent="0.25">
      <c r="A2484" s="1" t="s">
        <v>3349</v>
      </c>
      <c r="B2484" s="1" t="s">
        <v>5184</v>
      </c>
    </row>
    <row r="2485" spans="1:2" x14ac:dyDescent="0.25">
      <c r="A2485" s="1" t="s">
        <v>3350</v>
      </c>
      <c r="B2485" s="1" t="s">
        <v>5685</v>
      </c>
    </row>
    <row r="2486" spans="1:2" x14ac:dyDescent="0.25">
      <c r="A2486" s="1" t="s">
        <v>3351</v>
      </c>
      <c r="B2486" s="1" t="s">
        <v>4661</v>
      </c>
    </row>
    <row r="2487" spans="1:2" x14ac:dyDescent="0.25">
      <c r="A2487" s="1" t="s">
        <v>3352</v>
      </c>
      <c r="B2487" s="1" t="s">
        <v>5565</v>
      </c>
    </row>
    <row r="2488" spans="1:2" x14ac:dyDescent="0.25">
      <c r="A2488" s="1" t="s">
        <v>3353</v>
      </c>
      <c r="B2488" s="1" t="s">
        <v>6733</v>
      </c>
    </row>
    <row r="2489" spans="1:2" x14ac:dyDescent="0.25">
      <c r="A2489" s="1" t="s">
        <v>3354</v>
      </c>
      <c r="B2489" s="1" t="s">
        <v>4679</v>
      </c>
    </row>
    <row r="2490" spans="1:2" x14ac:dyDescent="0.25">
      <c r="A2490" s="1" t="s">
        <v>3355</v>
      </c>
      <c r="B2490" s="1" t="s">
        <v>5818</v>
      </c>
    </row>
    <row r="2491" spans="1:2" x14ac:dyDescent="0.25">
      <c r="A2491" s="1" t="s">
        <v>3356</v>
      </c>
      <c r="B2491" s="1" t="s">
        <v>6734</v>
      </c>
    </row>
    <row r="2492" spans="1:2" x14ac:dyDescent="0.25">
      <c r="A2492" s="1" t="s">
        <v>3357</v>
      </c>
      <c r="B2492" s="1" t="s">
        <v>6735</v>
      </c>
    </row>
    <row r="2493" spans="1:2" x14ac:dyDescent="0.25">
      <c r="A2493" s="1" t="s">
        <v>3358</v>
      </c>
      <c r="B2493" s="1" t="s">
        <v>6736</v>
      </c>
    </row>
    <row r="2494" spans="1:2" x14ac:dyDescent="0.25">
      <c r="A2494" s="1" t="s">
        <v>3359</v>
      </c>
      <c r="B2494" s="1" t="s">
        <v>5592</v>
      </c>
    </row>
    <row r="2495" spans="1:2" x14ac:dyDescent="0.25">
      <c r="A2495" s="1" t="s">
        <v>3360</v>
      </c>
      <c r="B2495" s="1" t="s">
        <v>4693</v>
      </c>
    </row>
    <row r="2496" spans="1:2" x14ac:dyDescent="0.25">
      <c r="A2496" s="1" t="s">
        <v>3361</v>
      </c>
      <c r="B2496" s="1" t="s">
        <v>4793</v>
      </c>
    </row>
    <row r="2497" spans="1:2" x14ac:dyDescent="0.25">
      <c r="A2497" s="1" t="s">
        <v>3362</v>
      </c>
      <c r="B2497" s="1" t="s">
        <v>6737</v>
      </c>
    </row>
    <row r="2498" spans="1:2" x14ac:dyDescent="0.25">
      <c r="A2498" s="1" t="s">
        <v>3363</v>
      </c>
      <c r="B2498" s="1" t="s">
        <v>4890</v>
      </c>
    </row>
    <row r="2499" spans="1:2" x14ac:dyDescent="0.25">
      <c r="A2499" s="1" t="s">
        <v>3364</v>
      </c>
      <c r="B2499" s="1" t="s">
        <v>6738</v>
      </c>
    </row>
    <row r="2500" spans="1:2" x14ac:dyDescent="0.25">
      <c r="A2500" s="1" t="s">
        <v>3365</v>
      </c>
      <c r="B2500" s="1" t="s">
        <v>6739</v>
      </c>
    </row>
    <row r="2501" spans="1:2" x14ac:dyDescent="0.25">
      <c r="A2501" s="1" t="s">
        <v>3366</v>
      </c>
      <c r="B2501" s="1" t="s">
        <v>5820</v>
      </c>
    </row>
    <row r="2502" spans="1:2" x14ac:dyDescent="0.25">
      <c r="A2502" s="1" t="s">
        <v>3367</v>
      </c>
      <c r="B2502" s="1" t="s">
        <v>4595</v>
      </c>
    </row>
    <row r="2503" spans="1:2" x14ac:dyDescent="0.25">
      <c r="A2503" s="1" t="s">
        <v>3368</v>
      </c>
      <c r="B2503" s="1" t="s">
        <v>6611</v>
      </c>
    </row>
    <row r="2504" spans="1:2" x14ac:dyDescent="0.25">
      <c r="A2504" s="1" t="s">
        <v>3369</v>
      </c>
      <c r="B2504" s="1" t="s">
        <v>6740</v>
      </c>
    </row>
    <row r="2505" spans="1:2" x14ac:dyDescent="0.25">
      <c r="A2505" s="1" t="s">
        <v>3370</v>
      </c>
      <c r="B2505" s="1" t="s">
        <v>6741</v>
      </c>
    </row>
    <row r="2506" spans="1:2" x14ac:dyDescent="0.25">
      <c r="A2506" s="1" t="s">
        <v>3371</v>
      </c>
      <c r="B2506" s="1" t="s">
        <v>6742</v>
      </c>
    </row>
    <row r="2507" spans="1:2" x14ac:dyDescent="0.25">
      <c r="A2507" s="1" t="s">
        <v>3372</v>
      </c>
      <c r="B2507" s="1" t="s">
        <v>6743</v>
      </c>
    </row>
    <row r="2508" spans="1:2" x14ac:dyDescent="0.25">
      <c r="A2508" s="1" t="s">
        <v>3373</v>
      </c>
      <c r="B2508" s="1" t="s">
        <v>6744</v>
      </c>
    </row>
    <row r="2509" spans="1:2" x14ac:dyDescent="0.25">
      <c r="A2509" s="1" t="s">
        <v>3374</v>
      </c>
      <c r="B2509" s="1" t="s">
        <v>6745</v>
      </c>
    </row>
    <row r="2510" spans="1:2" x14ac:dyDescent="0.25">
      <c r="A2510" s="1" t="s">
        <v>3375</v>
      </c>
      <c r="B2510" s="1" t="s">
        <v>6746</v>
      </c>
    </row>
    <row r="2511" spans="1:2" x14ac:dyDescent="0.25">
      <c r="A2511" s="1" t="s">
        <v>3376</v>
      </c>
      <c r="B2511" s="1" t="s">
        <v>6747</v>
      </c>
    </row>
    <row r="2512" spans="1:2" x14ac:dyDescent="0.25">
      <c r="A2512" s="1" t="s">
        <v>3377</v>
      </c>
      <c r="B2512" s="1" t="s">
        <v>5259</v>
      </c>
    </row>
    <row r="2513" spans="1:2" x14ac:dyDescent="0.25">
      <c r="A2513" s="1" t="s">
        <v>3378</v>
      </c>
      <c r="B2513" s="1" t="s">
        <v>4732</v>
      </c>
    </row>
    <row r="2514" spans="1:2" x14ac:dyDescent="0.25">
      <c r="A2514" s="1" t="s">
        <v>3379</v>
      </c>
      <c r="B2514" s="1" t="s">
        <v>6748</v>
      </c>
    </row>
    <row r="2515" spans="1:2" x14ac:dyDescent="0.25">
      <c r="A2515" s="1" t="s">
        <v>3380</v>
      </c>
      <c r="B2515" s="1" t="s">
        <v>5383</v>
      </c>
    </row>
    <row r="2516" spans="1:2" x14ac:dyDescent="0.25">
      <c r="A2516" s="1" t="s">
        <v>3381</v>
      </c>
      <c r="B2516" s="1" t="s">
        <v>4893</v>
      </c>
    </row>
    <row r="2517" spans="1:2" x14ac:dyDescent="0.25">
      <c r="A2517" s="1" t="s">
        <v>3382</v>
      </c>
      <c r="B2517" s="1" t="s">
        <v>4529</v>
      </c>
    </row>
    <row r="2518" spans="1:2" x14ac:dyDescent="0.25">
      <c r="A2518" s="1" t="s">
        <v>3383</v>
      </c>
      <c r="B2518" s="1" t="s">
        <v>6749</v>
      </c>
    </row>
    <row r="2519" spans="1:2" x14ac:dyDescent="0.25">
      <c r="A2519" s="1" t="s">
        <v>3384</v>
      </c>
      <c r="B2519" s="1" t="s">
        <v>6381</v>
      </c>
    </row>
    <row r="2520" spans="1:2" x14ac:dyDescent="0.25">
      <c r="A2520" s="1" t="s">
        <v>3385</v>
      </c>
      <c r="B2520" s="1" t="s">
        <v>6750</v>
      </c>
    </row>
    <row r="2521" spans="1:2" x14ac:dyDescent="0.25">
      <c r="A2521" s="1" t="s">
        <v>3386</v>
      </c>
      <c r="B2521" s="1" t="s">
        <v>5970</v>
      </c>
    </row>
    <row r="2522" spans="1:2" x14ac:dyDescent="0.25">
      <c r="A2522" s="1" t="s">
        <v>3387</v>
      </c>
      <c r="B2522" s="1" t="s">
        <v>5973</v>
      </c>
    </row>
    <row r="2523" spans="1:2" x14ac:dyDescent="0.25">
      <c r="A2523" s="1" t="s">
        <v>3388</v>
      </c>
      <c r="B2523" s="1" t="s">
        <v>6751</v>
      </c>
    </row>
    <row r="2524" spans="1:2" x14ac:dyDescent="0.25">
      <c r="A2524" s="1" t="s">
        <v>3389</v>
      </c>
      <c r="B2524" s="1" t="s">
        <v>6752</v>
      </c>
    </row>
    <row r="2525" spans="1:2" x14ac:dyDescent="0.25">
      <c r="A2525" s="1" t="s">
        <v>3390</v>
      </c>
      <c r="B2525" s="1" t="s">
        <v>6753</v>
      </c>
    </row>
    <row r="2526" spans="1:2" x14ac:dyDescent="0.25">
      <c r="A2526" s="1" t="s">
        <v>3391</v>
      </c>
      <c r="B2526" s="1" t="s">
        <v>6754</v>
      </c>
    </row>
    <row r="2527" spans="1:2" x14ac:dyDescent="0.25">
      <c r="A2527" s="1" t="s">
        <v>3392</v>
      </c>
      <c r="B2527" s="1" t="s">
        <v>6755</v>
      </c>
    </row>
    <row r="2528" spans="1:2" x14ac:dyDescent="0.25">
      <c r="A2528" s="1" t="s">
        <v>3393</v>
      </c>
      <c r="B2528" s="1" t="s">
        <v>6756</v>
      </c>
    </row>
    <row r="2529" spans="1:2" x14ac:dyDescent="0.25">
      <c r="A2529" s="1" t="s">
        <v>3394</v>
      </c>
      <c r="B2529" s="1" t="s">
        <v>4568</v>
      </c>
    </row>
    <row r="2530" spans="1:2" x14ac:dyDescent="0.25">
      <c r="A2530" s="1" t="s">
        <v>3395</v>
      </c>
      <c r="B2530" s="1" t="s">
        <v>6757</v>
      </c>
    </row>
    <row r="2531" spans="1:2" x14ac:dyDescent="0.25">
      <c r="A2531" s="1" t="s">
        <v>3396</v>
      </c>
      <c r="B2531" s="1" t="s">
        <v>4624</v>
      </c>
    </row>
    <row r="2532" spans="1:2" x14ac:dyDescent="0.25">
      <c r="A2532" s="1" t="s">
        <v>3397</v>
      </c>
      <c r="B2532" s="1" t="s">
        <v>4484</v>
      </c>
    </row>
    <row r="2533" spans="1:2" x14ac:dyDescent="0.25">
      <c r="A2533" s="1" t="s">
        <v>3398</v>
      </c>
      <c r="B2533" s="1" t="s">
        <v>5863</v>
      </c>
    </row>
    <row r="2534" spans="1:2" x14ac:dyDescent="0.25">
      <c r="A2534" s="1" t="s">
        <v>3399</v>
      </c>
      <c r="B2534" s="1" t="s">
        <v>6758</v>
      </c>
    </row>
    <row r="2535" spans="1:2" x14ac:dyDescent="0.25">
      <c r="A2535" s="1" t="s">
        <v>3400</v>
      </c>
      <c r="B2535" s="1" t="s">
        <v>6119</v>
      </c>
    </row>
    <row r="2536" spans="1:2" x14ac:dyDescent="0.25">
      <c r="A2536" s="1" t="s">
        <v>3401</v>
      </c>
      <c r="B2536" s="1" t="s">
        <v>4867</v>
      </c>
    </row>
    <row r="2537" spans="1:2" x14ac:dyDescent="0.25">
      <c r="A2537" s="1" t="s">
        <v>3402</v>
      </c>
      <c r="B2537" s="1" t="s">
        <v>4853</v>
      </c>
    </row>
    <row r="2538" spans="1:2" x14ac:dyDescent="0.25">
      <c r="A2538" s="1" t="s">
        <v>4273</v>
      </c>
      <c r="B2538" s="1" t="s">
        <v>4799</v>
      </c>
    </row>
    <row r="2539" spans="1:2" x14ac:dyDescent="0.25">
      <c r="A2539" s="1" t="s">
        <v>3403</v>
      </c>
      <c r="B2539" s="1" t="s">
        <v>6759</v>
      </c>
    </row>
    <row r="2540" spans="1:2" x14ac:dyDescent="0.25">
      <c r="A2540" s="1" t="s">
        <v>3404</v>
      </c>
      <c r="B2540" s="1" t="s">
        <v>4731</v>
      </c>
    </row>
    <row r="2541" spans="1:2" x14ac:dyDescent="0.25">
      <c r="A2541" s="1" t="s">
        <v>3405</v>
      </c>
      <c r="B2541" s="1" t="s">
        <v>5654</v>
      </c>
    </row>
    <row r="2542" spans="1:2" x14ac:dyDescent="0.25">
      <c r="A2542" s="1" t="s">
        <v>3406</v>
      </c>
      <c r="B2542" s="1" t="s">
        <v>6760</v>
      </c>
    </row>
    <row r="2543" spans="1:2" x14ac:dyDescent="0.25">
      <c r="A2543" s="1" t="s">
        <v>3407</v>
      </c>
      <c r="B2543" s="1" t="s">
        <v>6761</v>
      </c>
    </row>
    <row r="2544" spans="1:2" x14ac:dyDescent="0.25">
      <c r="A2544" s="1" t="s">
        <v>3408</v>
      </c>
      <c r="B2544" s="1" t="s">
        <v>4581</v>
      </c>
    </row>
    <row r="2545" spans="1:2" x14ac:dyDescent="0.25">
      <c r="A2545" s="1" t="s">
        <v>3409</v>
      </c>
      <c r="B2545" s="1" t="s">
        <v>6762</v>
      </c>
    </row>
    <row r="2546" spans="1:2" x14ac:dyDescent="0.25">
      <c r="A2546" s="1" t="s">
        <v>3410</v>
      </c>
      <c r="B2546" s="1" t="s">
        <v>6763</v>
      </c>
    </row>
    <row r="2547" spans="1:2" x14ac:dyDescent="0.25">
      <c r="A2547" s="1" t="s">
        <v>3411</v>
      </c>
      <c r="B2547" s="1" t="s">
        <v>6764</v>
      </c>
    </row>
    <row r="2548" spans="1:2" x14ac:dyDescent="0.25">
      <c r="A2548" s="1" t="s">
        <v>3412</v>
      </c>
      <c r="B2548" s="1" t="s">
        <v>6765</v>
      </c>
    </row>
    <row r="2549" spans="1:2" x14ac:dyDescent="0.25">
      <c r="A2549" s="1" t="s">
        <v>3413</v>
      </c>
      <c r="B2549" s="1" t="s">
        <v>5466</v>
      </c>
    </row>
    <row r="2550" spans="1:2" x14ac:dyDescent="0.25">
      <c r="A2550" s="1" t="s">
        <v>3414</v>
      </c>
      <c r="B2550" s="1" t="s">
        <v>5449</v>
      </c>
    </row>
    <row r="2551" spans="1:2" x14ac:dyDescent="0.25">
      <c r="A2551" s="1" t="s">
        <v>3415</v>
      </c>
      <c r="B2551" s="1" t="s">
        <v>6766</v>
      </c>
    </row>
    <row r="2552" spans="1:2" x14ac:dyDescent="0.25">
      <c r="A2552" s="1" t="s">
        <v>3416</v>
      </c>
      <c r="B2552" s="1" t="s">
        <v>6767</v>
      </c>
    </row>
    <row r="2553" spans="1:2" x14ac:dyDescent="0.25">
      <c r="A2553" s="1" t="s">
        <v>3417</v>
      </c>
      <c r="B2553" s="1" t="s">
        <v>6768</v>
      </c>
    </row>
    <row r="2554" spans="1:2" x14ac:dyDescent="0.25">
      <c r="A2554" s="1" t="s">
        <v>3418</v>
      </c>
      <c r="B2554" s="1" t="s">
        <v>5997</v>
      </c>
    </row>
    <row r="2555" spans="1:2" x14ac:dyDescent="0.25">
      <c r="A2555" s="1" t="s">
        <v>3419</v>
      </c>
      <c r="B2555" s="1" t="s">
        <v>6769</v>
      </c>
    </row>
    <row r="2556" spans="1:2" x14ac:dyDescent="0.25">
      <c r="A2556" s="1" t="s">
        <v>3420</v>
      </c>
      <c r="B2556" s="1" t="s">
        <v>6770</v>
      </c>
    </row>
    <row r="2557" spans="1:2" x14ac:dyDescent="0.25">
      <c r="A2557" s="1" t="s">
        <v>3421</v>
      </c>
      <c r="B2557" s="1" t="s">
        <v>4879</v>
      </c>
    </row>
    <row r="2558" spans="1:2" x14ac:dyDescent="0.25">
      <c r="A2558" s="1" t="s">
        <v>3422</v>
      </c>
      <c r="B2558" s="1" t="s">
        <v>5979</v>
      </c>
    </row>
    <row r="2559" spans="1:2" x14ac:dyDescent="0.25">
      <c r="A2559" s="1" t="s">
        <v>3423</v>
      </c>
      <c r="B2559" s="1" t="s">
        <v>6771</v>
      </c>
    </row>
    <row r="2560" spans="1:2" x14ac:dyDescent="0.25">
      <c r="A2560" s="1" t="s">
        <v>3424</v>
      </c>
      <c r="B2560" s="1" t="s">
        <v>6772</v>
      </c>
    </row>
    <row r="2561" spans="1:2" x14ac:dyDescent="0.25">
      <c r="A2561" s="1" t="s">
        <v>3425</v>
      </c>
      <c r="B2561" s="1" t="s">
        <v>4562</v>
      </c>
    </row>
    <row r="2562" spans="1:2" x14ac:dyDescent="0.25">
      <c r="A2562" s="1" t="s">
        <v>3426</v>
      </c>
      <c r="B2562" s="1" t="s">
        <v>5261</v>
      </c>
    </row>
    <row r="2563" spans="1:2" x14ac:dyDescent="0.25">
      <c r="A2563" s="1" t="s">
        <v>3427</v>
      </c>
      <c r="B2563" s="1" t="s">
        <v>6773</v>
      </c>
    </row>
    <row r="2564" spans="1:2" x14ac:dyDescent="0.25">
      <c r="A2564" s="1" t="s">
        <v>3428</v>
      </c>
      <c r="B2564" s="1" t="s">
        <v>6774</v>
      </c>
    </row>
    <row r="2565" spans="1:2" x14ac:dyDescent="0.25">
      <c r="A2565" s="1" t="s">
        <v>3429</v>
      </c>
      <c r="B2565" s="1" t="s">
        <v>6132</v>
      </c>
    </row>
    <row r="2566" spans="1:2" x14ac:dyDescent="0.25">
      <c r="A2566" s="1" t="s">
        <v>3430</v>
      </c>
      <c r="B2566" s="1" t="s">
        <v>6775</v>
      </c>
    </row>
    <row r="2567" spans="1:2" x14ac:dyDescent="0.25">
      <c r="A2567" s="1" t="s">
        <v>3431</v>
      </c>
      <c r="B2567" s="1" t="s">
        <v>6776</v>
      </c>
    </row>
    <row r="2568" spans="1:2" x14ac:dyDescent="0.25">
      <c r="A2568" s="1" t="s">
        <v>3432</v>
      </c>
      <c r="B2568" s="1" t="s">
        <v>6451</v>
      </c>
    </row>
    <row r="2569" spans="1:2" x14ac:dyDescent="0.25">
      <c r="A2569" s="1" t="s">
        <v>3433</v>
      </c>
      <c r="B2569" s="1" t="s">
        <v>4803</v>
      </c>
    </row>
    <row r="2570" spans="1:2" x14ac:dyDescent="0.25">
      <c r="A2570" s="1" t="s">
        <v>3434</v>
      </c>
      <c r="B2570" s="1" t="s">
        <v>6777</v>
      </c>
    </row>
    <row r="2571" spans="1:2" x14ac:dyDescent="0.25">
      <c r="A2571" s="1" t="s">
        <v>3435</v>
      </c>
      <c r="B2571" s="1" t="s">
        <v>6778</v>
      </c>
    </row>
    <row r="2572" spans="1:2" x14ac:dyDescent="0.25">
      <c r="A2572" s="1" t="s">
        <v>3436</v>
      </c>
      <c r="B2572" s="1" t="s">
        <v>6478</v>
      </c>
    </row>
    <row r="2573" spans="1:2" x14ac:dyDescent="0.25">
      <c r="A2573" s="1" t="s">
        <v>3437</v>
      </c>
      <c r="B2573" s="1" t="s">
        <v>4569</v>
      </c>
    </row>
    <row r="2574" spans="1:2" x14ac:dyDescent="0.25">
      <c r="A2574" s="1" t="s">
        <v>3438</v>
      </c>
      <c r="B2574" s="1" t="s">
        <v>6779</v>
      </c>
    </row>
    <row r="2575" spans="1:2" x14ac:dyDescent="0.25">
      <c r="A2575" s="1" t="s">
        <v>3439</v>
      </c>
      <c r="B2575" s="1" t="s">
        <v>6780</v>
      </c>
    </row>
    <row r="2576" spans="1:2" x14ac:dyDescent="0.25">
      <c r="A2576" s="1" t="s">
        <v>3440</v>
      </c>
      <c r="B2576" s="1" t="s">
        <v>6781</v>
      </c>
    </row>
    <row r="2577" spans="1:2" x14ac:dyDescent="0.25">
      <c r="A2577" s="1" t="s">
        <v>3441</v>
      </c>
      <c r="B2577" s="1" t="s">
        <v>6782</v>
      </c>
    </row>
    <row r="2578" spans="1:2" x14ac:dyDescent="0.25">
      <c r="A2578" s="1" t="s">
        <v>3442</v>
      </c>
      <c r="B2578" s="1" t="s">
        <v>4757</v>
      </c>
    </row>
    <row r="2579" spans="1:2" x14ac:dyDescent="0.25">
      <c r="A2579" s="1" t="s">
        <v>3443</v>
      </c>
      <c r="B2579" s="1" t="s">
        <v>4678</v>
      </c>
    </row>
    <row r="2580" spans="1:2" x14ac:dyDescent="0.25">
      <c r="A2580" s="1" t="s">
        <v>3444</v>
      </c>
      <c r="B2580" s="1" t="s">
        <v>6783</v>
      </c>
    </row>
    <row r="2581" spans="1:2" x14ac:dyDescent="0.25">
      <c r="A2581" s="1" t="s">
        <v>3445</v>
      </c>
      <c r="B2581" s="1" t="s">
        <v>6749</v>
      </c>
    </row>
    <row r="2582" spans="1:2" x14ac:dyDescent="0.25">
      <c r="A2582" s="1" t="s">
        <v>4317</v>
      </c>
      <c r="B2582" s="1" t="s">
        <v>4715</v>
      </c>
    </row>
    <row r="2583" spans="1:2" x14ac:dyDescent="0.25">
      <c r="A2583" s="1" t="s">
        <v>3446</v>
      </c>
      <c r="B2583" s="1" t="s">
        <v>6679</v>
      </c>
    </row>
    <row r="2584" spans="1:2" x14ac:dyDescent="0.25">
      <c r="A2584" s="1" t="s">
        <v>3447</v>
      </c>
      <c r="B2584" s="1" t="s">
        <v>6784</v>
      </c>
    </row>
    <row r="2585" spans="1:2" x14ac:dyDescent="0.25">
      <c r="A2585" s="1" t="s">
        <v>3448</v>
      </c>
      <c r="B2585" s="1" t="s">
        <v>5094</v>
      </c>
    </row>
    <row r="2586" spans="1:2" x14ac:dyDescent="0.25">
      <c r="A2586" s="1" t="s">
        <v>3449</v>
      </c>
      <c r="B2586" s="1" t="s">
        <v>6785</v>
      </c>
    </row>
    <row r="2587" spans="1:2" x14ac:dyDescent="0.25">
      <c r="A2587" s="1" t="s">
        <v>3450</v>
      </c>
      <c r="B2587" s="1" t="s">
        <v>5331</v>
      </c>
    </row>
    <row r="2588" spans="1:2" x14ac:dyDescent="0.25">
      <c r="A2588" s="1" t="s">
        <v>3451</v>
      </c>
      <c r="B2588" s="1" t="s">
        <v>6484</v>
      </c>
    </row>
    <row r="2589" spans="1:2" x14ac:dyDescent="0.25">
      <c r="A2589" s="1" t="s">
        <v>3452</v>
      </c>
      <c r="B2589" s="1" t="s">
        <v>6786</v>
      </c>
    </row>
    <row r="2590" spans="1:2" x14ac:dyDescent="0.25">
      <c r="A2590" s="1" t="s">
        <v>3453</v>
      </c>
      <c r="B2590" s="1" t="s">
        <v>6787</v>
      </c>
    </row>
    <row r="2591" spans="1:2" x14ac:dyDescent="0.25">
      <c r="A2591" s="1" t="s">
        <v>3454</v>
      </c>
      <c r="B2591" s="1" t="s">
        <v>4559</v>
      </c>
    </row>
    <row r="2592" spans="1:2" x14ac:dyDescent="0.25">
      <c r="A2592" s="1" t="s">
        <v>3455</v>
      </c>
      <c r="B2592" s="1" t="s">
        <v>4681</v>
      </c>
    </row>
    <row r="2593" spans="1:2" x14ac:dyDescent="0.25">
      <c r="A2593" s="1" t="s">
        <v>3456</v>
      </c>
      <c r="B2593" s="1" t="s">
        <v>5303</v>
      </c>
    </row>
    <row r="2594" spans="1:2" x14ac:dyDescent="0.25">
      <c r="A2594" s="1" t="s">
        <v>3457</v>
      </c>
      <c r="B2594" s="1" t="s">
        <v>4693</v>
      </c>
    </row>
    <row r="2595" spans="1:2" x14ac:dyDescent="0.25">
      <c r="A2595" s="1" t="s">
        <v>3458</v>
      </c>
      <c r="B2595" s="1" t="s">
        <v>6788</v>
      </c>
    </row>
    <row r="2596" spans="1:2" x14ac:dyDescent="0.25">
      <c r="A2596" s="1" t="s">
        <v>3459</v>
      </c>
      <c r="B2596" s="1" t="s">
        <v>6068</v>
      </c>
    </row>
    <row r="2597" spans="1:2" x14ac:dyDescent="0.25">
      <c r="A2597" s="1" t="s">
        <v>3460</v>
      </c>
      <c r="B2597" s="1" t="s">
        <v>6789</v>
      </c>
    </row>
    <row r="2598" spans="1:2" x14ac:dyDescent="0.25">
      <c r="A2598" s="1" t="s">
        <v>3461</v>
      </c>
      <c r="B2598" s="1" t="s">
        <v>6790</v>
      </c>
    </row>
    <row r="2599" spans="1:2" x14ac:dyDescent="0.25">
      <c r="A2599" s="1" t="s">
        <v>3462</v>
      </c>
      <c r="B2599" s="1" t="s">
        <v>6373</v>
      </c>
    </row>
    <row r="2600" spans="1:2" x14ac:dyDescent="0.25">
      <c r="A2600" s="1" t="s">
        <v>3463</v>
      </c>
      <c r="B2600" s="1" t="s">
        <v>6791</v>
      </c>
    </row>
    <row r="2601" spans="1:2" x14ac:dyDescent="0.25">
      <c r="A2601" s="1" t="s">
        <v>3464</v>
      </c>
      <c r="B2601" s="1" t="s">
        <v>4857</v>
      </c>
    </row>
    <row r="2602" spans="1:2" x14ac:dyDescent="0.25">
      <c r="A2602" s="1" t="s">
        <v>3465</v>
      </c>
      <c r="B2602" s="1" t="s">
        <v>5476</v>
      </c>
    </row>
    <row r="2603" spans="1:2" x14ac:dyDescent="0.25">
      <c r="A2603" s="1" t="s">
        <v>3466</v>
      </c>
      <c r="B2603" s="1" t="s">
        <v>6792</v>
      </c>
    </row>
    <row r="2604" spans="1:2" x14ac:dyDescent="0.25">
      <c r="A2604" s="1" t="s">
        <v>3467</v>
      </c>
      <c r="B2604" s="1" t="s">
        <v>6791</v>
      </c>
    </row>
    <row r="2605" spans="1:2" x14ac:dyDescent="0.25">
      <c r="A2605" s="1" t="s">
        <v>3468</v>
      </c>
      <c r="B2605" s="1" t="s">
        <v>6793</v>
      </c>
    </row>
    <row r="2606" spans="1:2" x14ac:dyDescent="0.25">
      <c r="A2606" s="1" t="s">
        <v>3469</v>
      </c>
      <c r="B2606" s="1" t="s">
        <v>6794</v>
      </c>
    </row>
    <row r="2607" spans="1:2" x14ac:dyDescent="0.25">
      <c r="A2607" s="1" t="s">
        <v>3470</v>
      </c>
      <c r="B2607" s="1" t="s">
        <v>6795</v>
      </c>
    </row>
    <row r="2608" spans="1:2" x14ac:dyDescent="0.25">
      <c r="A2608" s="1" t="s">
        <v>3471</v>
      </c>
      <c r="B2608" s="1" t="s">
        <v>5217</v>
      </c>
    </row>
    <row r="2609" spans="1:2" x14ac:dyDescent="0.25">
      <c r="A2609" s="1" t="s">
        <v>3472</v>
      </c>
      <c r="B2609" s="1" t="s">
        <v>6361</v>
      </c>
    </row>
    <row r="2610" spans="1:2" x14ac:dyDescent="0.25">
      <c r="A2610" s="1" t="s">
        <v>3473</v>
      </c>
      <c r="B2610" s="1" t="s">
        <v>6796</v>
      </c>
    </row>
    <row r="2611" spans="1:2" x14ac:dyDescent="0.25">
      <c r="A2611" s="1" t="s">
        <v>3474</v>
      </c>
      <c r="B2611" s="1" t="s">
        <v>6797</v>
      </c>
    </row>
    <row r="2612" spans="1:2" x14ac:dyDescent="0.25">
      <c r="A2612" s="1" t="s">
        <v>3475</v>
      </c>
      <c r="B2612" s="1" t="s">
        <v>6107</v>
      </c>
    </row>
    <row r="2613" spans="1:2" x14ac:dyDescent="0.25">
      <c r="A2613" s="1" t="s">
        <v>3476</v>
      </c>
      <c r="B2613" s="1" t="s">
        <v>4692</v>
      </c>
    </row>
    <row r="2614" spans="1:2" x14ac:dyDescent="0.25">
      <c r="A2614" s="1" t="s">
        <v>3477</v>
      </c>
      <c r="B2614" s="1" t="s">
        <v>6798</v>
      </c>
    </row>
    <row r="2615" spans="1:2" x14ac:dyDescent="0.25">
      <c r="A2615" s="1" t="s">
        <v>3478</v>
      </c>
      <c r="B2615" s="1" t="s">
        <v>4642</v>
      </c>
    </row>
    <row r="2616" spans="1:2" x14ac:dyDescent="0.25">
      <c r="A2616" s="1" t="s">
        <v>3479</v>
      </c>
      <c r="B2616" s="1" t="s">
        <v>5611</v>
      </c>
    </row>
    <row r="2617" spans="1:2" x14ac:dyDescent="0.25">
      <c r="A2617" s="1" t="s">
        <v>3480</v>
      </c>
      <c r="B2617" s="1" t="s">
        <v>4732</v>
      </c>
    </row>
    <row r="2618" spans="1:2" x14ac:dyDescent="0.25">
      <c r="A2618" s="1" t="s">
        <v>3481</v>
      </c>
      <c r="B2618" s="1" t="s">
        <v>5218</v>
      </c>
    </row>
    <row r="2619" spans="1:2" x14ac:dyDescent="0.25">
      <c r="A2619" s="1" t="s">
        <v>3482</v>
      </c>
      <c r="B2619" s="1" t="s">
        <v>6799</v>
      </c>
    </row>
    <row r="2620" spans="1:2" x14ac:dyDescent="0.25">
      <c r="A2620" s="1" t="s">
        <v>3483</v>
      </c>
      <c r="B2620" s="1" t="s">
        <v>6800</v>
      </c>
    </row>
    <row r="2621" spans="1:2" x14ac:dyDescent="0.25">
      <c r="A2621" s="1" t="s">
        <v>4302</v>
      </c>
      <c r="B2621" s="1" t="s">
        <v>6801</v>
      </c>
    </row>
    <row r="2622" spans="1:2" x14ac:dyDescent="0.25">
      <c r="A2622" s="1" t="s">
        <v>3484</v>
      </c>
      <c r="B2622" s="1" t="s">
        <v>4677</v>
      </c>
    </row>
    <row r="2623" spans="1:2" x14ac:dyDescent="0.25">
      <c r="A2623" s="1" t="s">
        <v>3485</v>
      </c>
      <c r="B2623" s="1" t="s">
        <v>6319</v>
      </c>
    </row>
    <row r="2624" spans="1:2" x14ac:dyDescent="0.25">
      <c r="A2624" s="1" t="s">
        <v>3486</v>
      </c>
      <c r="B2624" s="1" t="s">
        <v>6802</v>
      </c>
    </row>
    <row r="2625" spans="1:2" x14ac:dyDescent="0.25">
      <c r="A2625" s="1" t="s">
        <v>3487</v>
      </c>
      <c r="B2625" s="1" t="s">
        <v>6803</v>
      </c>
    </row>
    <row r="2626" spans="1:2" x14ac:dyDescent="0.25">
      <c r="A2626" s="1" t="s">
        <v>3488</v>
      </c>
      <c r="B2626" s="1" t="s">
        <v>6804</v>
      </c>
    </row>
    <row r="2627" spans="1:2" x14ac:dyDescent="0.25">
      <c r="A2627" s="1" t="s">
        <v>3489</v>
      </c>
      <c r="B2627" s="1" t="s">
        <v>4558</v>
      </c>
    </row>
    <row r="2628" spans="1:2" x14ac:dyDescent="0.25">
      <c r="A2628" s="1" t="s">
        <v>3490</v>
      </c>
      <c r="B2628" s="1" t="s">
        <v>6805</v>
      </c>
    </row>
    <row r="2629" spans="1:2" x14ac:dyDescent="0.25">
      <c r="A2629" s="1" t="s">
        <v>3491</v>
      </c>
      <c r="B2629" s="1" t="s">
        <v>5362</v>
      </c>
    </row>
    <row r="2630" spans="1:2" x14ac:dyDescent="0.25">
      <c r="A2630" s="1" t="s">
        <v>3492</v>
      </c>
      <c r="B2630" s="1" t="s">
        <v>6215</v>
      </c>
    </row>
    <row r="2631" spans="1:2" x14ac:dyDescent="0.25">
      <c r="A2631" s="1" t="s">
        <v>3493</v>
      </c>
      <c r="B2631" s="1" t="s">
        <v>6806</v>
      </c>
    </row>
    <row r="2632" spans="1:2" x14ac:dyDescent="0.25">
      <c r="A2632" s="1" t="s">
        <v>3494</v>
      </c>
      <c r="B2632" s="1" t="s">
        <v>6807</v>
      </c>
    </row>
    <row r="2633" spans="1:2" x14ac:dyDescent="0.25">
      <c r="A2633" s="1" t="s">
        <v>3495</v>
      </c>
      <c r="B2633" s="1" t="s">
        <v>6808</v>
      </c>
    </row>
    <row r="2634" spans="1:2" x14ac:dyDescent="0.25">
      <c r="A2634" s="1" t="s">
        <v>3496</v>
      </c>
      <c r="B2634" s="1" t="s">
        <v>6809</v>
      </c>
    </row>
    <row r="2635" spans="1:2" x14ac:dyDescent="0.25">
      <c r="A2635" s="1" t="s">
        <v>830</v>
      </c>
      <c r="B2635" s="1" t="s">
        <v>6810</v>
      </c>
    </row>
    <row r="2636" spans="1:2" x14ac:dyDescent="0.25">
      <c r="A2636" s="1" t="s">
        <v>3497</v>
      </c>
      <c r="B2636" s="1" t="s">
        <v>6811</v>
      </c>
    </row>
    <row r="2637" spans="1:2" x14ac:dyDescent="0.25">
      <c r="A2637" s="1" t="s">
        <v>3498</v>
      </c>
      <c r="B2637" s="1" t="s">
        <v>6812</v>
      </c>
    </row>
    <row r="2638" spans="1:2" x14ac:dyDescent="0.25">
      <c r="A2638" s="1" t="s">
        <v>3499</v>
      </c>
      <c r="B2638" s="1" t="s">
        <v>6813</v>
      </c>
    </row>
    <row r="2639" spans="1:2" x14ac:dyDescent="0.25">
      <c r="A2639" s="1" t="s">
        <v>3500</v>
      </c>
      <c r="B2639" s="1" t="s">
        <v>6814</v>
      </c>
    </row>
    <row r="2640" spans="1:2" x14ac:dyDescent="0.25">
      <c r="A2640" s="1" t="s">
        <v>3501</v>
      </c>
      <c r="B2640" s="1" t="s">
        <v>4759</v>
      </c>
    </row>
    <row r="2641" spans="1:2" x14ac:dyDescent="0.25">
      <c r="A2641" s="1" t="s">
        <v>3502</v>
      </c>
      <c r="B2641" s="1" t="s">
        <v>6815</v>
      </c>
    </row>
    <row r="2642" spans="1:2" x14ac:dyDescent="0.25">
      <c r="A2642" s="1" t="s">
        <v>3503</v>
      </c>
      <c r="B2642" s="1" t="s">
        <v>6816</v>
      </c>
    </row>
    <row r="2643" spans="1:2" x14ac:dyDescent="0.25">
      <c r="A2643" s="1" t="s">
        <v>3504</v>
      </c>
      <c r="B2643" s="1" t="s">
        <v>6817</v>
      </c>
    </row>
    <row r="2644" spans="1:2" x14ac:dyDescent="0.25">
      <c r="A2644" s="1" t="s">
        <v>3505</v>
      </c>
      <c r="B2644" s="1" t="s">
        <v>4691</v>
      </c>
    </row>
    <row r="2645" spans="1:2" x14ac:dyDescent="0.25">
      <c r="A2645" s="1" t="s">
        <v>3506</v>
      </c>
      <c r="B2645" s="1" t="s">
        <v>5473</v>
      </c>
    </row>
    <row r="2646" spans="1:2" x14ac:dyDescent="0.25">
      <c r="A2646" s="1" t="s">
        <v>3507</v>
      </c>
      <c r="B2646" s="1" t="s">
        <v>6818</v>
      </c>
    </row>
    <row r="2647" spans="1:2" x14ac:dyDescent="0.25">
      <c r="A2647" s="1" t="s">
        <v>3508</v>
      </c>
      <c r="B2647" s="1" t="s">
        <v>6819</v>
      </c>
    </row>
    <row r="2648" spans="1:2" x14ac:dyDescent="0.25">
      <c r="A2648" s="1" t="s">
        <v>3509</v>
      </c>
      <c r="B2648" s="1" t="s">
        <v>6820</v>
      </c>
    </row>
    <row r="2649" spans="1:2" x14ac:dyDescent="0.25">
      <c r="A2649" s="1" t="s">
        <v>3510</v>
      </c>
      <c r="B2649" s="1" t="s">
        <v>6821</v>
      </c>
    </row>
    <row r="2650" spans="1:2" x14ac:dyDescent="0.25">
      <c r="A2650" s="1" t="s">
        <v>3511</v>
      </c>
      <c r="B2650" s="1" t="s">
        <v>6822</v>
      </c>
    </row>
    <row r="2651" spans="1:2" x14ac:dyDescent="0.25">
      <c r="A2651" s="1" t="s">
        <v>3512</v>
      </c>
      <c r="B2651" s="1" t="s">
        <v>6823</v>
      </c>
    </row>
    <row r="2652" spans="1:2" x14ac:dyDescent="0.25">
      <c r="A2652" s="1" t="s">
        <v>3513</v>
      </c>
      <c r="B2652" s="1" t="s">
        <v>6824</v>
      </c>
    </row>
    <row r="2653" spans="1:2" x14ac:dyDescent="0.25">
      <c r="A2653" s="1" t="s">
        <v>3514</v>
      </c>
      <c r="B2653" s="1" t="s">
        <v>6825</v>
      </c>
    </row>
    <row r="2654" spans="1:2" x14ac:dyDescent="0.25">
      <c r="A2654" s="1" t="s">
        <v>3515</v>
      </c>
      <c r="B2654" s="1" t="s">
        <v>5439</v>
      </c>
    </row>
    <row r="2655" spans="1:2" x14ac:dyDescent="0.25">
      <c r="A2655" s="1" t="s">
        <v>3516</v>
      </c>
      <c r="B2655" s="1" t="s">
        <v>5045</v>
      </c>
    </row>
    <row r="2656" spans="1:2" x14ac:dyDescent="0.25">
      <c r="A2656" s="1" t="s">
        <v>3517</v>
      </c>
      <c r="B2656" s="1" t="s">
        <v>6826</v>
      </c>
    </row>
    <row r="2657" spans="1:2" x14ac:dyDescent="0.25">
      <c r="A2657" s="1" t="s">
        <v>3518</v>
      </c>
      <c r="B2657" s="1" t="s">
        <v>4647</v>
      </c>
    </row>
    <row r="2658" spans="1:2" x14ac:dyDescent="0.25">
      <c r="A2658" s="1" t="s">
        <v>3519</v>
      </c>
      <c r="B2658" s="1" t="s">
        <v>5761</v>
      </c>
    </row>
    <row r="2659" spans="1:2" x14ac:dyDescent="0.25">
      <c r="A2659" s="1" t="s">
        <v>3520</v>
      </c>
      <c r="B2659" s="1" t="s">
        <v>6827</v>
      </c>
    </row>
    <row r="2660" spans="1:2" x14ac:dyDescent="0.25">
      <c r="A2660" s="1" t="s">
        <v>3521</v>
      </c>
      <c r="B2660" s="1" t="s">
        <v>6828</v>
      </c>
    </row>
    <row r="2661" spans="1:2" x14ac:dyDescent="0.25">
      <c r="A2661" s="1" t="s">
        <v>3522</v>
      </c>
      <c r="B2661" s="1" t="s">
        <v>5316</v>
      </c>
    </row>
    <row r="2662" spans="1:2" x14ac:dyDescent="0.25">
      <c r="A2662" s="1" t="s">
        <v>3523</v>
      </c>
      <c r="B2662" s="1" t="s">
        <v>5874</v>
      </c>
    </row>
    <row r="2663" spans="1:2" x14ac:dyDescent="0.25">
      <c r="A2663" s="1" t="s">
        <v>3524</v>
      </c>
      <c r="B2663" s="1" t="s">
        <v>6829</v>
      </c>
    </row>
    <row r="2664" spans="1:2" x14ac:dyDescent="0.25">
      <c r="A2664" s="1" t="s">
        <v>3525</v>
      </c>
      <c r="B2664" s="1" t="s">
        <v>6830</v>
      </c>
    </row>
    <row r="2665" spans="1:2" x14ac:dyDescent="0.25">
      <c r="A2665" s="1" t="s">
        <v>3526</v>
      </c>
      <c r="B2665" s="1" t="s">
        <v>6831</v>
      </c>
    </row>
    <row r="2666" spans="1:2" x14ac:dyDescent="0.25">
      <c r="A2666" s="1" t="s">
        <v>3527</v>
      </c>
      <c r="B2666" s="1" t="s">
        <v>6832</v>
      </c>
    </row>
    <row r="2667" spans="1:2" x14ac:dyDescent="0.25">
      <c r="A2667" s="1" t="s">
        <v>3528</v>
      </c>
      <c r="B2667" s="1" t="s">
        <v>6833</v>
      </c>
    </row>
    <row r="2668" spans="1:2" x14ac:dyDescent="0.25">
      <c r="A2668" s="1" t="s">
        <v>3529</v>
      </c>
      <c r="B2668" s="1" t="s">
        <v>5466</v>
      </c>
    </row>
    <row r="2669" spans="1:2" x14ac:dyDescent="0.25">
      <c r="A2669" s="1" t="s">
        <v>3530</v>
      </c>
      <c r="B2669" s="1" t="s">
        <v>6085</v>
      </c>
    </row>
    <row r="2670" spans="1:2" x14ac:dyDescent="0.25">
      <c r="A2670" s="1" t="s">
        <v>3531</v>
      </c>
      <c r="B2670" s="1" t="s">
        <v>6834</v>
      </c>
    </row>
    <row r="2671" spans="1:2" x14ac:dyDescent="0.25">
      <c r="A2671" s="1" t="s">
        <v>3532</v>
      </c>
      <c r="B2671" s="1" t="s">
        <v>4493</v>
      </c>
    </row>
    <row r="2672" spans="1:2" x14ac:dyDescent="0.25">
      <c r="A2672" s="1" t="s">
        <v>3533</v>
      </c>
      <c r="B2672" s="1" t="s">
        <v>6835</v>
      </c>
    </row>
    <row r="2673" spans="1:2" x14ac:dyDescent="0.25">
      <c r="A2673" s="1" t="s">
        <v>3534</v>
      </c>
      <c r="B2673" s="1" t="s">
        <v>5795</v>
      </c>
    </row>
    <row r="2674" spans="1:2" x14ac:dyDescent="0.25">
      <c r="A2674" s="1" t="s">
        <v>3535</v>
      </c>
      <c r="B2674" s="1" t="s">
        <v>6836</v>
      </c>
    </row>
    <row r="2675" spans="1:2" x14ac:dyDescent="0.25">
      <c r="A2675" s="1" t="s">
        <v>3536</v>
      </c>
      <c r="B2675" s="1" t="s">
        <v>6037</v>
      </c>
    </row>
    <row r="2676" spans="1:2" x14ac:dyDescent="0.25">
      <c r="A2676" s="1" t="s">
        <v>3537</v>
      </c>
      <c r="B2676" s="1" t="s">
        <v>6837</v>
      </c>
    </row>
    <row r="2677" spans="1:2" x14ac:dyDescent="0.25">
      <c r="A2677" s="1" t="s">
        <v>3538</v>
      </c>
      <c r="B2677" s="1" t="s">
        <v>6475</v>
      </c>
    </row>
    <row r="2678" spans="1:2" x14ac:dyDescent="0.25">
      <c r="A2678" s="1" t="s">
        <v>3539</v>
      </c>
      <c r="B2678" s="1" t="s">
        <v>4885</v>
      </c>
    </row>
    <row r="2679" spans="1:2" x14ac:dyDescent="0.25">
      <c r="A2679" s="1" t="s">
        <v>3540</v>
      </c>
      <c r="B2679" s="1" t="s">
        <v>6838</v>
      </c>
    </row>
    <row r="2680" spans="1:2" x14ac:dyDescent="0.25">
      <c r="A2680" s="1" t="s">
        <v>3541</v>
      </c>
      <c r="B2680" s="1" t="s">
        <v>5351</v>
      </c>
    </row>
    <row r="2681" spans="1:2" x14ac:dyDescent="0.25">
      <c r="A2681" s="1" t="s">
        <v>3542</v>
      </c>
      <c r="B2681" s="1" t="s">
        <v>4669</v>
      </c>
    </row>
    <row r="2682" spans="1:2" x14ac:dyDescent="0.25">
      <c r="A2682" s="1" t="s">
        <v>3543</v>
      </c>
      <c r="B2682" s="1" t="s">
        <v>5611</v>
      </c>
    </row>
    <row r="2683" spans="1:2" x14ac:dyDescent="0.25">
      <c r="A2683" s="1" t="s">
        <v>3544</v>
      </c>
      <c r="B2683" s="1" t="s">
        <v>6515</v>
      </c>
    </row>
    <row r="2684" spans="1:2" x14ac:dyDescent="0.25">
      <c r="A2684" s="1" t="s">
        <v>3545</v>
      </c>
      <c r="B2684" s="1" t="s">
        <v>6839</v>
      </c>
    </row>
    <row r="2685" spans="1:2" x14ac:dyDescent="0.25">
      <c r="A2685" s="1" t="s">
        <v>3546</v>
      </c>
      <c r="B2685" s="1" t="s">
        <v>6840</v>
      </c>
    </row>
    <row r="2686" spans="1:2" x14ac:dyDescent="0.25">
      <c r="A2686" s="1" t="s">
        <v>3547</v>
      </c>
      <c r="B2686" s="1" t="s">
        <v>6841</v>
      </c>
    </row>
    <row r="2687" spans="1:2" x14ac:dyDescent="0.25">
      <c r="A2687" s="1" t="s">
        <v>3548</v>
      </c>
      <c r="B2687" s="1" t="s">
        <v>6842</v>
      </c>
    </row>
    <row r="2688" spans="1:2" x14ac:dyDescent="0.25">
      <c r="A2688" s="1" t="s">
        <v>3549</v>
      </c>
      <c r="B2688" s="1" t="s">
        <v>6670</v>
      </c>
    </row>
    <row r="2689" spans="1:2" x14ac:dyDescent="0.25">
      <c r="A2689" s="1" t="s">
        <v>3550</v>
      </c>
      <c r="B2689" s="1" t="s">
        <v>6843</v>
      </c>
    </row>
    <row r="2690" spans="1:2" x14ac:dyDescent="0.25">
      <c r="A2690" s="1" t="s">
        <v>3551</v>
      </c>
      <c r="B2690" s="1" t="s">
        <v>4697</v>
      </c>
    </row>
    <row r="2691" spans="1:2" x14ac:dyDescent="0.25">
      <c r="A2691" s="1" t="s">
        <v>3552</v>
      </c>
      <c r="B2691" s="1" t="s">
        <v>6844</v>
      </c>
    </row>
    <row r="2692" spans="1:2" x14ac:dyDescent="0.25">
      <c r="A2692" s="1" t="s">
        <v>3553</v>
      </c>
      <c r="B2692" s="1" t="s">
        <v>6845</v>
      </c>
    </row>
    <row r="2693" spans="1:2" x14ac:dyDescent="0.25">
      <c r="A2693" s="1" t="s">
        <v>3554</v>
      </c>
      <c r="B2693" s="1" t="s">
        <v>6846</v>
      </c>
    </row>
    <row r="2694" spans="1:2" x14ac:dyDescent="0.25">
      <c r="A2694" s="1" t="s">
        <v>3555</v>
      </c>
      <c r="B2694" s="1" t="s">
        <v>6847</v>
      </c>
    </row>
    <row r="2695" spans="1:2" x14ac:dyDescent="0.25">
      <c r="A2695" s="1" t="s">
        <v>3556</v>
      </c>
      <c r="B2695" s="1" t="s">
        <v>6848</v>
      </c>
    </row>
    <row r="2696" spans="1:2" x14ac:dyDescent="0.25">
      <c r="A2696" s="1" t="s">
        <v>3557</v>
      </c>
      <c r="B2696" s="1" t="s">
        <v>6119</v>
      </c>
    </row>
    <row r="2697" spans="1:2" x14ac:dyDescent="0.25">
      <c r="A2697" s="1" t="s">
        <v>3558</v>
      </c>
      <c r="B2697" s="1" t="s">
        <v>6348</v>
      </c>
    </row>
    <row r="2698" spans="1:2" x14ac:dyDescent="0.25">
      <c r="A2698" s="1" t="s">
        <v>3559</v>
      </c>
      <c r="B2698" s="1" t="s">
        <v>5345</v>
      </c>
    </row>
    <row r="2699" spans="1:2" x14ac:dyDescent="0.25">
      <c r="A2699" s="1" t="s">
        <v>3560</v>
      </c>
      <c r="B2699" s="1" t="s">
        <v>5182</v>
      </c>
    </row>
    <row r="2700" spans="1:2" x14ac:dyDescent="0.25">
      <c r="A2700" s="1" t="s">
        <v>3561</v>
      </c>
      <c r="B2700" s="1" t="s">
        <v>4664</v>
      </c>
    </row>
    <row r="2701" spans="1:2" x14ac:dyDescent="0.25">
      <c r="A2701" s="1" t="s">
        <v>3562</v>
      </c>
      <c r="B2701" s="1" t="s">
        <v>4630</v>
      </c>
    </row>
    <row r="2702" spans="1:2" x14ac:dyDescent="0.25">
      <c r="A2702" s="1" t="s">
        <v>3563</v>
      </c>
      <c r="B2702" s="1" t="s">
        <v>6644</v>
      </c>
    </row>
    <row r="2703" spans="1:2" x14ac:dyDescent="0.25">
      <c r="A2703" s="1" t="s">
        <v>3564</v>
      </c>
      <c r="B2703" s="1" t="s">
        <v>4959</v>
      </c>
    </row>
    <row r="2704" spans="1:2" x14ac:dyDescent="0.25">
      <c r="A2704" s="1" t="s">
        <v>4264</v>
      </c>
      <c r="B2704" s="1" t="s">
        <v>6849</v>
      </c>
    </row>
    <row r="2705" spans="1:2" x14ac:dyDescent="0.25">
      <c r="A2705" s="1" t="s">
        <v>3565</v>
      </c>
      <c r="B2705" s="1" t="s">
        <v>6850</v>
      </c>
    </row>
    <row r="2706" spans="1:2" x14ac:dyDescent="0.25">
      <c r="A2706" s="1" t="s">
        <v>3566</v>
      </c>
      <c r="B2706" s="1" t="s">
        <v>6851</v>
      </c>
    </row>
    <row r="2707" spans="1:2" x14ac:dyDescent="0.25">
      <c r="A2707" s="1" t="s">
        <v>3567</v>
      </c>
      <c r="B2707" s="1" t="s">
        <v>6852</v>
      </c>
    </row>
    <row r="2708" spans="1:2" x14ac:dyDescent="0.25">
      <c r="A2708" s="1" t="s">
        <v>3568</v>
      </c>
      <c r="B2708" s="1" t="s">
        <v>6853</v>
      </c>
    </row>
    <row r="2709" spans="1:2" x14ac:dyDescent="0.25">
      <c r="A2709" s="1" t="s">
        <v>3569</v>
      </c>
      <c r="B2709" s="1" t="s">
        <v>4880</v>
      </c>
    </row>
    <row r="2710" spans="1:2" x14ac:dyDescent="0.25">
      <c r="A2710" s="1" t="s">
        <v>3570</v>
      </c>
      <c r="B2710" s="1" t="s">
        <v>5904</v>
      </c>
    </row>
    <row r="2711" spans="1:2" x14ac:dyDescent="0.25">
      <c r="A2711" s="1" t="s">
        <v>3571</v>
      </c>
      <c r="B2711" s="1" t="s">
        <v>6854</v>
      </c>
    </row>
    <row r="2712" spans="1:2" x14ac:dyDescent="0.25">
      <c r="A2712" s="1" t="s">
        <v>3572</v>
      </c>
      <c r="B2712" s="1" t="s">
        <v>6361</v>
      </c>
    </row>
    <row r="2713" spans="1:2" x14ac:dyDescent="0.25">
      <c r="A2713" s="1" t="s">
        <v>3573</v>
      </c>
      <c r="B2713" s="1" t="s">
        <v>4693</v>
      </c>
    </row>
    <row r="2714" spans="1:2" x14ac:dyDescent="0.25">
      <c r="A2714" s="1" t="s">
        <v>3574</v>
      </c>
      <c r="B2714" s="1" t="s">
        <v>4619</v>
      </c>
    </row>
    <row r="2715" spans="1:2" x14ac:dyDescent="0.25">
      <c r="A2715" s="1" t="s">
        <v>3575</v>
      </c>
      <c r="B2715" s="1" t="s">
        <v>6855</v>
      </c>
    </row>
    <row r="2716" spans="1:2" x14ac:dyDescent="0.25">
      <c r="A2716" s="1" t="s">
        <v>3576</v>
      </c>
      <c r="B2716" s="1" t="s">
        <v>6856</v>
      </c>
    </row>
    <row r="2717" spans="1:2" x14ac:dyDescent="0.25">
      <c r="A2717" s="1" t="s">
        <v>3577</v>
      </c>
      <c r="B2717" s="1" t="s">
        <v>5278</v>
      </c>
    </row>
    <row r="2718" spans="1:2" x14ac:dyDescent="0.25">
      <c r="A2718" s="1" t="s">
        <v>3578</v>
      </c>
      <c r="B2718" s="1" t="s">
        <v>4823</v>
      </c>
    </row>
    <row r="2719" spans="1:2" x14ac:dyDescent="0.25">
      <c r="A2719" s="1" t="s">
        <v>3579</v>
      </c>
      <c r="B2719" s="1" t="s">
        <v>6286</v>
      </c>
    </row>
    <row r="2720" spans="1:2" x14ac:dyDescent="0.25">
      <c r="A2720" s="1" t="s">
        <v>3580</v>
      </c>
      <c r="B2720" s="1" t="s">
        <v>4680</v>
      </c>
    </row>
    <row r="2721" spans="1:2" x14ac:dyDescent="0.25">
      <c r="A2721" s="1" t="s">
        <v>3581</v>
      </c>
      <c r="B2721" s="1" t="s">
        <v>5452</v>
      </c>
    </row>
    <row r="2722" spans="1:2" x14ac:dyDescent="0.25">
      <c r="A2722" s="1" t="s">
        <v>3582</v>
      </c>
      <c r="B2722" s="1" t="s">
        <v>6857</v>
      </c>
    </row>
    <row r="2723" spans="1:2" x14ac:dyDescent="0.25">
      <c r="A2723" s="1" t="s">
        <v>3583</v>
      </c>
      <c r="B2723" s="1" t="s">
        <v>6858</v>
      </c>
    </row>
    <row r="2724" spans="1:2" x14ac:dyDescent="0.25">
      <c r="A2724" s="1" t="s">
        <v>3584</v>
      </c>
      <c r="B2724" s="1" t="s">
        <v>6640</v>
      </c>
    </row>
    <row r="2725" spans="1:2" x14ac:dyDescent="0.25">
      <c r="A2725" s="1" t="s">
        <v>3585</v>
      </c>
      <c r="B2725" s="1" t="s">
        <v>4617</v>
      </c>
    </row>
    <row r="2726" spans="1:2" x14ac:dyDescent="0.25">
      <c r="A2726" s="1" t="s">
        <v>3586</v>
      </c>
      <c r="B2726" s="1" t="s">
        <v>6859</v>
      </c>
    </row>
    <row r="2727" spans="1:2" x14ac:dyDescent="0.25">
      <c r="A2727" s="1" t="s">
        <v>3587</v>
      </c>
      <c r="B2727" s="1" t="s">
        <v>6860</v>
      </c>
    </row>
    <row r="2728" spans="1:2" x14ac:dyDescent="0.25">
      <c r="A2728" s="1" t="s">
        <v>3588</v>
      </c>
      <c r="B2728" s="1" t="s">
        <v>6861</v>
      </c>
    </row>
    <row r="2729" spans="1:2" x14ac:dyDescent="0.25">
      <c r="A2729" s="1" t="s">
        <v>3589</v>
      </c>
      <c r="B2729" s="1" t="s">
        <v>5691</v>
      </c>
    </row>
    <row r="2730" spans="1:2" x14ac:dyDescent="0.25">
      <c r="A2730" s="1" t="s">
        <v>3590</v>
      </c>
      <c r="B2730" s="1" t="s">
        <v>6862</v>
      </c>
    </row>
    <row r="2731" spans="1:2" x14ac:dyDescent="0.25">
      <c r="A2731" s="1" t="s">
        <v>3591</v>
      </c>
      <c r="B2731" s="1" t="s">
        <v>6863</v>
      </c>
    </row>
    <row r="2732" spans="1:2" x14ac:dyDescent="0.25">
      <c r="A2732" s="1" t="s">
        <v>3592</v>
      </c>
      <c r="B2732" s="1" t="s">
        <v>6864</v>
      </c>
    </row>
    <row r="2733" spans="1:2" x14ac:dyDescent="0.25">
      <c r="A2733" s="1" t="s">
        <v>3593</v>
      </c>
      <c r="B2733" s="1" t="s">
        <v>6136</v>
      </c>
    </row>
    <row r="2734" spans="1:2" x14ac:dyDescent="0.25">
      <c r="A2734" s="1" t="s">
        <v>3594</v>
      </c>
      <c r="B2734" s="1" t="s">
        <v>5195</v>
      </c>
    </row>
    <row r="2735" spans="1:2" x14ac:dyDescent="0.25">
      <c r="A2735" s="1" t="s">
        <v>3595</v>
      </c>
      <c r="B2735" s="1" t="s">
        <v>4866</v>
      </c>
    </row>
    <row r="2736" spans="1:2" x14ac:dyDescent="0.25">
      <c r="A2736" s="1" t="s">
        <v>3596</v>
      </c>
      <c r="B2736" s="1" t="s">
        <v>4399</v>
      </c>
    </row>
    <row r="2737" spans="1:2" x14ac:dyDescent="0.25">
      <c r="A2737" s="1" t="s">
        <v>3597</v>
      </c>
      <c r="B2737" s="1" t="s">
        <v>5670</v>
      </c>
    </row>
    <row r="2738" spans="1:2" x14ac:dyDescent="0.25">
      <c r="A2738" s="1" t="s">
        <v>3598</v>
      </c>
      <c r="B2738" s="1" t="s">
        <v>6865</v>
      </c>
    </row>
    <row r="2739" spans="1:2" x14ac:dyDescent="0.25">
      <c r="A2739" s="1" t="s">
        <v>3599</v>
      </c>
      <c r="B2739" s="1" t="s">
        <v>6866</v>
      </c>
    </row>
    <row r="2740" spans="1:2" x14ac:dyDescent="0.25">
      <c r="A2740" s="1" t="s">
        <v>3600</v>
      </c>
      <c r="B2740" s="1" t="s">
        <v>5388</v>
      </c>
    </row>
    <row r="2741" spans="1:2" x14ac:dyDescent="0.25">
      <c r="A2741" s="1" t="s">
        <v>3601</v>
      </c>
      <c r="B2741" s="1" t="s">
        <v>4409</v>
      </c>
    </row>
    <row r="2742" spans="1:2" x14ac:dyDescent="0.25">
      <c r="A2742" s="1" t="s">
        <v>3602</v>
      </c>
      <c r="B2742" s="1" t="s">
        <v>4729</v>
      </c>
    </row>
    <row r="2743" spans="1:2" x14ac:dyDescent="0.25">
      <c r="A2743" s="1" t="s">
        <v>3603</v>
      </c>
      <c r="B2743" s="1" t="s">
        <v>6867</v>
      </c>
    </row>
    <row r="2744" spans="1:2" x14ac:dyDescent="0.25">
      <c r="A2744" s="1" t="s">
        <v>3604</v>
      </c>
      <c r="B2744" s="1" t="s">
        <v>5709</v>
      </c>
    </row>
    <row r="2745" spans="1:2" x14ac:dyDescent="0.25">
      <c r="A2745" s="1" t="s">
        <v>3605</v>
      </c>
      <c r="B2745" s="1" t="s">
        <v>4473</v>
      </c>
    </row>
    <row r="2746" spans="1:2" x14ac:dyDescent="0.25">
      <c r="A2746" s="1" t="s">
        <v>3606</v>
      </c>
      <c r="B2746" s="1" t="s">
        <v>6868</v>
      </c>
    </row>
    <row r="2747" spans="1:2" x14ac:dyDescent="0.25">
      <c r="A2747" s="1" t="s">
        <v>3607</v>
      </c>
      <c r="B2747" s="1" t="s">
        <v>5637</v>
      </c>
    </row>
    <row r="2748" spans="1:2" x14ac:dyDescent="0.25">
      <c r="A2748" s="1" t="s">
        <v>4287</v>
      </c>
      <c r="B2748" s="1" t="s">
        <v>5487</v>
      </c>
    </row>
    <row r="2749" spans="1:2" x14ac:dyDescent="0.25">
      <c r="A2749" s="1" t="s">
        <v>3608</v>
      </c>
      <c r="B2749" s="1" t="s">
        <v>5928</v>
      </c>
    </row>
    <row r="2750" spans="1:2" x14ac:dyDescent="0.25">
      <c r="A2750" s="1" t="s">
        <v>3609</v>
      </c>
      <c r="B2750" s="1" t="s">
        <v>6869</v>
      </c>
    </row>
    <row r="2751" spans="1:2" x14ac:dyDescent="0.25">
      <c r="A2751" s="1" t="s">
        <v>3610</v>
      </c>
      <c r="B2751" s="1" t="s">
        <v>6870</v>
      </c>
    </row>
    <row r="2752" spans="1:2" x14ac:dyDescent="0.25">
      <c r="A2752" s="1" t="s">
        <v>3611</v>
      </c>
      <c r="B2752" s="1" t="s">
        <v>5398</v>
      </c>
    </row>
    <row r="2753" spans="1:2" x14ac:dyDescent="0.25">
      <c r="A2753" s="1" t="s">
        <v>3612</v>
      </c>
      <c r="B2753" s="1" t="s">
        <v>6871</v>
      </c>
    </row>
    <row r="2754" spans="1:2" x14ac:dyDescent="0.25">
      <c r="A2754" s="1" t="s">
        <v>3613</v>
      </c>
      <c r="B2754" s="1" t="s">
        <v>6872</v>
      </c>
    </row>
    <row r="2755" spans="1:2" x14ac:dyDescent="0.25">
      <c r="A2755" s="1" t="s">
        <v>3614</v>
      </c>
      <c r="B2755" s="1" t="s">
        <v>6873</v>
      </c>
    </row>
    <row r="2756" spans="1:2" x14ac:dyDescent="0.25">
      <c r="A2756" s="1" t="s">
        <v>3615</v>
      </c>
      <c r="B2756" s="1" t="s">
        <v>6874</v>
      </c>
    </row>
    <row r="2757" spans="1:2" x14ac:dyDescent="0.25">
      <c r="A2757" s="1" t="s">
        <v>3616</v>
      </c>
      <c r="B2757" s="1" t="s">
        <v>5614</v>
      </c>
    </row>
    <row r="2758" spans="1:2" x14ac:dyDescent="0.25">
      <c r="A2758" s="1" t="s">
        <v>3617</v>
      </c>
      <c r="B2758" s="1" t="s">
        <v>4742</v>
      </c>
    </row>
    <row r="2759" spans="1:2" x14ac:dyDescent="0.25">
      <c r="A2759" s="1" t="s">
        <v>3618</v>
      </c>
      <c r="B2759" s="1" t="s">
        <v>5669</v>
      </c>
    </row>
    <row r="2760" spans="1:2" x14ac:dyDescent="0.25">
      <c r="A2760" s="1" t="s">
        <v>3619</v>
      </c>
      <c r="B2760" s="1" t="s">
        <v>4381</v>
      </c>
    </row>
    <row r="2761" spans="1:2" x14ac:dyDescent="0.25">
      <c r="A2761" s="1" t="s">
        <v>3620</v>
      </c>
      <c r="B2761" s="1" t="s">
        <v>4668</v>
      </c>
    </row>
    <row r="2762" spans="1:2" x14ac:dyDescent="0.25">
      <c r="A2762" s="1" t="s">
        <v>3621</v>
      </c>
      <c r="B2762" s="1" t="s">
        <v>5903</v>
      </c>
    </row>
    <row r="2763" spans="1:2" x14ac:dyDescent="0.25">
      <c r="A2763" s="1" t="s">
        <v>3622</v>
      </c>
      <c r="B2763" s="1" t="s">
        <v>6875</v>
      </c>
    </row>
    <row r="2764" spans="1:2" x14ac:dyDescent="0.25">
      <c r="A2764" s="1" t="s">
        <v>3623</v>
      </c>
      <c r="B2764" s="1" t="s">
        <v>5233</v>
      </c>
    </row>
    <row r="2765" spans="1:2" x14ac:dyDescent="0.25">
      <c r="A2765" s="1" t="s">
        <v>3624</v>
      </c>
      <c r="B2765" s="1" t="s">
        <v>6876</v>
      </c>
    </row>
    <row r="2766" spans="1:2" x14ac:dyDescent="0.25">
      <c r="A2766" s="1" t="s">
        <v>3625</v>
      </c>
      <c r="B2766" s="1" t="s">
        <v>6877</v>
      </c>
    </row>
    <row r="2767" spans="1:2" x14ac:dyDescent="0.25">
      <c r="A2767" s="1" t="s">
        <v>3626</v>
      </c>
      <c r="B2767" s="1" t="s">
        <v>6878</v>
      </c>
    </row>
    <row r="2768" spans="1:2" x14ac:dyDescent="0.25">
      <c r="A2768" s="1" t="s">
        <v>3627</v>
      </c>
      <c r="B2768" s="1" t="s">
        <v>6418</v>
      </c>
    </row>
    <row r="2769" spans="1:2" x14ac:dyDescent="0.25">
      <c r="A2769" s="1" t="s">
        <v>3628</v>
      </c>
      <c r="B2769" s="1" t="s">
        <v>4385</v>
      </c>
    </row>
    <row r="2770" spans="1:2" x14ac:dyDescent="0.25">
      <c r="A2770" s="1" t="s">
        <v>3629</v>
      </c>
      <c r="B2770" s="1" t="s">
        <v>4376</v>
      </c>
    </row>
    <row r="2771" spans="1:2" x14ac:dyDescent="0.25">
      <c r="A2771" s="1" t="s">
        <v>3630</v>
      </c>
      <c r="B2771" s="1" t="s">
        <v>6879</v>
      </c>
    </row>
    <row r="2772" spans="1:2" x14ac:dyDescent="0.25">
      <c r="A2772" s="1" t="s">
        <v>3631</v>
      </c>
      <c r="B2772" s="1" t="s">
        <v>6880</v>
      </c>
    </row>
    <row r="2773" spans="1:2" x14ac:dyDescent="0.25">
      <c r="A2773" s="1" t="s">
        <v>3632</v>
      </c>
      <c r="B2773" s="1" t="s">
        <v>6881</v>
      </c>
    </row>
    <row r="2774" spans="1:2" x14ac:dyDescent="0.25">
      <c r="A2774" s="1" t="s">
        <v>3633</v>
      </c>
      <c r="B2774" s="1" t="s">
        <v>6031</v>
      </c>
    </row>
    <row r="2775" spans="1:2" x14ac:dyDescent="0.25">
      <c r="A2775" s="1" t="s">
        <v>3634</v>
      </c>
      <c r="B2775" s="1" t="s">
        <v>6882</v>
      </c>
    </row>
    <row r="2776" spans="1:2" x14ac:dyDescent="0.25">
      <c r="A2776" s="1" t="s">
        <v>3635</v>
      </c>
      <c r="B2776" s="1" t="s">
        <v>5381</v>
      </c>
    </row>
    <row r="2777" spans="1:2" x14ac:dyDescent="0.25">
      <c r="A2777" s="1" t="s">
        <v>3636</v>
      </c>
      <c r="B2777" s="1" t="s">
        <v>6883</v>
      </c>
    </row>
    <row r="2778" spans="1:2" x14ac:dyDescent="0.25">
      <c r="A2778" s="1" t="s">
        <v>3637</v>
      </c>
      <c r="B2778" s="1" t="s">
        <v>5182</v>
      </c>
    </row>
    <row r="2779" spans="1:2" x14ac:dyDescent="0.25">
      <c r="A2779" s="1" t="s">
        <v>3638</v>
      </c>
      <c r="B2779" s="1" t="s">
        <v>5218</v>
      </c>
    </row>
    <row r="2780" spans="1:2" x14ac:dyDescent="0.25">
      <c r="A2780" s="1" t="s">
        <v>3639</v>
      </c>
      <c r="B2780" s="1" t="s">
        <v>6281</v>
      </c>
    </row>
    <row r="2781" spans="1:2" x14ac:dyDescent="0.25">
      <c r="A2781" s="1" t="s">
        <v>4318</v>
      </c>
      <c r="B2781" s="1" t="s">
        <v>6280</v>
      </c>
    </row>
    <row r="2782" spans="1:2" x14ac:dyDescent="0.25">
      <c r="A2782" s="1" t="s">
        <v>3640</v>
      </c>
      <c r="B2782" s="1" t="s">
        <v>4727</v>
      </c>
    </row>
    <row r="2783" spans="1:2" x14ac:dyDescent="0.25">
      <c r="A2783" s="1" t="s">
        <v>3641</v>
      </c>
      <c r="B2783" s="1" t="s">
        <v>4726</v>
      </c>
    </row>
    <row r="2784" spans="1:2" x14ac:dyDescent="0.25">
      <c r="A2784" s="1" t="s">
        <v>3642</v>
      </c>
      <c r="B2784" s="1" t="s">
        <v>6884</v>
      </c>
    </row>
    <row r="2785" spans="1:2" x14ac:dyDescent="0.25">
      <c r="A2785" s="1" t="s">
        <v>3643</v>
      </c>
      <c r="B2785" s="1" t="s">
        <v>6426</v>
      </c>
    </row>
    <row r="2786" spans="1:2" x14ac:dyDescent="0.25">
      <c r="A2786" s="1" t="s">
        <v>3644</v>
      </c>
      <c r="B2786" s="1" t="s">
        <v>6885</v>
      </c>
    </row>
    <row r="2787" spans="1:2" x14ac:dyDescent="0.25">
      <c r="A2787" s="1" t="s">
        <v>3645</v>
      </c>
      <c r="B2787" s="1" t="s">
        <v>6886</v>
      </c>
    </row>
    <row r="2788" spans="1:2" x14ac:dyDescent="0.25">
      <c r="A2788" s="1" t="s">
        <v>3646</v>
      </c>
      <c r="B2788" s="1" t="s">
        <v>5398</v>
      </c>
    </row>
    <row r="2789" spans="1:2" x14ac:dyDescent="0.25">
      <c r="A2789" s="1" t="s">
        <v>3647</v>
      </c>
      <c r="B2789" s="1" t="s">
        <v>6887</v>
      </c>
    </row>
    <row r="2790" spans="1:2" x14ac:dyDescent="0.25">
      <c r="A2790" s="1" t="s">
        <v>3648</v>
      </c>
      <c r="B2790" s="1" t="s">
        <v>6888</v>
      </c>
    </row>
    <row r="2791" spans="1:2" x14ac:dyDescent="0.25">
      <c r="A2791" s="1" t="s">
        <v>3649</v>
      </c>
      <c r="B2791" s="1" t="s">
        <v>6889</v>
      </c>
    </row>
    <row r="2792" spans="1:2" x14ac:dyDescent="0.25">
      <c r="A2792" s="1" t="s">
        <v>3650</v>
      </c>
      <c r="B2792" s="1" t="s">
        <v>4812</v>
      </c>
    </row>
    <row r="2793" spans="1:2" x14ac:dyDescent="0.25">
      <c r="A2793" s="1" t="s">
        <v>3651</v>
      </c>
      <c r="B2793" s="1" t="s">
        <v>6890</v>
      </c>
    </row>
    <row r="2794" spans="1:2" x14ac:dyDescent="0.25">
      <c r="A2794" s="1" t="s">
        <v>3652</v>
      </c>
      <c r="B2794" s="1" t="s">
        <v>6891</v>
      </c>
    </row>
    <row r="2795" spans="1:2" x14ac:dyDescent="0.25">
      <c r="A2795" s="1" t="s">
        <v>3653</v>
      </c>
      <c r="B2795" s="1" t="s">
        <v>4695</v>
      </c>
    </row>
    <row r="2796" spans="1:2" x14ac:dyDescent="0.25">
      <c r="A2796" s="1" t="s">
        <v>3654</v>
      </c>
      <c r="B2796" s="1" t="s">
        <v>5790</v>
      </c>
    </row>
    <row r="2797" spans="1:2" x14ac:dyDescent="0.25">
      <c r="A2797" s="1" t="s">
        <v>3655</v>
      </c>
      <c r="B2797" s="1" t="s">
        <v>6892</v>
      </c>
    </row>
    <row r="2798" spans="1:2" x14ac:dyDescent="0.25">
      <c r="A2798" s="1" t="s">
        <v>3656</v>
      </c>
      <c r="B2798" s="1" t="s">
        <v>4652</v>
      </c>
    </row>
    <row r="2799" spans="1:2" x14ac:dyDescent="0.25">
      <c r="A2799" s="1" t="s">
        <v>3657</v>
      </c>
      <c r="B2799" s="1" t="s">
        <v>5971</v>
      </c>
    </row>
    <row r="2800" spans="1:2" x14ac:dyDescent="0.25">
      <c r="A2800" s="1" t="s">
        <v>3658</v>
      </c>
      <c r="B2800" s="1" t="s">
        <v>6893</v>
      </c>
    </row>
    <row r="2801" spans="1:2" x14ac:dyDescent="0.25">
      <c r="A2801" s="1" t="s">
        <v>3659</v>
      </c>
      <c r="B2801" s="1" t="s">
        <v>6168</v>
      </c>
    </row>
    <row r="2802" spans="1:2" x14ac:dyDescent="0.25">
      <c r="A2802" s="1" t="s">
        <v>3660</v>
      </c>
      <c r="B2802" s="1" t="s">
        <v>4811</v>
      </c>
    </row>
    <row r="2803" spans="1:2" x14ac:dyDescent="0.25">
      <c r="A2803" s="1" t="s">
        <v>3661</v>
      </c>
      <c r="B2803" s="1" t="s">
        <v>6894</v>
      </c>
    </row>
    <row r="2804" spans="1:2" x14ac:dyDescent="0.25">
      <c r="A2804" s="1" t="s">
        <v>3662</v>
      </c>
      <c r="B2804" s="1" t="s">
        <v>6639</v>
      </c>
    </row>
    <row r="2805" spans="1:2" x14ac:dyDescent="0.25">
      <c r="A2805" s="1" t="s">
        <v>3663</v>
      </c>
      <c r="B2805" s="1" t="s">
        <v>6895</v>
      </c>
    </row>
    <row r="2806" spans="1:2" x14ac:dyDescent="0.25">
      <c r="A2806" s="1" t="s">
        <v>3664</v>
      </c>
      <c r="B2806" s="1" t="s">
        <v>4392</v>
      </c>
    </row>
    <row r="2807" spans="1:2" x14ac:dyDescent="0.25">
      <c r="A2807" s="1" t="s">
        <v>4319</v>
      </c>
      <c r="B2807" s="1" t="s">
        <v>5642</v>
      </c>
    </row>
    <row r="2808" spans="1:2" x14ac:dyDescent="0.25">
      <c r="A2808" s="1" t="s">
        <v>3665</v>
      </c>
      <c r="B2808" s="1" t="s">
        <v>4340</v>
      </c>
    </row>
    <row r="2809" spans="1:2" x14ac:dyDescent="0.25">
      <c r="A2809" s="1" t="s">
        <v>3666</v>
      </c>
      <c r="B2809" s="1" t="s">
        <v>6896</v>
      </c>
    </row>
    <row r="2810" spans="1:2" x14ac:dyDescent="0.25">
      <c r="A2810" s="1" t="s">
        <v>3667</v>
      </c>
      <c r="B2810" s="1" t="s">
        <v>4529</v>
      </c>
    </row>
    <row r="2811" spans="1:2" x14ac:dyDescent="0.25">
      <c r="A2811" s="1" t="s">
        <v>3668</v>
      </c>
      <c r="B2811" s="1" t="s">
        <v>6897</v>
      </c>
    </row>
    <row r="2812" spans="1:2" x14ac:dyDescent="0.25">
      <c r="A2812" s="1" t="s">
        <v>3669</v>
      </c>
      <c r="B2812" s="1" t="s">
        <v>6898</v>
      </c>
    </row>
    <row r="2813" spans="1:2" x14ac:dyDescent="0.25">
      <c r="A2813" s="1" t="s">
        <v>3670</v>
      </c>
      <c r="B2813" s="1" t="s">
        <v>4701</v>
      </c>
    </row>
    <row r="2814" spans="1:2" x14ac:dyDescent="0.25">
      <c r="A2814" s="1" t="s">
        <v>3671</v>
      </c>
      <c r="B2814" s="1" t="s">
        <v>6899</v>
      </c>
    </row>
    <row r="2815" spans="1:2" x14ac:dyDescent="0.25">
      <c r="A2815" s="1" t="s">
        <v>3672</v>
      </c>
      <c r="B2815" s="1" t="s">
        <v>6900</v>
      </c>
    </row>
    <row r="2816" spans="1:2" x14ac:dyDescent="0.25">
      <c r="A2816" s="1" t="s">
        <v>3673</v>
      </c>
      <c r="B2816" s="1" t="s">
        <v>5694</v>
      </c>
    </row>
    <row r="2817" spans="1:2" x14ac:dyDescent="0.25">
      <c r="A2817" s="1" t="s">
        <v>3674</v>
      </c>
      <c r="B2817" s="1" t="s">
        <v>6901</v>
      </c>
    </row>
    <row r="2818" spans="1:2" x14ac:dyDescent="0.25">
      <c r="A2818" s="1" t="s">
        <v>3675</v>
      </c>
      <c r="B2818" s="1" t="s">
        <v>6810</v>
      </c>
    </row>
    <row r="2819" spans="1:2" x14ac:dyDescent="0.25">
      <c r="A2819" s="1" t="s">
        <v>3676</v>
      </c>
      <c r="B2819" s="1" t="s">
        <v>6902</v>
      </c>
    </row>
    <row r="2820" spans="1:2" x14ac:dyDescent="0.25">
      <c r="A2820" s="1" t="s">
        <v>3677</v>
      </c>
      <c r="B2820" s="1" t="s">
        <v>5370</v>
      </c>
    </row>
    <row r="2821" spans="1:2" x14ac:dyDescent="0.25">
      <c r="A2821" s="1" t="s">
        <v>3678</v>
      </c>
      <c r="B2821" s="1" t="s">
        <v>6903</v>
      </c>
    </row>
    <row r="2822" spans="1:2" x14ac:dyDescent="0.25">
      <c r="A2822" s="1" t="s">
        <v>3679</v>
      </c>
      <c r="B2822" s="1" t="s">
        <v>5667</v>
      </c>
    </row>
    <row r="2823" spans="1:2" x14ac:dyDescent="0.25">
      <c r="A2823" s="1" t="s">
        <v>3680</v>
      </c>
      <c r="B2823" s="1" t="s">
        <v>6904</v>
      </c>
    </row>
    <row r="2824" spans="1:2" x14ac:dyDescent="0.25">
      <c r="A2824" s="1" t="s">
        <v>3681</v>
      </c>
      <c r="B2824" s="1" t="s">
        <v>5808</v>
      </c>
    </row>
    <row r="2825" spans="1:2" x14ac:dyDescent="0.25">
      <c r="A2825" s="1" t="s">
        <v>3682</v>
      </c>
      <c r="B2825" s="1" t="s">
        <v>5902</v>
      </c>
    </row>
    <row r="2826" spans="1:2" x14ac:dyDescent="0.25">
      <c r="A2826" s="1" t="s">
        <v>3683</v>
      </c>
      <c r="B2826" s="1" t="s">
        <v>6905</v>
      </c>
    </row>
    <row r="2827" spans="1:2" x14ac:dyDescent="0.25">
      <c r="A2827" s="1" t="s">
        <v>3684</v>
      </c>
      <c r="B2827" s="1" t="s">
        <v>4938</v>
      </c>
    </row>
    <row r="2828" spans="1:2" x14ac:dyDescent="0.25">
      <c r="A2828" s="1" t="s">
        <v>3685</v>
      </c>
      <c r="B2828" s="1" t="s">
        <v>5645</v>
      </c>
    </row>
    <row r="2829" spans="1:2" x14ac:dyDescent="0.25">
      <c r="A2829" s="1" t="s">
        <v>3686</v>
      </c>
      <c r="B2829" s="1" t="s">
        <v>6906</v>
      </c>
    </row>
    <row r="2830" spans="1:2" x14ac:dyDescent="0.25">
      <c r="A2830" s="1" t="s">
        <v>3687</v>
      </c>
      <c r="B2830" s="1" t="s">
        <v>4868</v>
      </c>
    </row>
    <row r="2831" spans="1:2" x14ac:dyDescent="0.25">
      <c r="A2831" s="1" t="s">
        <v>3688</v>
      </c>
      <c r="B2831" s="1" t="s">
        <v>4581</v>
      </c>
    </row>
    <row r="2832" spans="1:2" x14ac:dyDescent="0.25">
      <c r="A2832" s="1" t="s">
        <v>3689</v>
      </c>
      <c r="B2832" s="1" t="s">
        <v>6907</v>
      </c>
    </row>
    <row r="2833" spans="1:2" x14ac:dyDescent="0.25">
      <c r="A2833" s="1" t="s">
        <v>3690</v>
      </c>
      <c r="B2833" s="1" t="s">
        <v>4955</v>
      </c>
    </row>
    <row r="2834" spans="1:2" x14ac:dyDescent="0.25">
      <c r="A2834" s="1" t="s">
        <v>3691</v>
      </c>
      <c r="B2834" s="1" t="s">
        <v>4766</v>
      </c>
    </row>
    <row r="2835" spans="1:2" x14ac:dyDescent="0.25">
      <c r="A2835" s="1" t="s">
        <v>3692</v>
      </c>
      <c r="B2835" s="1" t="s">
        <v>5707</v>
      </c>
    </row>
    <row r="2836" spans="1:2" x14ac:dyDescent="0.25">
      <c r="A2836" s="1" t="s">
        <v>3693</v>
      </c>
      <c r="B2836" s="1" t="s">
        <v>6045</v>
      </c>
    </row>
    <row r="2837" spans="1:2" x14ac:dyDescent="0.25">
      <c r="A2837" s="1" t="s">
        <v>3694</v>
      </c>
      <c r="B2837" s="1" t="s">
        <v>6148</v>
      </c>
    </row>
    <row r="2838" spans="1:2" x14ac:dyDescent="0.25">
      <c r="A2838" s="1" t="s">
        <v>3695</v>
      </c>
      <c r="B2838" s="1" t="s">
        <v>6908</v>
      </c>
    </row>
    <row r="2839" spans="1:2" x14ac:dyDescent="0.25">
      <c r="A2839" s="1" t="s">
        <v>3696</v>
      </c>
      <c r="B2839" s="1" t="s">
        <v>5534</v>
      </c>
    </row>
    <row r="2840" spans="1:2" x14ac:dyDescent="0.25">
      <c r="A2840" s="1" t="s">
        <v>3697</v>
      </c>
      <c r="B2840" s="1" t="s">
        <v>4574</v>
      </c>
    </row>
    <row r="2841" spans="1:2" x14ac:dyDescent="0.25">
      <c r="A2841" s="1" t="s">
        <v>3698</v>
      </c>
      <c r="B2841" s="1" t="s">
        <v>6909</v>
      </c>
    </row>
    <row r="2842" spans="1:2" x14ac:dyDescent="0.25">
      <c r="A2842" s="1" t="s">
        <v>3699</v>
      </c>
      <c r="B2842" s="1" t="s">
        <v>6165</v>
      </c>
    </row>
    <row r="2843" spans="1:2" x14ac:dyDescent="0.25">
      <c r="A2843" s="1" t="s">
        <v>3700</v>
      </c>
      <c r="B2843" s="1" t="s">
        <v>4716</v>
      </c>
    </row>
    <row r="2844" spans="1:2" x14ac:dyDescent="0.25">
      <c r="A2844" s="1" t="s">
        <v>3701</v>
      </c>
      <c r="B2844" s="1" t="s">
        <v>6910</v>
      </c>
    </row>
    <row r="2845" spans="1:2" x14ac:dyDescent="0.25">
      <c r="A2845" s="1" t="s">
        <v>3702</v>
      </c>
      <c r="B2845" s="1" t="s">
        <v>6911</v>
      </c>
    </row>
    <row r="2846" spans="1:2" x14ac:dyDescent="0.25">
      <c r="A2846" s="1" t="s">
        <v>3703</v>
      </c>
      <c r="B2846" s="1" t="s">
        <v>5611</v>
      </c>
    </row>
    <row r="2847" spans="1:2" x14ac:dyDescent="0.25">
      <c r="A2847" s="1" t="s">
        <v>3704</v>
      </c>
      <c r="B2847" s="1" t="s">
        <v>5922</v>
      </c>
    </row>
    <row r="2848" spans="1:2" x14ac:dyDescent="0.25">
      <c r="A2848" s="1" t="s">
        <v>3705</v>
      </c>
      <c r="B2848" s="1" t="s">
        <v>6644</v>
      </c>
    </row>
    <row r="2849" spans="1:2" x14ac:dyDescent="0.25">
      <c r="A2849" s="1" t="s">
        <v>3706</v>
      </c>
      <c r="B2849" s="1" t="s">
        <v>5174</v>
      </c>
    </row>
    <row r="2850" spans="1:2" x14ac:dyDescent="0.25">
      <c r="A2850" s="1" t="s">
        <v>3707</v>
      </c>
      <c r="B2850" s="1" t="s">
        <v>6049</v>
      </c>
    </row>
    <row r="2851" spans="1:2" x14ac:dyDescent="0.25">
      <c r="A2851" s="1" t="s">
        <v>3708</v>
      </c>
      <c r="B2851" s="1" t="s">
        <v>6912</v>
      </c>
    </row>
    <row r="2852" spans="1:2" x14ac:dyDescent="0.25">
      <c r="A2852" s="1" t="s">
        <v>3709</v>
      </c>
      <c r="B2852" s="1" t="s">
        <v>6913</v>
      </c>
    </row>
    <row r="2853" spans="1:2" x14ac:dyDescent="0.25">
      <c r="A2853" s="1" t="s">
        <v>3710</v>
      </c>
      <c r="B2853" s="1" t="s">
        <v>6914</v>
      </c>
    </row>
    <row r="2854" spans="1:2" x14ac:dyDescent="0.25">
      <c r="A2854" s="1" t="s">
        <v>3711</v>
      </c>
      <c r="B2854" s="1" t="s">
        <v>4652</v>
      </c>
    </row>
    <row r="2855" spans="1:2" x14ac:dyDescent="0.25">
      <c r="A2855" s="1" t="s">
        <v>3712</v>
      </c>
      <c r="B2855" s="1" t="s">
        <v>6915</v>
      </c>
    </row>
    <row r="2856" spans="1:2" x14ac:dyDescent="0.25">
      <c r="A2856" s="1" t="s">
        <v>3713</v>
      </c>
      <c r="B2856" s="1" t="s">
        <v>6916</v>
      </c>
    </row>
    <row r="2857" spans="1:2" x14ac:dyDescent="0.25">
      <c r="A2857" s="1" t="s">
        <v>3714</v>
      </c>
      <c r="B2857" s="1" t="s">
        <v>6917</v>
      </c>
    </row>
    <row r="2858" spans="1:2" x14ac:dyDescent="0.25">
      <c r="A2858" s="1" t="s">
        <v>3715</v>
      </c>
      <c r="B2858" s="1" t="s">
        <v>4367</v>
      </c>
    </row>
    <row r="2859" spans="1:2" x14ac:dyDescent="0.25">
      <c r="A2859" s="1" t="s">
        <v>3716</v>
      </c>
      <c r="B2859" s="1" t="s">
        <v>4704</v>
      </c>
    </row>
    <row r="2860" spans="1:2" x14ac:dyDescent="0.25">
      <c r="A2860" s="1" t="s">
        <v>3717</v>
      </c>
      <c r="B2860" s="1" t="s">
        <v>6918</v>
      </c>
    </row>
    <row r="2861" spans="1:2" x14ac:dyDescent="0.25">
      <c r="A2861" s="1" t="s">
        <v>3718</v>
      </c>
      <c r="B2861" s="1" t="s">
        <v>6367</v>
      </c>
    </row>
    <row r="2862" spans="1:2" x14ac:dyDescent="0.25">
      <c r="A2862" s="1" t="s">
        <v>3719</v>
      </c>
      <c r="B2862" s="1" t="s">
        <v>6919</v>
      </c>
    </row>
    <row r="2863" spans="1:2" x14ac:dyDescent="0.25">
      <c r="A2863" s="1" t="s">
        <v>3720</v>
      </c>
      <c r="B2863" s="1" t="s">
        <v>6920</v>
      </c>
    </row>
    <row r="2864" spans="1:2" x14ac:dyDescent="0.25">
      <c r="A2864" s="1" t="s">
        <v>3721</v>
      </c>
      <c r="B2864" s="1" t="s">
        <v>6921</v>
      </c>
    </row>
    <row r="2865" spans="1:2" x14ac:dyDescent="0.25">
      <c r="A2865" s="1" t="s">
        <v>3722</v>
      </c>
      <c r="B2865" s="1" t="s">
        <v>5293</v>
      </c>
    </row>
    <row r="2866" spans="1:2" x14ac:dyDescent="0.25">
      <c r="A2866" s="1" t="s">
        <v>3723</v>
      </c>
      <c r="B2866" s="1" t="s">
        <v>5532</v>
      </c>
    </row>
    <row r="2867" spans="1:2" x14ac:dyDescent="0.25">
      <c r="A2867" s="1" t="s">
        <v>3724</v>
      </c>
      <c r="B2867" s="1" t="s">
        <v>4574</v>
      </c>
    </row>
    <row r="2868" spans="1:2" x14ac:dyDescent="0.25">
      <c r="A2868" s="1" t="s">
        <v>3725</v>
      </c>
      <c r="B2868" s="1" t="s">
        <v>5182</v>
      </c>
    </row>
    <row r="2869" spans="1:2" x14ac:dyDescent="0.25">
      <c r="A2869" s="1" t="s">
        <v>3726</v>
      </c>
      <c r="B2869" s="1" t="s">
        <v>6922</v>
      </c>
    </row>
    <row r="2870" spans="1:2" x14ac:dyDescent="0.25">
      <c r="A2870" s="1" t="s">
        <v>3727</v>
      </c>
      <c r="B2870" s="1" t="s">
        <v>5533</v>
      </c>
    </row>
    <row r="2871" spans="1:2" x14ac:dyDescent="0.25">
      <c r="A2871" s="1" t="s">
        <v>3728</v>
      </c>
      <c r="B2871" s="1" t="s">
        <v>4651</v>
      </c>
    </row>
    <row r="2872" spans="1:2" x14ac:dyDescent="0.25">
      <c r="A2872" s="1" t="s">
        <v>3729</v>
      </c>
      <c r="B2872" s="1" t="s">
        <v>5338</v>
      </c>
    </row>
    <row r="2873" spans="1:2" x14ac:dyDescent="0.25">
      <c r="A2873" s="1" t="s">
        <v>3730</v>
      </c>
      <c r="B2873" s="1" t="s">
        <v>6923</v>
      </c>
    </row>
    <row r="2874" spans="1:2" x14ac:dyDescent="0.25">
      <c r="A2874" s="1" t="s">
        <v>3731</v>
      </c>
      <c r="B2874" s="1" t="s">
        <v>6136</v>
      </c>
    </row>
    <row r="2875" spans="1:2" x14ac:dyDescent="0.25">
      <c r="A2875" s="1" t="s">
        <v>3732</v>
      </c>
      <c r="B2875" s="1" t="s">
        <v>6924</v>
      </c>
    </row>
    <row r="2876" spans="1:2" x14ac:dyDescent="0.25">
      <c r="A2876" s="1" t="s">
        <v>4308</v>
      </c>
      <c r="B2876" s="1" t="s">
        <v>6925</v>
      </c>
    </row>
    <row r="2877" spans="1:2" x14ac:dyDescent="0.25">
      <c r="A2877" s="1" t="s">
        <v>3733</v>
      </c>
      <c r="B2877" s="1" t="s">
        <v>6210</v>
      </c>
    </row>
    <row r="2878" spans="1:2" x14ac:dyDescent="0.25">
      <c r="A2878" s="1" t="s">
        <v>3734</v>
      </c>
      <c r="B2878" s="1" t="s">
        <v>6926</v>
      </c>
    </row>
    <row r="2879" spans="1:2" x14ac:dyDescent="0.25">
      <c r="A2879" s="1" t="s">
        <v>3735</v>
      </c>
      <c r="B2879" s="1" t="s">
        <v>6927</v>
      </c>
    </row>
    <row r="2880" spans="1:2" x14ac:dyDescent="0.25">
      <c r="A2880" s="1" t="s">
        <v>3736</v>
      </c>
      <c r="B2880" s="1" t="s">
        <v>6489</v>
      </c>
    </row>
    <row r="2881" spans="1:2" x14ac:dyDescent="0.25">
      <c r="A2881" s="1" t="s">
        <v>3737</v>
      </c>
      <c r="B2881" s="1" t="s">
        <v>6928</v>
      </c>
    </row>
    <row r="2882" spans="1:2" x14ac:dyDescent="0.25">
      <c r="A2882" s="1" t="s">
        <v>3738</v>
      </c>
      <c r="B2882" s="1" t="s">
        <v>4705</v>
      </c>
    </row>
    <row r="2883" spans="1:2" x14ac:dyDescent="0.25">
      <c r="A2883" s="1" t="s">
        <v>3739</v>
      </c>
      <c r="B2883" s="1" t="s">
        <v>6685</v>
      </c>
    </row>
    <row r="2884" spans="1:2" x14ac:dyDescent="0.25">
      <c r="A2884" s="1" t="s">
        <v>3740</v>
      </c>
      <c r="B2884" s="1" t="s">
        <v>6929</v>
      </c>
    </row>
    <row r="2885" spans="1:2" x14ac:dyDescent="0.25">
      <c r="A2885" s="1" t="s">
        <v>3741</v>
      </c>
      <c r="B2885" s="1" t="s">
        <v>5709</v>
      </c>
    </row>
    <row r="2886" spans="1:2" x14ac:dyDescent="0.25">
      <c r="A2886" s="1" t="s">
        <v>3742</v>
      </c>
      <c r="B2886" s="1" t="s">
        <v>6930</v>
      </c>
    </row>
    <row r="2887" spans="1:2" x14ac:dyDescent="0.25">
      <c r="A2887" s="1" t="s">
        <v>3743</v>
      </c>
      <c r="B2887" s="1" t="s">
        <v>6931</v>
      </c>
    </row>
    <row r="2888" spans="1:2" x14ac:dyDescent="0.25">
      <c r="A2888" s="1" t="s">
        <v>3744</v>
      </c>
      <c r="B2888" s="1" t="s">
        <v>4540</v>
      </c>
    </row>
    <row r="2889" spans="1:2" x14ac:dyDescent="0.25">
      <c r="A2889" s="1" t="s">
        <v>3745</v>
      </c>
      <c r="B2889" s="1" t="s">
        <v>6932</v>
      </c>
    </row>
    <row r="2890" spans="1:2" x14ac:dyDescent="0.25">
      <c r="A2890" s="1" t="s">
        <v>3746</v>
      </c>
      <c r="B2890" s="1" t="s">
        <v>6638</v>
      </c>
    </row>
    <row r="2891" spans="1:2" x14ac:dyDescent="0.25">
      <c r="A2891" s="1" t="s">
        <v>3747</v>
      </c>
      <c r="B2891" s="1" t="s">
        <v>6933</v>
      </c>
    </row>
    <row r="2892" spans="1:2" x14ac:dyDescent="0.25">
      <c r="A2892" s="1" t="s">
        <v>3748</v>
      </c>
      <c r="B2892" s="1" t="s">
        <v>6934</v>
      </c>
    </row>
    <row r="2893" spans="1:2" x14ac:dyDescent="0.25">
      <c r="A2893" s="1" t="s">
        <v>3749</v>
      </c>
      <c r="B2893" s="1" t="s">
        <v>6935</v>
      </c>
    </row>
    <row r="2894" spans="1:2" x14ac:dyDescent="0.25">
      <c r="A2894" s="1" t="s">
        <v>3750</v>
      </c>
      <c r="B2894" s="1" t="s">
        <v>6936</v>
      </c>
    </row>
    <row r="2895" spans="1:2" x14ac:dyDescent="0.25">
      <c r="A2895" s="1" t="s">
        <v>3751</v>
      </c>
      <c r="B2895" s="1" t="s">
        <v>6937</v>
      </c>
    </row>
    <row r="2896" spans="1:2" x14ac:dyDescent="0.25">
      <c r="A2896" s="1" t="s">
        <v>3752</v>
      </c>
      <c r="B2896" s="1" t="s">
        <v>6938</v>
      </c>
    </row>
    <row r="2897" spans="1:2" x14ac:dyDescent="0.25">
      <c r="A2897" s="1" t="s">
        <v>3753</v>
      </c>
      <c r="B2897" s="1" t="s">
        <v>4411</v>
      </c>
    </row>
    <row r="2898" spans="1:2" x14ac:dyDescent="0.25">
      <c r="A2898" s="1" t="s">
        <v>3754</v>
      </c>
      <c r="B2898" s="1" t="s">
        <v>6760</v>
      </c>
    </row>
    <row r="2899" spans="1:2" x14ac:dyDescent="0.25">
      <c r="A2899" s="1" t="s">
        <v>3755</v>
      </c>
      <c r="B2899" s="1" t="s">
        <v>5960</v>
      </c>
    </row>
    <row r="2900" spans="1:2" x14ac:dyDescent="0.25">
      <c r="A2900" s="1" t="s">
        <v>3756</v>
      </c>
      <c r="B2900" s="1" t="s">
        <v>4853</v>
      </c>
    </row>
    <row r="2901" spans="1:2" x14ac:dyDescent="0.25">
      <c r="A2901" s="1" t="s">
        <v>3757</v>
      </c>
      <c r="B2901" s="1" t="s">
        <v>6939</v>
      </c>
    </row>
    <row r="2902" spans="1:2" x14ac:dyDescent="0.25">
      <c r="A2902" s="1" t="s">
        <v>3758</v>
      </c>
      <c r="B2902" s="1" t="s">
        <v>6940</v>
      </c>
    </row>
    <row r="2903" spans="1:2" x14ac:dyDescent="0.25">
      <c r="A2903" s="1" t="s">
        <v>3759</v>
      </c>
      <c r="B2903" s="1" t="s">
        <v>4683</v>
      </c>
    </row>
    <row r="2904" spans="1:2" x14ac:dyDescent="0.25">
      <c r="A2904" s="1" t="s">
        <v>3760</v>
      </c>
      <c r="B2904" s="1" t="s">
        <v>5821</v>
      </c>
    </row>
    <row r="2905" spans="1:2" x14ac:dyDescent="0.25">
      <c r="A2905" s="1" t="s">
        <v>3761</v>
      </c>
      <c r="B2905" s="1" t="s">
        <v>5430</v>
      </c>
    </row>
    <row r="2906" spans="1:2" x14ac:dyDescent="0.25">
      <c r="A2906" s="1" t="s">
        <v>3762</v>
      </c>
      <c r="B2906" s="1" t="s">
        <v>4800</v>
      </c>
    </row>
    <row r="2907" spans="1:2" x14ac:dyDescent="0.25">
      <c r="A2907" s="1" t="s">
        <v>682</v>
      </c>
      <c r="B2907" s="1" t="s">
        <v>6941</v>
      </c>
    </row>
    <row r="2908" spans="1:2" x14ac:dyDescent="0.25">
      <c r="A2908" s="1" t="s">
        <v>3763</v>
      </c>
      <c r="B2908" s="1" t="s">
        <v>6532</v>
      </c>
    </row>
    <row r="2909" spans="1:2" x14ac:dyDescent="0.25">
      <c r="A2909" s="1" t="s">
        <v>3764</v>
      </c>
      <c r="B2909" s="1" t="s">
        <v>6942</v>
      </c>
    </row>
    <row r="2910" spans="1:2" x14ac:dyDescent="0.25">
      <c r="A2910" s="1" t="s">
        <v>3765</v>
      </c>
      <c r="B2910" s="1" t="s">
        <v>6943</v>
      </c>
    </row>
    <row r="2911" spans="1:2" x14ac:dyDescent="0.25">
      <c r="A2911" s="1" t="s">
        <v>3766</v>
      </c>
      <c r="B2911" s="1" t="s">
        <v>6944</v>
      </c>
    </row>
    <row r="2912" spans="1:2" x14ac:dyDescent="0.25">
      <c r="A2912" s="1" t="s">
        <v>3767</v>
      </c>
      <c r="B2912" s="1" t="s">
        <v>5836</v>
      </c>
    </row>
    <row r="2913" spans="1:2" x14ac:dyDescent="0.25">
      <c r="A2913" s="1" t="s">
        <v>3768</v>
      </c>
      <c r="B2913" s="1" t="s">
        <v>5550</v>
      </c>
    </row>
    <row r="2914" spans="1:2" x14ac:dyDescent="0.25">
      <c r="A2914" s="1" t="s">
        <v>3769</v>
      </c>
      <c r="B2914" s="1" t="s">
        <v>6420</v>
      </c>
    </row>
    <row r="2915" spans="1:2" x14ac:dyDescent="0.25">
      <c r="A2915" s="1" t="s">
        <v>3770</v>
      </c>
      <c r="B2915" s="1" t="s">
        <v>5947</v>
      </c>
    </row>
    <row r="2916" spans="1:2" x14ac:dyDescent="0.25">
      <c r="A2916" s="1" t="s">
        <v>3771</v>
      </c>
      <c r="B2916" s="1" t="s">
        <v>5218</v>
      </c>
    </row>
    <row r="2917" spans="1:2" x14ac:dyDescent="0.25">
      <c r="A2917" s="1" t="s">
        <v>3772</v>
      </c>
      <c r="B2917" s="1" t="s">
        <v>6531</v>
      </c>
    </row>
    <row r="2918" spans="1:2" x14ac:dyDescent="0.25">
      <c r="A2918" s="1" t="s">
        <v>3773</v>
      </c>
      <c r="B2918" s="1" t="s">
        <v>6401</v>
      </c>
    </row>
    <row r="2919" spans="1:2" x14ac:dyDescent="0.25">
      <c r="A2919" s="1" t="s">
        <v>3774</v>
      </c>
      <c r="B2919" s="1" t="s">
        <v>5467</v>
      </c>
    </row>
    <row r="2920" spans="1:2" x14ac:dyDescent="0.25">
      <c r="A2920" s="1" t="s">
        <v>3775</v>
      </c>
      <c r="B2920" s="1" t="s">
        <v>5293</v>
      </c>
    </row>
    <row r="2921" spans="1:2" x14ac:dyDescent="0.25">
      <c r="A2921" s="1" t="s">
        <v>3776</v>
      </c>
      <c r="B2921" s="1" t="s">
        <v>5440</v>
      </c>
    </row>
    <row r="2922" spans="1:2" x14ac:dyDescent="0.25">
      <c r="A2922" s="1" t="s">
        <v>3777</v>
      </c>
      <c r="B2922" s="1" t="s">
        <v>6945</v>
      </c>
    </row>
    <row r="2923" spans="1:2" x14ac:dyDescent="0.25">
      <c r="A2923" s="1" t="s">
        <v>3778</v>
      </c>
      <c r="B2923" s="1" t="s">
        <v>5283</v>
      </c>
    </row>
    <row r="2924" spans="1:2" x14ac:dyDescent="0.25">
      <c r="A2924" s="1" t="s">
        <v>3779</v>
      </c>
      <c r="B2924" s="1" t="s">
        <v>5486</v>
      </c>
    </row>
    <row r="2925" spans="1:2" x14ac:dyDescent="0.25">
      <c r="A2925" s="1" t="s">
        <v>3780</v>
      </c>
      <c r="B2925" s="1" t="s">
        <v>6946</v>
      </c>
    </row>
    <row r="2926" spans="1:2" x14ac:dyDescent="0.25">
      <c r="A2926" s="1" t="s">
        <v>3781</v>
      </c>
      <c r="B2926" s="1" t="s">
        <v>4753</v>
      </c>
    </row>
    <row r="2927" spans="1:2" x14ac:dyDescent="0.25">
      <c r="A2927" s="1" t="s">
        <v>3782</v>
      </c>
      <c r="B2927" s="1" t="s">
        <v>5705</v>
      </c>
    </row>
    <row r="2928" spans="1:2" x14ac:dyDescent="0.25">
      <c r="A2928" s="1" t="s">
        <v>3783</v>
      </c>
      <c r="B2928" s="1" t="s">
        <v>6947</v>
      </c>
    </row>
    <row r="2929" spans="1:2" x14ac:dyDescent="0.25">
      <c r="A2929" s="1" t="s">
        <v>3784</v>
      </c>
      <c r="B2929" s="1" t="s">
        <v>5838</v>
      </c>
    </row>
    <row r="2930" spans="1:2" x14ac:dyDescent="0.25">
      <c r="A2930" s="1" t="s">
        <v>3785</v>
      </c>
      <c r="B2930" s="1" t="s">
        <v>5182</v>
      </c>
    </row>
    <row r="2931" spans="1:2" x14ac:dyDescent="0.25">
      <c r="A2931" s="1" t="s">
        <v>3786</v>
      </c>
      <c r="B2931" s="1" t="s">
        <v>4806</v>
      </c>
    </row>
    <row r="2932" spans="1:2" x14ac:dyDescent="0.25">
      <c r="A2932" s="1" t="s">
        <v>3787</v>
      </c>
      <c r="B2932" s="1" t="s">
        <v>4897</v>
      </c>
    </row>
    <row r="2933" spans="1:2" x14ac:dyDescent="0.25">
      <c r="A2933" s="1" t="s">
        <v>3788</v>
      </c>
      <c r="B2933" s="1" t="s">
        <v>6948</v>
      </c>
    </row>
    <row r="2934" spans="1:2" x14ac:dyDescent="0.25">
      <c r="A2934" s="1" t="s">
        <v>3789</v>
      </c>
      <c r="B2934" s="1" t="s">
        <v>4758</v>
      </c>
    </row>
    <row r="2935" spans="1:2" x14ac:dyDescent="0.25">
      <c r="A2935" s="1" t="s">
        <v>3790</v>
      </c>
      <c r="B2935" s="1" t="s">
        <v>6860</v>
      </c>
    </row>
    <row r="2936" spans="1:2" x14ac:dyDescent="0.25">
      <c r="A2936" s="1" t="s">
        <v>3791</v>
      </c>
      <c r="B2936" s="1" t="s">
        <v>5524</v>
      </c>
    </row>
    <row r="2937" spans="1:2" x14ac:dyDescent="0.25">
      <c r="A2937" s="1" t="s">
        <v>3792</v>
      </c>
      <c r="B2937" s="1" t="s">
        <v>6949</v>
      </c>
    </row>
    <row r="2938" spans="1:2" x14ac:dyDescent="0.25">
      <c r="A2938" s="1" t="s">
        <v>3793</v>
      </c>
      <c r="B2938" s="1" t="s">
        <v>5717</v>
      </c>
    </row>
    <row r="2939" spans="1:2" x14ac:dyDescent="0.25">
      <c r="A2939" s="1" t="s">
        <v>3794</v>
      </c>
      <c r="B2939" s="1" t="s">
        <v>6950</v>
      </c>
    </row>
    <row r="2940" spans="1:2" x14ac:dyDescent="0.25">
      <c r="A2940" s="1" t="s">
        <v>3795</v>
      </c>
      <c r="B2940" s="1" t="s">
        <v>6951</v>
      </c>
    </row>
    <row r="2941" spans="1:2" x14ac:dyDescent="0.25">
      <c r="A2941" s="1" t="s">
        <v>3796</v>
      </c>
      <c r="B2941" s="1" t="s">
        <v>6952</v>
      </c>
    </row>
    <row r="2942" spans="1:2" x14ac:dyDescent="0.25">
      <c r="A2942" s="1" t="s">
        <v>3797</v>
      </c>
      <c r="B2942" s="1" t="s">
        <v>4799</v>
      </c>
    </row>
    <row r="2943" spans="1:2" x14ac:dyDescent="0.25">
      <c r="A2943" s="1" t="s">
        <v>3798</v>
      </c>
      <c r="B2943" s="1" t="s">
        <v>4643</v>
      </c>
    </row>
    <row r="2944" spans="1:2" x14ac:dyDescent="0.25">
      <c r="A2944" s="1" t="s">
        <v>3799</v>
      </c>
      <c r="B2944" s="1" t="s">
        <v>4888</v>
      </c>
    </row>
    <row r="2945" spans="1:2" x14ac:dyDescent="0.25">
      <c r="A2945" s="1" t="s">
        <v>3800</v>
      </c>
      <c r="B2945" s="1" t="s">
        <v>6953</v>
      </c>
    </row>
    <row r="2946" spans="1:2" x14ac:dyDescent="0.25">
      <c r="A2946" s="1" t="s">
        <v>3801</v>
      </c>
      <c r="B2946" s="1" t="s">
        <v>6954</v>
      </c>
    </row>
    <row r="2947" spans="1:2" x14ac:dyDescent="0.25">
      <c r="A2947" s="1" t="s">
        <v>3802</v>
      </c>
      <c r="B2947" s="1" t="s">
        <v>6215</v>
      </c>
    </row>
    <row r="2948" spans="1:2" x14ac:dyDescent="0.25">
      <c r="A2948" s="1" t="s">
        <v>3803</v>
      </c>
      <c r="B2948" s="1" t="s">
        <v>6955</v>
      </c>
    </row>
    <row r="2949" spans="1:2" x14ac:dyDescent="0.25">
      <c r="A2949" s="1" t="s">
        <v>3804</v>
      </c>
      <c r="B2949" s="1" t="s">
        <v>4731</v>
      </c>
    </row>
    <row r="2950" spans="1:2" x14ac:dyDescent="0.25">
      <c r="A2950" s="1" t="s">
        <v>3805</v>
      </c>
      <c r="B2950" s="1" t="s">
        <v>4578</v>
      </c>
    </row>
    <row r="2951" spans="1:2" x14ac:dyDescent="0.25">
      <c r="A2951" s="1" t="s">
        <v>3806</v>
      </c>
      <c r="B2951" s="1" t="s">
        <v>4807</v>
      </c>
    </row>
    <row r="2952" spans="1:2" x14ac:dyDescent="0.25">
      <c r="A2952" s="1" t="s">
        <v>3807</v>
      </c>
      <c r="B2952" s="1" t="s">
        <v>5174</v>
      </c>
    </row>
    <row r="2953" spans="1:2" x14ac:dyDescent="0.25">
      <c r="A2953" s="1" t="s">
        <v>3808</v>
      </c>
      <c r="B2953" s="1" t="s">
        <v>6217</v>
      </c>
    </row>
    <row r="2954" spans="1:2" x14ac:dyDescent="0.25">
      <c r="A2954" s="1" t="s">
        <v>3809</v>
      </c>
      <c r="B2954" s="1" t="s">
        <v>6360</v>
      </c>
    </row>
    <row r="2955" spans="1:2" x14ac:dyDescent="0.25">
      <c r="A2955" s="1" t="s">
        <v>3810</v>
      </c>
      <c r="B2955" s="1" t="s">
        <v>5195</v>
      </c>
    </row>
    <row r="2956" spans="1:2" x14ac:dyDescent="0.25">
      <c r="A2956" s="1" t="s">
        <v>3811</v>
      </c>
      <c r="B2956" s="1" t="s">
        <v>4648</v>
      </c>
    </row>
    <row r="2957" spans="1:2" x14ac:dyDescent="0.25">
      <c r="A2957" s="1" t="s">
        <v>3812</v>
      </c>
      <c r="B2957" s="1" t="s">
        <v>6248</v>
      </c>
    </row>
    <row r="2958" spans="1:2" x14ac:dyDescent="0.25">
      <c r="A2958" s="1" t="s">
        <v>3813</v>
      </c>
      <c r="B2958" s="1" t="s">
        <v>4790</v>
      </c>
    </row>
    <row r="2959" spans="1:2" x14ac:dyDescent="0.25">
      <c r="A2959" s="1" t="s">
        <v>3814</v>
      </c>
      <c r="B2959" s="1" t="s">
        <v>5505</v>
      </c>
    </row>
    <row r="2960" spans="1:2" x14ac:dyDescent="0.25">
      <c r="A2960" s="1" t="s">
        <v>3815</v>
      </c>
      <c r="B2960" s="1" t="s">
        <v>6956</v>
      </c>
    </row>
    <row r="2961" spans="1:2" x14ac:dyDescent="0.25">
      <c r="A2961" s="1" t="s">
        <v>3816</v>
      </c>
      <c r="B2961" s="1" t="s">
        <v>5182</v>
      </c>
    </row>
    <row r="2962" spans="1:2" x14ac:dyDescent="0.25">
      <c r="A2962" s="1" t="s">
        <v>3817</v>
      </c>
      <c r="B2962" s="1" t="s">
        <v>6802</v>
      </c>
    </row>
    <row r="2963" spans="1:2" x14ac:dyDescent="0.25">
      <c r="A2963" s="1" t="s">
        <v>3818</v>
      </c>
      <c r="B2963" s="1" t="s">
        <v>6957</v>
      </c>
    </row>
    <row r="2964" spans="1:2" x14ac:dyDescent="0.25">
      <c r="A2964" s="1" t="s">
        <v>3819</v>
      </c>
      <c r="B2964" s="1" t="s">
        <v>6330</v>
      </c>
    </row>
    <row r="2965" spans="1:2" x14ac:dyDescent="0.25">
      <c r="A2965" s="1" t="s">
        <v>3820</v>
      </c>
      <c r="B2965" s="1" t="s">
        <v>4414</v>
      </c>
    </row>
    <row r="2966" spans="1:2" x14ac:dyDescent="0.25">
      <c r="A2966" s="1" t="s">
        <v>3821</v>
      </c>
      <c r="B2966" s="1" t="s">
        <v>6958</v>
      </c>
    </row>
    <row r="2967" spans="1:2" x14ac:dyDescent="0.25">
      <c r="A2967" s="1" t="s">
        <v>3822</v>
      </c>
      <c r="B2967" s="1" t="s">
        <v>5225</v>
      </c>
    </row>
    <row r="2968" spans="1:2" x14ac:dyDescent="0.25">
      <c r="A2968" s="1" t="s">
        <v>3823</v>
      </c>
      <c r="B2968" s="1" t="s">
        <v>4392</v>
      </c>
    </row>
    <row r="2969" spans="1:2" x14ac:dyDescent="0.25">
      <c r="A2969" s="1" t="s">
        <v>3824</v>
      </c>
      <c r="B2969" s="1" t="s">
        <v>6119</v>
      </c>
    </row>
    <row r="2970" spans="1:2" x14ac:dyDescent="0.25">
      <c r="A2970" s="1" t="s">
        <v>3825</v>
      </c>
      <c r="B2970" s="1" t="s">
        <v>6959</v>
      </c>
    </row>
    <row r="2971" spans="1:2" x14ac:dyDescent="0.25">
      <c r="A2971" s="1" t="s">
        <v>3826</v>
      </c>
      <c r="B2971" s="1" t="s">
        <v>5516</v>
      </c>
    </row>
    <row r="2972" spans="1:2" x14ac:dyDescent="0.25">
      <c r="A2972" s="1" t="s">
        <v>3827</v>
      </c>
      <c r="B2972" s="1" t="s">
        <v>5778</v>
      </c>
    </row>
    <row r="2973" spans="1:2" x14ac:dyDescent="0.25">
      <c r="A2973" s="1" t="s">
        <v>3828</v>
      </c>
      <c r="B2973" s="1" t="s">
        <v>4649</v>
      </c>
    </row>
    <row r="2974" spans="1:2" x14ac:dyDescent="0.25">
      <c r="A2974" s="1" t="s">
        <v>3829</v>
      </c>
      <c r="B2974" s="1" t="s">
        <v>4808</v>
      </c>
    </row>
    <row r="2975" spans="1:2" x14ac:dyDescent="0.25">
      <c r="A2975" s="1" t="s">
        <v>3830</v>
      </c>
      <c r="B2975" s="1" t="s">
        <v>4718</v>
      </c>
    </row>
    <row r="2976" spans="1:2" x14ac:dyDescent="0.25">
      <c r="A2976" s="1" t="s">
        <v>3831</v>
      </c>
      <c r="B2976" s="1" t="s">
        <v>6960</v>
      </c>
    </row>
    <row r="2977" spans="1:2" x14ac:dyDescent="0.25">
      <c r="A2977" s="1" t="s">
        <v>3832</v>
      </c>
      <c r="B2977" s="1" t="s">
        <v>6961</v>
      </c>
    </row>
    <row r="2978" spans="1:2" x14ac:dyDescent="0.25">
      <c r="A2978" s="1" t="s">
        <v>3833</v>
      </c>
      <c r="B2978" s="1" t="s">
        <v>6962</v>
      </c>
    </row>
    <row r="2979" spans="1:2" x14ac:dyDescent="0.25">
      <c r="A2979" s="1" t="s">
        <v>3834</v>
      </c>
      <c r="B2979" s="1" t="s">
        <v>6963</v>
      </c>
    </row>
    <row r="2980" spans="1:2" x14ac:dyDescent="0.25">
      <c r="A2980" s="1" t="s">
        <v>3835</v>
      </c>
      <c r="B2980" s="1" t="s">
        <v>6964</v>
      </c>
    </row>
    <row r="2981" spans="1:2" x14ac:dyDescent="0.25">
      <c r="A2981" s="1" t="s">
        <v>3836</v>
      </c>
      <c r="B2981" s="1" t="s">
        <v>4771</v>
      </c>
    </row>
    <row r="2982" spans="1:2" x14ac:dyDescent="0.25">
      <c r="A2982" s="1" t="s">
        <v>3837</v>
      </c>
      <c r="B2982" s="1" t="s">
        <v>5363</v>
      </c>
    </row>
    <row r="2983" spans="1:2" x14ac:dyDescent="0.25">
      <c r="A2983" s="1" t="s">
        <v>3838</v>
      </c>
      <c r="B2983" s="1" t="s">
        <v>6965</v>
      </c>
    </row>
    <row r="2984" spans="1:2" x14ac:dyDescent="0.25">
      <c r="A2984" s="1" t="s">
        <v>3839</v>
      </c>
      <c r="B2984" s="1" t="s">
        <v>6966</v>
      </c>
    </row>
    <row r="2985" spans="1:2" x14ac:dyDescent="0.25">
      <c r="A2985" s="1" t="s">
        <v>3840</v>
      </c>
      <c r="B2985" s="1" t="s">
        <v>6967</v>
      </c>
    </row>
    <row r="2986" spans="1:2" x14ac:dyDescent="0.25">
      <c r="A2986" s="1" t="s">
        <v>3841</v>
      </c>
      <c r="B2986" s="1" t="s">
        <v>6968</v>
      </c>
    </row>
    <row r="2987" spans="1:2" x14ac:dyDescent="0.25">
      <c r="A2987" s="1" t="s">
        <v>3842</v>
      </c>
      <c r="B2987" s="1" t="s">
        <v>4961</v>
      </c>
    </row>
    <row r="2988" spans="1:2" x14ac:dyDescent="0.25">
      <c r="A2988" s="1" t="s">
        <v>3843</v>
      </c>
      <c r="B2988" s="1" t="s">
        <v>6768</v>
      </c>
    </row>
    <row r="2989" spans="1:2" x14ac:dyDescent="0.25">
      <c r="A2989" s="1" t="s">
        <v>3844</v>
      </c>
      <c r="B2989" s="1" t="s">
        <v>5486</v>
      </c>
    </row>
    <row r="2990" spans="1:2" x14ac:dyDescent="0.25">
      <c r="A2990" s="1" t="s">
        <v>3845</v>
      </c>
      <c r="B2990" s="1" t="s">
        <v>6969</v>
      </c>
    </row>
    <row r="2991" spans="1:2" x14ac:dyDescent="0.25">
      <c r="A2991" s="1" t="s">
        <v>3846</v>
      </c>
      <c r="B2991" s="1" t="s">
        <v>4391</v>
      </c>
    </row>
    <row r="2992" spans="1:2" x14ac:dyDescent="0.25">
      <c r="A2992" s="1" t="s">
        <v>3847</v>
      </c>
      <c r="B2992" s="1" t="s">
        <v>6762</v>
      </c>
    </row>
    <row r="2993" spans="1:2" x14ac:dyDescent="0.25">
      <c r="A2993" s="1" t="s">
        <v>3848</v>
      </c>
      <c r="B2993" s="1" t="s">
        <v>4386</v>
      </c>
    </row>
    <row r="2994" spans="1:2" x14ac:dyDescent="0.25">
      <c r="A2994" s="1" t="s">
        <v>3849</v>
      </c>
      <c r="B2994" s="1" t="s">
        <v>6970</v>
      </c>
    </row>
    <row r="2995" spans="1:2" x14ac:dyDescent="0.25">
      <c r="A2995" s="1" t="s">
        <v>3850</v>
      </c>
      <c r="B2995" s="1" t="s">
        <v>6971</v>
      </c>
    </row>
    <row r="2996" spans="1:2" x14ac:dyDescent="0.25">
      <c r="A2996" s="1" t="s">
        <v>3851</v>
      </c>
      <c r="B2996" s="1" t="s">
        <v>5824</v>
      </c>
    </row>
    <row r="2997" spans="1:2" x14ac:dyDescent="0.25">
      <c r="A2997" s="1" t="s">
        <v>3852</v>
      </c>
      <c r="B2997" s="1" t="s">
        <v>6972</v>
      </c>
    </row>
    <row r="2998" spans="1:2" x14ac:dyDescent="0.25">
      <c r="A2998" s="1" t="s">
        <v>3853</v>
      </c>
      <c r="B2998" s="1" t="s">
        <v>4787</v>
      </c>
    </row>
    <row r="2999" spans="1:2" x14ac:dyDescent="0.25">
      <c r="A2999" s="1" t="s">
        <v>3854</v>
      </c>
      <c r="B2999" s="1" t="s">
        <v>4631</v>
      </c>
    </row>
    <row r="3000" spans="1:2" x14ac:dyDescent="0.25">
      <c r="A3000" s="1" t="s">
        <v>3855</v>
      </c>
      <c r="B3000" s="1" t="s">
        <v>6973</v>
      </c>
    </row>
    <row r="3001" spans="1:2" x14ac:dyDescent="0.25">
      <c r="A3001" s="1" t="s">
        <v>3856</v>
      </c>
      <c r="B3001" s="1" t="s">
        <v>6974</v>
      </c>
    </row>
    <row r="3002" spans="1:2" x14ac:dyDescent="0.25">
      <c r="A3002" s="1" t="s">
        <v>3857</v>
      </c>
      <c r="B3002" s="1" t="s">
        <v>6975</v>
      </c>
    </row>
    <row r="3003" spans="1:2" x14ac:dyDescent="0.25">
      <c r="A3003" s="1" t="s">
        <v>3858</v>
      </c>
      <c r="B3003" s="1" t="s">
        <v>4821</v>
      </c>
    </row>
    <row r="3004" spans="1:2" x14ac:dyDescent="0.25">
      <c r="A3004" s="1" t="s">
        <v>3859</v>
      </c>
      <c r="B3004" s="1" t="s">
        <v>5218</v>
      </c>
    </row>
    <row r="3005" spans="1:2" x14ac:dyDescent="0.25">
      <c r="A3005" s="1" t="s">
        <v>3860</v>
      </c>
      <c r="B3005" s="1" t="s">
        <v>5546</v>
      </c>
    </row>
    <row r="3006" spans="1:2" x14ac:dyDescent="0.25">
      <c r="A3006" s="1" t="s">
        <v>3861</v>
      </c>
      <c r="B3006" s="1" t="s">
        <v>6976</v>
      </c>
    </row>
    <row r="3007" spans="1:2" x14ac:dyDescent="0.25">
      <c r="A3007" s="1" t="s">
        <v>3862</v>
      </c>
      <c r="B3007" s="1" t="s">
        <v>6977</v>
      </c>
    </row>
    <row r="3008" spans="1:2" x14ac:dyDescent="0.25">
      <c r="A3008" s="1" t="s">
        <v>3863</v>
      </c>
      <c r="B3008" s="1" t="s">
        <v>6872</v>
      </c>
    </row>
    <row r="3009" spans="1:2" x14ac:dyDescent="0.25">
      <c r="A3009" s="1" t="s">
        <v>3864</v>
      </c>
      <c r="B3009" s="1" t="s">
        <v>5182</v>
      </c>
    </row>
    <row r="3010" spans="1:2" x14ac:dyDescent="0.25">
      <c r="A3010" s="1" t="s">
        <v>3865</v>
      </c>
      <c r="B3010" s="1" t="s">
        <v>6361</v>
      </c>
    </row>
    <row r="3011" spans="1:2" x14ac:dyDescent="0.25">
      <c r="A3011" s="1" t="s">
        <v>3866</v>
      </c>
      <c r="B3011" s="1" t="s">
        <v>6978</v>
      </c>
    </row>
    <row r="3012" spans="1:2" x14ac:dyDescent="0.25">
      <c r="A3012" s="1" t="s">
        <v>3867</v>
      </c>
      <c r="B3012" s="1" t="s">
        <v>6979</v>
      </c>
    </row>
    <row r="3013" spans="1:2" x14ac:dyDescent="0.25">
      <c r="A3013" s="1" t="s">
        <v>3868</v>
      </c>
      <c r="B3013" s="1" t="s">
        <v>6980</v>
      </c>
    </row>
    <row r="3014" spans="1:2" x14ac:dyDescent="0.25">
      <c r="A3014" s="1" t="s">
        <v>3869</v>
      </c>
      <c r="B3014" s="1" t="s">
        <v>5652</v>
      </c>
    </row>
    <row r="3015" spans="1:2" x14ac:dyDescent="0.25">
      <c r="A3015" s="1" t="s">
        <v>3870</v>
      </c>
      <c r="B3015" s="1" t="s">
        <v>6981</v>
      </c>
    </row>
    <row r="3016" spans="1:2" x14ac:dyDescent="0.25">
      <c r="A3016" s="1" t="s">
        <v>3871</v>
      </c>
      <c r="B3016" s="1" t="s">
        <v>6982</v>
      </c>
    </row>
    <row r="3017" spans="1:2" x14ac:dyDescent="0.25">
      <c r="A3017" s="1" t="s">
        <v>3872</v>
      </c>
      <c r="B3017" s="1" t="s">
        <v>6983</v>
      </c>
    </row>
    <row r="3018" spans="1:2" x14ac:dyDescent="0.25">
      <c r="A3018" s="1" t="s">
        <v>3873</v>
      </c>
      <c r="B3018" s="1" t="s">
        <v>4732</v>
      </c>
    </row>
    <row r="3019" spans="1:2" x14ac:dyDescent="0.25">
      <c r="A3019" s="1" t="s">
        <v>3874</v>
      </c>
      <c r="B3019" s="1" t="s">
        <v>6984</v>
      </c>
    </row>
    <row r="3020" spans="1:2" x14ac:dyDescent="0.25">
      <c r="A3020" s="1" t="s">
        <v>3875</v>
      </c>
      <c r="B3020" s="1" t="s">
        <v>6985</v>
      </c>
    </row>
    <row r="3021" spans="1:2" x14ac:dyDescent="0.25">
      <c r="A3021" s="1" t="s">
        <v>4321</v>
      </c>
      <c r="B3021" s="1" t="s">
        <v>4652</v>
      </c>
    </row>
    <row r="3022" spans="1:2" x14ac:dyDescent="0.25">
      <c r="A3022" s="1" t="s">
        <v>3876</v>
      </c>
      <c r="B3022" s="1" t="s">
        <v>4710</v>
      </c>
    </row>
    <row r="3023" spans="1:2" x14ac:dyDescent="0.25">
      <c r="A3023" s="1" t="s">
        <v>3877</v>
      </c>
      <c r="B3023" s="1" t="s">
        <v>6335</v>
      </c>
    </row>
    <row r="3024" spans="1:2" x14ac:dyDescent="0.25">
      <c r="A3024" s="1" t="s">
        <v>3878</v>
      </c>
      <c r="B3024" s="1" t="s">
        <v>4642</v>
      </c>
    </row>
    <row r="3025" spans="1:2" x14ac:dyDescent="0.25">
      <c r="A3025" s="1" t="s">
        <v>3879</v>
      </c>
      <c r="B3025" s="1" t="s">
        <v>6986</v>
      </c>
    </row>
    <row r="3026" spans="1:2" x14ac:dyDescent="0.25">
      <c r="A3026" s="1" t="s">
        <v>4363</v>
      </c>
      <c r="B3026" s="1" t="s">
        <v>6987</v>
      </c>
    </row>
    <row r="3027" spans="1:2" x14ac:dyDescent="0.25">
      <c r="A3027" s="1" t="s">
        <v>3880</v>
      </c>
      <c r="B3027" s="1" t="s">
        <v>6988</v>
      </c>
    </row>
    <row r="3028" spans="1:2" x14ac:dyDescent="0.25">
      <c r="A3028" s="1" t="s">
        <v>3881</v>
      </c>
      <c r="B3028" s="1" t="s">
        <v>4376</v>
      </c>
    </row>
    <row r="3029" spans="1:2" x14ac:dyDescent="0.25">
      <c r="A3029" s="1" t="s">
        <v>3882</v>
      </c>
      <c r="B3029" s="1" t="s">
        <v>4570</v>
      </c>
    </row>
    <row r="3030" spans="1:2" x14ac:dyDescent="0.25">
      <c r="A3030" s="1" t="s">
        <v>3883</v>
      </c>
      <c r="B3030" s="1" t="s">
        <v>6886</v>
      </c>
    </row>
    <row r="3031" spans="1:2" x14ac:dyDescent="0.25">
      <c r="A3031" s="1" t="s">
        <v>3884</v>
      </c>
      <c r="B3031" s="1" t="s">
        <v>5487</v>
      </c>
    </row>
    <row r="3032" spans="1:2" x14ac:dyDescent="0.25">
      <c r="A3032" s="1" t="s">
        <v>3885</v>
      </c>
      <c r="B3032" s="1" t="s">
        <v>5956</v>
      </c>
    </row>
    <row r="3033" spans="1:2" x14ac:dyDescent="0.25">
      <c r="A3033" s="1" t="s">
        <v>3886</v>
      </c>
      <c r="B3033" s="1" t="s">
        <v>5487</v>
      </c>
    </row>
    <row r="3034" spans="1:2" x14ac:dyDescent="0.25">
      <c r="A3034" s="1" t="s">
        <v>3887</v>
      </c>
      <c r="B3034" s="1" t="s">
        <v>5218</v>
      </c>
    </row>
    <row r="3035" spans="1:2" x14ac:dyDescent="0.25">
      <c r="A3035" s="1" t="s">
        <v>3888</v>
      </c>
      <c r="B3035" s="1" t="s">
        <v>5975</v>
      </c>
    </row>
    <row r="3036" spans="1:2" x14ac:dyDescent="0.25">
      <c r="A3036" s="1" t="s">
        <v>3889</v>
      </c>
      <c r="B3036" s="1" t="s">
        <v>6989</v>
      </c>
    </row>
    <row r="3037" spans="1:2" x14ac:dyDescent="0.25">
      <c r="A3037" s="1" t="s">
        <v>3890</v>
      </c>
      <c r="B3037" s="1" t="s">
        <v>6990</v>
      </c>
    </row>
    <row r="3038" spans="1:2" x14ac:dyDescent="0.25">
      <c r="A3038" s="1" t="s">
        <v>3891</v>
      </c>
      <c r="B3038" s="1" t="s">
        <v>4511</v>
      </c>
    </row>
    <row r="3039" spans="1:2" x14ac:dyDescent="0.25">
      <c r="A3039" s="1" t="s">
        <v>3892</v>
      </c>
      <c r="B3039" s="1" t="s">
        <v>4389</v>
      </c>
    </row>
    <row r="3040" spans="1:2" x14ac:dyDescent="0.25">
      <c r="A3040" s="1" t="s">
        <v>3893</v>
      </c>
      <c r="B3040" s="1" t="s">
        <v>4639</v>
      </c>
    </row>
    <row r="3041" spans="1:2" x14ac:dyDescent="0.25">
      <c r="A3041" s="1" t="s">
        <v>3894</v>
      </c>
      <c r="B3041" s="1" t="s">
        <v>4645</v>
      </c>
    </row>
    <row r="3042" spans="1:2" x14ac:dyDescent="0.25">
      <c r="A3042" s="1" t="s">
        <v>3895</v>
      </c>
      <c r="B3042" s="1" t="s">
        <v>6991</v>
      </c>
    </row>
    <row r="3043" spans="1:2" x14ac:dyDescent="0.25">
      <c r="A3043" s="1" t="s">
        <v>4322</v>
      </c>
      <c r="B3043" s="1" t="s">
        <v>6992</v>
      </c>
    </row>
    <row r="3044" spans="1:2" x14ac:dyDescent="0.25">
      <c r="A3044" s="1" t="s">
        <v>3896</v>
      </c>
      <c r="B3044" s="1" t="s">
        <v>6993</v>
      </c>
    </row>
    <row r="3045" spans="1:2" x14ac:dyDescent="0.25">
      <c r="A3045" s="1" t="s">
        <v>3897</v>
      </c>
      <c r="B3045" s="1" t="s">
        <v>4425</v>
      </c>
    </row>
    <row r="3046" spans="1:2" x14ac:dyDescent="0.25">
      <c r="A3046" s="1" t="s">
        <v>3898</v>
      </c>
      <c r="B3046" s="1" t="s">
        <v>6994</v>
      </c>
    </row>
    <row r="3047" spans="1:2" x14ac:dyDescent="0.25">
      <c r="A3047" s="1" t="s">
        <v>3899</v>
      </c>
      <c r="B3047" s="1" t="s">
        <v>4696</v>
      </c>
    </row>
    <row r="3048" spans="1:2" x14ac:dyDescent="0.25">
      <c r="A3048" s="1" t="s">
        <v>3900</v>
      </c>
      <c r="B3048" s="1" t="s">
        <v>4711</v>
      </c>
    </row>
    <row r="3049" spans="1:2" x14ac:dyDescent="0.25">
      <c r="A3049" s="1" t="s">
        <v>3901</v>
      </c>
      <c r="B3049" s="1" t="s">
        <v>5374</v>
      </c>
    </row>
    <row r="3050" spans="1:2" x14ac:dyDescent="0.25">
      <c r="A3050" s="1" t="s">
        <v>3902</v>
      </c>
      <c r="B3050" s="1" t="s">
        <v>6995</v>
      </c>
    </row>
    <row r="3051" spans="1:2" x14ac:dyDescent="0.25">
      <c r="A3051" s="1" t="s">
        <v>3903</v>
      </c>
      <c r="B3051" s="1" t="s">
        <v>6996</v>
      </c>
    </row>
    <row r="3052" spans="1:2" x14ac:dyDescent="0.25">
      <c r="A3052" s="1" t="s">
        <v>3904</v>
      </c>
      <c r="B3052" s="1" t="s">
        <v>5903</v>
      </c>
    </row>
    <row r="3053" spans="1:2" x14ac:dyDescent="0.25">
      <c r="A3053" s="1" t="s">
        <v>3905</v>
      </c>
      <c r="B3053" s="1" t="s">
        <v>6997</v>
      </c>
    </row>
    <row r="3054" spans="1:2" x14ac:dyDescent="0.25">
      <c r="A3054" s="1" t="s">
        <v>3906</v>
      </c>
      <c r="B3054" s="1" t="s">
        <v>6998</v>
      </c>
    </row>
    <row r="3055" spans="1:2" x14ac:dyDescent="0.25">
      <c r="A3055" s="1" t="s">
        <v>3907</v>
      </c>
      <c r="B3055" s="1" t="s">
        <v>6999</v>
      </c>
    </row>
    <row r="3056" spans="1:2" x14ac:dyDescent="0.25">
      <c r="A3056" s="1" t="s">
        <v>3908</v>
      </c>
      <c r="B3056" s="1" t="s">
        <v>4652</v>
      </c>
    </row>
    <row r="3057" spans="1:2" x14ac:dyDescent="0.25">
      <c r="A3057" s="1" t="s">
        <v>3909</v>
      </c>
      <c r="B3057" s="1" t="s">
        <v>7000</v>
      </c>
    </row>
    <row r="3058" spans="1:2" x14ac:dyDescent="0.25">
      <c r="A3058" s="1" t="s">
        <v>3910</v>
      </c>
      <c r="B3058" s="1" t="s">
        <v>7001</v>
      </c>
    </row>
    <row r="3059" spans="1:2" x14ac:dyDescent="0.25">
      <c r="A3059" s="1" t="s">
        <v>3911</v>
      </c>
      <c r="B3059" s="1" t="s">
        <v>6985</v>
      </c>
    </row>
    <row r="3060" spans="1:2" x14ac:dyDescent="0.25">
      <c r="A3060" s="1" t="s">
        <v>3912</v>
      </c>
      <c r="B3060" s="1" t="s">
        <v>4635</v>
      </c>
    </row>
    <row r="3061" spans="1:2" x14ac:dyDescent="0.25">
      <c r="A3061" s="1" t="s">
        <v>3913</v>
      </c>
      <c r="B3061" s="1" t="s">
        <v>4393</v>
      </c>
    </row>
    <row r="3062" spans="1:2" x14ac:dyDescent="0.25">
      <c r="A3062" s="1" t="s">
        <v>3914</v>
      </c>
      <c r="B3062" s="1" t="s">
        <v>7002</v>
      </c>
    </row>
    <row r="3063" spans="1:2" x14ac:dyDescent="0.25">
      <c r="A3063" s="1" t="s">
        <v>3915</v>
      </c>
      <c r="B3063" s="1" t="s">
        <v>7003</v>
      </c>
    </row>
    <row r="3064" spans="1:2" x14ac:dyDescent="0.25">
      <c r="A3064" s="1" t="s">
        <v>4323</v>
      </c>
      <c r="B3064" s="1" t="s">
        <v>4607</v>
      </c>
    </row>
    <row r="3065" spans="1:2" x14ac:dyDescent="0.25">
      <c r="A3065" s="1" t="s">
        <v>3916</v>
      </c>
      <c r="B3065" s="1" t="s">
        <v>4395</v>
      </c>
    </row>
    <row r="3066" spans="1:2" x14ac:dyDescent="0.25">
      <c r="A3066" s="1" t="s">
        <v>3917</v>
      </c>
      <c r="B3066" s="1" t="s">
        <v>7004</v>
      </c>
    </row>
    <row r="3067" spans="1:2" x14ac:dyDescent="0.25">
      <c r="A3067" s="1" t="s">
        <v>3918</v>
      </c>
      <c r="B3067" s="1" t="s">
        <v>7005</v>
      </c>
    </row>
    <row r="3068" spans="1:2" x14ac:dyDescent="0.25">
      <c r="A3068" s="1" t="s">
        <v>3919</v>
      </c>
      <c r="B3068" s="1" t="s">
        <v>7006</v>
      </c>
    </row>
    <row r="3069" spans="1:2" x14ac:dyDescent="0.25">
      <c r="A3069" s="1" t="s">
        <v>3920</v>
      </c>
      <c r="B3069" s="1" t="s">
        <v>6029</v>
      </c>
    </row>
    <row r="3070" spans="1:2" x14ac:dyDescent="0.25">
      <c r="A3070" s="1" t="s">
        <v>3921</v>
      </c>
      <c r="B3070" s="1" t="s">
        <v>7007</v>
      </c>
    </row>
    <row r="3071" spans="1:2" x14ac:dyDescent="0.25">
      <c r="A3071" s="1" t="s">
        <v>3922</v>
      </c>
      <c r="B3071" s="1" t="s">
        <v>6908</v>
      </c>
    </row>
    <row r="3072" spans="1:2" x14ac:dyDescent="0.25">
      <c r="A3072" s="1" t="s">
        <v>3923</v>
      </c>
      <c r="B3072" s="1" t="s">
        <v>7008</v>
      </c>
    </row>
    <row r="3073" spans="1:2" x14ac:dyDescent="0.25">
      <c r="A3073" s="1" t="s">
        <v>3924</v>
      </c>
      <c r="B3073" s="1" t="s">
        <v>5182</v>
      </c>
    </row>
    <row r="3074" spans="1:2" x14ac:dyDescent="0.25">
      <c r="A3074" s="1" t="s">
        <v>3925</v>
      </c>
      <c r="B3074" s="1" t="s">
        <v>7009</v>
      </c>
    </row>
    <row r="3075" spans="1:2" x14ac:dyDescent="0.25">
      <c r="A3075" s="1" t="s">
        <v>3926</v>
      </c>
      <c r="B3075" s="1" t="s">
        <v>5829</v>
      </c>
    </row>
    <row r="3076" spans="1:2" x14ac:dyDescent="0.25">
      <c r="A3076" s="1" t="s">
        <v>3927</v>
      </c>
      <c r="B3076" s="1" t="s">
        <v>7010</v>
      </c>
    </row>
    <row r="3077" spans="1:2" x14ac:dyDescent="0.25">
      <c r="A3077" s="1" t="s">
        <v>3928</v>
      </c>
      <c r="B3077" s="1" t="s">
        <v>7011</v>
      </c>
    </row>
    <row r="3078" spans="1:2" x14ac:dyDescent="0.25">
      <c r="A3078" s="1" t="s">
        <v>3929</v>
      </c>
      <c r="B3078" s="1" t="s">
        <v>7012</v>
      </c>
    </row>
    <row r="3079" spans="1:2" x14ac:dyDescent="0.25">
      <c r="A3079" s="1" t="s">
        <v>3930</v>
      </c>
      <c r="B3079" s="1" t="s">
        <v>7013</v>
      </c>
    </row>
    <row r="3080" spans="1:2" x14ac:dyDescent="0.25">
      <c r="A3080" s="1" t="s">
        <v>3931</v>
      </c>
      <c r="B3080" s="1" t="s">
        <v>7014</v>
      </c>
    </row>
    <row r="3081" spans="1:2" x14ac:dyDescent="0.25">
      <c r="A3081" s="1" t="s">
        <v>3932</v>
      </c>
      <c r="B3081" s="1" t="s">
        <v>6146</v>
      </c>
    </row>
    <row r="3082" spans="1:2" x14ac:dyDescent="0.25">
      <c r="A3082" s="1" t="s">
        <v>3933</v>
      </c>
      <c r="B3082" s="1" t="s">
        <v>4350</v>
      </c>
    </row>
    <row r="3083" spans="1:2" x14ac:dyDescent="0.25">
      <c r="A3083" s="1" t="s">
        <v>3934</v>
      </c>
      <c r="B3083" s="1" t="s">
        <v>5378</v>
      </c>
    </row>
    <row r="3084" spans="1:2" x14ac:dyDescent="0.25">
      <c r="A3084" s="1" t="s">
        <v>3935</v>
      </c>
      <c r="B3084" s="1" t="s">
        <v>7015</v>
      </c>
    </row>
    <row r="3085" spans="1:2" x14ac:dyDescent="0.25">
      <c r="A3085" s="1" t="s">
        <v>3936</v>
      </c>
      <c r="B3085" s="1" t="s">
        <v>6764</v>
      </c>
    </row>
    <row r="3086" spans="1:2" x14ac:dyDescent="0.25">
      <c r="A3086" s="1" t="s">
        <v>3937</v>
      </c>
      <c r="B3086" s="1" t="s">
        <v>4712</v>
      </c>
    </row>
    <row r="3087" spans="1:2" x14ac:dyDescent="0.25">
      <c r="A3087" s="1" t="s">
        <v>3938</v>
      </c>
      <c r="B3087" s="1" t="s">
        <v>5218</v>
      </c>
    </row>
    <row r="3088" spans="1:2" x14ac:dyDescent="0.25">
      <c r="A3088" s="1" t="s">
        <v>3939</v>
      </c>
      <c r="B3088" s="1" t="s">
        <v>7016</v>
      </c>
    </row>
    <row r="3089" spans="1:2" x14ac:dyDescent="0.25">
      <c r="A3089" s="1" t="s">
        <v>3940</v>
      </c>
      <c r="B3089" s="1" t="s">
        <v>5252</v>
      </c>
    </row>
    <row r="3090" spans="1:2" x14ac:dyDescent="0.25">
      <c r="A3090" s="1" t="s">
        <v>3941</v>
      </c>
      <c r="B3090" s="1" t="s">
        <v>5672</v>
      </c>
    </row>
    <row r="3091" spans="1:2" x14ac:dyDescent="0.25">
      <c r="A3091" s="1" t="s">
        <v>3942</v>
      </c>
      <c r="B3091" s="1" t="s">
        <v>7017</v>
      </c>
    </row>
    <row r="3092" spans="1:2" x14ac:dyDescent="0.25">
      <c r="A3092" s="1" t="s">
        <v>3943</v>
      </c>
      <c r="B3092" s="1" t="s">
        <v>5836</v>
      </c>
    </row>
    <row r="3093" spans="1:2" x14ac:dyDescent="0.25">
      <c r="A3093" s="1" t="s">
        <v>3944</v>
      </c>
      <c r="B3093" s="1" t="s">
        <v>4800</v>
      </c>
    </row>
    <row r="3094" spans="1:2" x14ac:dyDescent="0.25">
      <c r="A3094" s="1" t="s">
        <v>3945</v>
      </c>
      <c r="B3094" s="1" t="s">
        <v>7018</v>
      </c>
    </row>
    <row r="3095" spans="1:2" x14ac:dyDescent="0.25">
      <c r="A3095" s="1" t="s">
        <v>3946</v>
      </c>
      <c r="B3095" s="1" t="s">
        <v>5259</v>
      </c>
    </row>
    <row r="3096" spans="1:2" x14ac:dyDescent="0.25">
      <c r="A3096" s="1" t="s">
        <v>3947</v>
      </c>
      <c r="B3096" s="1" t="s">
        <v>4894</v>
      </c>
    </row>
    <row r="3097" spans="1:2" x14ac:dyDescent="0.25">
      <c r="A3097" s="1" t="s">
        <v>3948</v>
      </c>
      <c r="B3097" s="1" t="s">
        <v>7019</v>
      </c>
    </row>
    <row r="3098" spans="1:2" x14ac:dyDescent="0.25">
      <c r="A3098" s="1" t="s">
        <v>3949</v>
      </c>
      <c r="B3098" s="1" t="s">
        <v>7020</v>
      </c>
    </row>
    <row r="3099" spans="1:2" x14ac:dyDescent="0.25">
      <c r="A3099" s="1" t="s">
        <v>3950</v>
      </c>
      <c r="B3099" s="1" t="s">
        <v>7021</v>
      </c>
    </row>
    <row r="3100" spans="1:2" x14ac:dyDescent="0.25">
      <c r="A3100" s="1" t="s">
        <v>3951</v>
      </c>
      <c r="B3100" s="1" t="s">
        <v>4388</v>
      </c>
    </row>
    <row r="3101" spans="1:2" x14ac:dyDescent="0.25">
      <c r="A3101" s="1" t="s">
        <v>3952</v>
      </c>
      <c r="B3101" s="1" t="s">
        <v>7022</v>
      </c>
    </row>
    <row r="3102" spans="1:2" x14ac:dyDescent="0.25">
      <c r="A3102" s="1" t="s">
        <v>3953</v>
      </c>
      <c r="B3102" s="1" t="s">
        <v>7023</v>
      </c>
    </row>
    <row r="3103" spans="1:2" x14ac:dyDescent="0.25">
      <c r="A3103" s="1" t="s">
        <v>3954</v>
      </c>
      <c r="B3103" s="1" t="s">
        <v>7024</v>
      </c>
    </row>
    <row r="3104" spans="1:2" x14ac:dyDescent="0.25">
      <c r="A3104" s="1" t="s">
        <v>3955</v>
      </c>
      <c r="B3104" s="1" t="s">
        <v>6649</v>
      </c>
    </row>
    <row r="3105" spans="1:2" x14ac:dyDescent="0.25">
      <c r="A3105" s="1" t="s">
        <v>3956</v>
      </c>
      <c r="B3105" s="1" t="s">
        <v>5303</v>
      </c>
    </row>
    <row r="3106" spans="1:2" x14ac:dyDescent="0.25">
      <c r="A3106" s="1" t="s">
        <v>3957</v>
      </c>
      <c r="B3106" s="1" t="s">
        <v>5195</v>
      </c>
    </row>
    <row r="3107" spans="1:2" x14ac:dyDescent="0.25">
      <c r="A3107" s="1" t="s">
        <v>3958</v>
      </c>
      <c r="B3107" s="1" t="s">
        <v>7025</v>
      </c>
    </row>
    <row r="3108" spans="1:2" x14ac:dyDescent="0.25">
      <c r="A3108" s="1" t="s">
        <v>3959</v>
      </c>
      <c r="B3108" s="1" t="s">
        <v>7026</v>
      </c>
    </row>
    <row r="3109" spans="1:2" x14ac:dyDescent="0.25">
      <c r="A3109" s="1" t="s">
        <v>3960</v>
      </c>
      <c r="B3109" s="1" t="s">
        <v>5870</v>
      </c>
    </row>
    <row r="3110" spans="1:2" x14ac:dyDescent="0.25">
      <c r="A3110" s="1" t="s">
        <v>3961</v>
      </c>
      <c r="B3110" s="1" t="s">
        <v>7027</v>
      </c>
    </row>
    <row r="3111" spans="1:2" x14ac:dyDescent="0.25">
      <c r="A3111" s="1" t="s">
        <v>3962</v>
      </c>
      <c r="B3111" s="1" t="s">
        <v>7028</v>
      </c>
    </row>
    <row r="3112" spans="1:2" x14ac:dyDescent="0.25">
      <c r="A3112" s="1" t="s">
        <v>3963</v>
      </c>
      <c r="B3112" s="1" t="s">
        <v>6620</v>
      </c>
    </row>
    <row r="3113" spans="1:2" x14ac:dyDescent="0.25">
      <c r="A3113" s="1" t="s">
        <v>3964</v>
      </c>
      <c r="B3113" s="1" t="s">
        <v>7029</v>
      </c>
    </row>
    <row r="3114" spans="1:2" x14ac:dyDescent="0.25">
      <c r="A3114" s="1" t="s">
        <v>3965</v>
      </c>
      <c r="B3114" s="1" t="s">
        <v>7030</v>
      </c>
    </row>
    <row r="3115" spans="1:2" x14ac:dyDescent="0.25">
      <c r="A3115" s="1" t="s">
        <v>3966</v>
      </c>
      <c r="B3115" s="1" t="s">
        <v>5234</v>
      </c>
    </row>
    <row r="3116" spans="1:2" x14ac:dyDescent="0.25">
      <c r="A3116" s="1" t="s">
        <v>3967</v>
      </c>
      <c r="B3116" s="1" t="s">
        <v>7031</v>
      </c>
    </row>
    <row r="3117" spans="1:2" x14ac:dyDescent="0.25">
      <c r="A3117" s="1" t="s">
        <v>3968</v>
      </c>
      <c r="B3117" s="1" t="s">
        <v>7032</v>
      </c>
    </row>
    <row r="3118" spans="1:2" x14ac:dyDescent="0.25">
      <c r="A3118" s="1" t="s">
        <v>3969</v>
      </c>
      <c r="B3118" s="1" t="s">
        <v>4808</v>
      </c>
    </row>
    <row r="3119" spans="1:2" x14ac:dyDescent="0.25">
      <c r="A3119" s="1" t="s">
        <v>3970</v>
      </c>
      <c r="B3119" s="1" t="s">
        <v>7033</v>
      </c>
    </row>
    <row r="3120" spans="1:2" x14ac:dyDescent="0.25">
      <c r="A3120" s="1" t="s">
        <v>3971</v>
      </c>
      <c r="B3120" s="1" t="s">
        <v>7034</v>
      </c>
    </row>
    <row r="3121" spans="1:2" x14ac:dyDescent="0.25">
      <c r="A3121" s="1" t="s">
        <v>3972</v>
      </c>
      <c r="B3121" s="1" t="s">
        <v>7035</v>
      </c>
    </row>
    <row r="3122" spans="1:2" x14ac:dyDescent="0.25">
      <c r="A3122" s="1" t="s">
        <v>3973</v>
      </c>
      <c r="B3122" s="1" t="s">
        <v>7036</v>
      </c>
    </row>
    <row r="3123" spans="1:2" x14ac:dyDescent="0.25">
      <c r="A3123" s="1" t="s">
        <v>3974</v>
      </c>
      <c r="B3123" s="1" t="s">
        <v>6119</v>
      </c>
    </row>
    <row r="3124" spans="1:2" x14ac:dyDescent="0.25">
      <c r="A3124" s="1" t="s">
        <v>3975</v>
      </c>
      <c r="B3124" s="1" t="s">
        <v>4714</v>
      </c>
    </row>
    <row r="3125" spans="1:2" x14ac:dyDescent="0.25">
      <c r="A3125" s="1" t="s">
        <v>3976</v>
      </c>
      <c r="B3125" s="1" t="s">
        <v>4834</v>
      </c>
    </row>
    <row r="3126" spans="1:2" x14ac:dyDescent="0.25">
      <c r="A3126" s="1" t="s">
        <v>3977</v>
      </c>
      <c r="B3126" s="1" t="s">
        <v>7037</v>
      </c>
    </row>
    <row r="3127" spans="1:2" x14ac:dyDescent="0.25">
      <c r="A3127" s="1" t="s">
        <v>3978</v>
      </c>
      <c r="B3127" s="1" t="s">
        <v>6197</v>
      </c>
    </row>
    <row r="3128" spans="1:2" x14ac:dyDescent="0.25">
      <c r="A3128" s="1" t="s">
        <v>3979</v>
      </c>
      <c r="B3128" s="1" t="s">
        <v>7038</v>
      </c>
    </row>
    <row r="3129" spans="1:2" x14ac:dyDescent="0.25">
      <c r="A3129" s="1" t="s">
        <v>3980</v>
      </c>
      <c r="B3129" s="1" t="s">
        <v>7039</v>
      </c>
    </row>
    <row r="3130" spans="1:2" x14ac:dyDescent="0.25">
      <c r="A3130" s="1" t="s">
        <v>3981</v>
      </c>
      <c r="B3130" s="1" t="s">
        <v>7040</v>
      </c>
    </row>
    <row r="3131" spans="1:2" x14ac:dyDescent="0.25">
      <c r="A3131" s="1" t="s">
        <v>3982</v>
      </c>
      <c r="B3131" s="1" t="s">
        <v>7041</v>
      </c>
    </row>
    <row r="3132" spans="1:2" x14ac:dyDescent="0.25">
      <c r="A3132" s="1" t="s">
        <v>3983</v>
      </c>
      <c r="B3132" s="1" t="s">
        <v>6141</v>
      </c>
    </row>
    <row r="3133" spans="1:2" x14ac:dyDescent="0.25">
      <c r="A3133" s="1" t="s">
        <v>3984</v>
      </c>
      <c r="B3133" s="1" t="s">
        <v>7042</v>
      </c>
    </row>
    <row r="3134" spans="1:2" x14ac:dyDescent="0.25">
      <c r="A3134" s="1" t="s">
        <v>3985</v>
      </c>
      <c r="B3134" s="1" t="s">
        <v>4792</v>
      </c>
    </row>
    <row r="3135" spans="1:2" x14ac:dyDescent="0.25">
      <c r="A3135" s="1" t="s">
        <v>3986</v>
      </c>
      <c r="B3135" s="1" t="s">
        <v>4877</v>
      </c>
    </row>
    <row r="3136" spans="1:2" x14ac:dyDescent="0.25">
      <c r="A3136" s="1" t="s">
        <v>3987</v>
      </c>
      <c r="B3136" s="1" t="s">
        <v>7043</v>
      </c>
    </row>
    <row r="3137" spans="1:2" x14ac:dyDescent="0.25">
      <c r="A3137" s="1" t="s">
        <v>3988</v>
      </c>
      <c r="B3137" s="1" t="s">
        <v>4717</v>
      </c>
    </row>
    <row r="3138" spans="1:2" x14ac:dyDescent="0.25">
      <c r="A3138" s="1" t="s">
        <v>3989</v>
      </c>
      <c r="B3138" s="1" t="s">
        <v>7044</v>
      </c>
    </row>
    <row r="3139" spans="1:2" x14ac:dyDescent="0.25">
      <c r="A3139" s="1" t="s">
        <v>3990</v>
      </c>
      <c r="B3139" s="1" t="s">
        <v>7045</v>
      </c>
    </row>
    <row r="3140" spans="1:2" x14ac:dyDescent="0.25">
      <c r="A3140" s="1" t="s">
        <v>3991</v>
      </c>
      <c r="B3140" s="1" t="s">
        <v>7046</v>
      </c>
    </row>
    <row r="3141" spans="1:2" x14ac:dyDescent="0.25">
      <c r="A3141" s="1" t="s">
        <v>3992</v>
      </c>
      <c r="B3141" s="1" t="s">
        <v>4917</v>
      </c>
    </row>
    <row r="3142" spans="1:2" x14ac:dyDescent="0.25">
      <c r="A3142" s="1" t="s">
        <v>3993</v>
      </c>
      <c r="B3142" s="1" t="s">
        <v>7047</v>
      </c>
    </row>
    <row r="3143" spans="1:2" x14ac:dyDescent="0.25">
      <c r="A3143" s="1" t="s">
        <v>3994</v>
      </c>
      <c r="B3143" s="1" t="s">
        <v>7048</v>
      </c>
    </row>
    <row r="3144" spans="1:2" x14ac:dyDescent="0.25">
      <c r="A3144" s="1" t="s">
        <v>3995</v>
      </c>
      <c r="B3144" s="1" t="s">
        <v>4799</v>
      </c>
    </row>
    <row r="3145" spans="1:2" x14ac:dyDescent="0.25">
      <c r="A3145" s="1" t="s">
        <v>3996</v>
      </c>
      <c r="B3145" s="1" t="s">
        <v>4821</v>
      </c>
    </row>
    <row r="3146" spans="1:2" x14ac:dyDescent="0.25">
      <c r="A3146" s="1" t="s">
        <v>3997</v>
      </c>
      <c r="B3146" s="1" t="s">
        <v>7049</v>
      </c>
    </row>
    <row r="3147" spans="1:2" x14ac:dyDescent="0.25">
      <c r="A3147" s="1" t="s">
        <v>3998</v>
      </c>
      <c r="B3147" s="1" t="s">
        <v>4703</v>
      </c>
    </row>
    <row r="3148" spans="1:2" x14ac:dyDescent="0.25">
      <c r="A3148" s="1" t="s">
        <v>3999</v>
      </c>
      <c r="B3148" s="1" t="s">
        <v>7050</v>
      </c>
    </row>
    <row r="3149" spans="1:2" x14ac:dyDescent="0.25">
      <c r="A3149" s="1" t="s">
        <v>4000</v>
      </c>
      <c r="B3149" s="1" t="s">
        <v>7051</v>
      </c>
    </row>
    <row r="3150" spans="1:2" x14ac:dyDescent="0.25">
      <c r="A3150" s="1" t="s">
        <v>4001</v>
      </c>
      <c r="B3150" s="1" t="s">
        <v>4595</v>
      </c>
    </row>
    <row r="3151" spans="1:2" x14ac:dyDescent="0.25">
      <c r="A3151" s="1" t="s">
        <v>4002</v>
      </c>
      <c r="B3151" s="1" t="s">
        <v>7052</v>
      </c>
    </row>
    <row r="3152" spans="1:2" x14ac:dyDescent="0.25">
      <c r="A3152" s="1" t="s">
        <v>4003</v>
      </c>
      <c r="B3152" s="1" t="s">
        <v>7053</v>
      </c>
    </row>
    <row r="3153" spans="1:2" x14ac:dyDescent="0.25">
      <c r="A3153" s="1" t="s">
        <v>4004</v>
      </c>
      <c r="B3153" s="1" t="s">
        <v>5378</v>
      </c>
    </row>
    <row r="3154" spans="1:2" x14ac:dyDescent="0.25">
      <c r="A3154" s="1" t="s">
        <v>4005</v>
      </c>
      <c r="B3154" s="1" t="s">
        <v>7054</v>
      </c>
    </row>
    <row r="3155" spans="1:2" x14ac:dyDescent="0.25">
      <c r="A3155" s="1" t="s">
        <v>4006</v>
      </c>
      <c r="B3155" s="1" t="s">
        <v>4898</v>
      </c>
    </row>
    <row r="3156" spans="1:2" x14ac:dyDescent="0.25">
      <c r="A3156" s="1" t="s">
        <v>4007</v>
      </c>
      <c r="B3156" s="1" t="s">
        <v>6078</v>
      </c>
    </row>
    <row r="3157" spans="1:2" x14ac:dyDescent="0.25">
      <c r="A3157" s="1" t="s">
        <v>4008</v>
      </c>
      <c r="B3157" s="1" t="s">
        <v>4812</v>
      </c>
    </row>
    <row r="3158" spans="1:2" x14ac:dyDescent="0.25">
      <c r="A3158" s="1" t="s">
        <v>4009</v>
      </c>
      <c r="B3158" s="1" t="s">
        <v>7055</v>
      </c>
    </row>
    <row r="3159" spans="1:2" x14ac:dyDescent="0.25">
      <c r="A3159" s="1" t="s">
        <v>4010</v>
      </c>
      <c r="B3159" s="1" t="s">
        <v>7056</v>
      </c>
    </row>
    <row r="3160" spans="1:2" x14ac:dyDescent="0.25">
      <c r="A3160" s="1" t="s">
        <v>4011</v>
      </c>
      <c r="B3160" s="1" t="s">
        <v>7057</v>
      </c>
    </row>
    <row r="3161" spans="1:2" x14ac:dyDescent="0.25">
      <c r="A3161" s="1" t="s">
        <v>4012</v>
      </c>
      <c r="B3161" s="1" t="s">
        <v>4350</v>
      </c>
    </row>
    <row r="3162" spans="1:2" x14ac:dyDescent="0.25">
      <c r="A3162" s="1" t="s">
        <v>4013</v>
      </c>
      <c r="B3162" s="1" t="s">
        <v>7058</v>
      </c>
    </row>
    <row r="3163" spans="1:2" x14ac:dyDescent="0.25">
      <c r="A3163" s="1" t="s">
        <v>4014</v>
      </c>
      <c r="B3163" s="1" t="s">
        <v>7059</v>
      </c>
    </row>
    <row r="3164" spans="1:2" x14ac:dyDescent="0.25">
      <c r="A3164" s="1" t="s">
        <v>4015</v>
      </c>
      <c r="B3164" s="1" t="s">
        <v>7060</v>
      </c>
    </row>
    <row r="3165" spans="1:2" x14ac:dyDescent="0.25">
      <c r="A3165" s="1" t="s">
        <v>4016</v>
      </c>
      <c r="B3165" s="1" t="s">
        <v>4804</v>
      </c>
    </row>
    <row r="3166" spans="1:2" x14ac:dyDescent="0.25">
      <c r="A3166" s="1" t="s">
        <v>4017</v>
      </c>
      <c r="B3166" s="1" t="s">
        <v>5689</v>
      </c>
    </row>
    <row r="3167" spans="1:2" x14ac:dyDescent="0.25">
      <c r="A3167" s="1" t="s">
        <v>4018</v>
      </c>
      <c r="B3167" s="1" t="s">
        <v>7061</v>
      </c>
    </row>
    <row r="3168" spans="1:2" x14ac:dyDescent="0.25">
      <c r="A3168" s="1" t="s">
        <v>4019</v>
      </c>
      <c r="B3168" s="1" t="s">
        <v>6119</v>
      </c>
    </row>
    <row r="3169" spans="1:2" x14ac:dyDescent="0.25">
      <c r="A3169" s="1" t="s">
        <v>4020</v>
      </c>
      <c r="B3169" s="1" t="s">
        <v>6187</v>
      </c>
    </row>
    <row r="3170" spans="1:2" x14ac:dyDescent="0.25">
      <c r="A3170" s="1" t="s">
        <v>4337</v>
      </c>
      <c r="B3170" s="1" t="s">
        <v>4687</v>
      </c>
    </row>
    <row r="3171" spans="1:2" x14ac:dyDescent="0.25">
      <c r="A3171" s="1" t="s">
        <v>4021</v>
      </c>
      <c r="B3171" s="1" t="s">
        <v>7062</v>
      </c>
    </row>
    <row r="3172" spans="1:2" x14ac:dyDescent="0.25">
      <c r="A3172" s="1" t="s">
        <v>4022</v>
      </c>
      <c r="B3172" s="1" t="s">
        <v>5293</v>
      </c>
    </row>
    <row r="3173" spans="1:2" x14ac:dyDescent="0.25">
      <c r="A3173" s="1" t="s">
        <v>4023</v>
      </c>
      <c r="B3173" s="1" t="s">
        <v>4809</v>
      </c>
    </row>
    <row r="3174" spans="1:2" x14ac:dyDescent="0.25">
      <c r="A3174" s="1" t="s">
        <v>4024</v>
      </c>
      <c r="B3174" s="1" t="s">
        <v>4531</v>
      </c>
    </row>
    <row r="3175" spans="1:2" x14ac:dyDescent="0.25">
      <c r="A3175" s="1" t="s">
        <v>4025</v>
      </c>
      <c r="B3175" s="1" t="s">
        <v>4416</v>
      </c>
    </row>
    <row r="3176" spans="1:2" x14ac:dyDescent="0.25">
      <c r="A3176" s="1" t="s">
        <v>4026</v>
      </c>
      <c r="B3176" s="1" t="s">
        <v>7063</v>
      </c>
    </row>
    <row r="3177" spans="1:2" x14ac:dyDescent="0.25">
      <c r="A3177" s="1" t="s">
        <v>4027</v>
      </c>
      <c r="B3177" s="1" t="s">
        <v>4661</v>
      </c>
    </row>
    <row r="3178" spans="1:2" x14ac:dyDescent="0.25">
      <c r="A3178" s="1" t="s">
        <v>4028</v>
      </c>
      <c r="B3178" s="1" t="s">
        <v>7064</v>
      </c>
    </row>
    <row r="3179" spans="1:2" x14ac:dyDescent="0.25">
      <c r="A3179" s="1" t="s">
        <v>4029</v>
      </c>
      <c r="B3179" s="1" t="s">
        <v>7065</v>
      </c>
    </row>
    <row r="3180" spans="1:2" x14ac:dyDescent="0.25">
      <c r="A3180" s="1" t="s">
        <v>4030</v>
      </c>
      <c r="B3180" s="1" t="s">
        <v>7066</v>
      </c>
    </row>
    <row r="3181" spans="1:2" x14ac:dyDescent="0.25">
      <c r="A3181" s="1" t="s">
        <v>4031</v>
      </c>
      <c r="B3181" s="1" t="s">
        <v>4728</v>
      </c>
    </row>
    <row r="3182" spans="1:2" x14ac:dyDescent="0.25">
      <c r="A3182" s="1" t="s">
        <v>4032</v>
      </c>
      <c r="B3182" s="1" t="s">
        <v>7067</v>
      </c>
    </row>
    <row r="3183" spans="1:2" x14ac:dyDescent="0.25">
      <c r="A3183" s="1" t="s">
        <v>4033</v>
      </c>
      <c r="B3183" s="1" t="s">
        <v>6592</v>
      </c>
    </row>
    <row r="3184" spans="1:2" x14ac:dyDescent="0.25">
      <c r="A3184" s="1" t="s">
        <v>4034</v>
      </c>
      <c r="B3184" s="1" t="s">
        <v>7068</v>
      </c>
    </row>
    <row r="3185" spans="1:2" x14ac:dyDescent="0.25">
      <c r="A3185" s="1" t="s">
        <v>4035</v>
      </c>
      <c r="B3185" s="1" t="s">
        <v>7069</v>
      </c>
    </row>
    <row r="3186" spans="1:2" x14ac:dyDescent="0.25">
      <c r="A3186" s="1" t="s">
        <v>4036</v>
      </c>
      <c r="B3186" s="1" t="s">
        <v>7070</v>
      </c>
    </row>
    <row r="3187" spans="1:2" x14ac:dyDescent="0.25">
      <c r="A3187" s="1" t="s">
        <v>4037</v>
      </c>
      <c r="B3187" s="1" t="s">
        <v>4549</v>
      </c>
    </row>
    <row r="3188" spans="1:2" x14ac:dyDescent="0.25">
      <c r="A3188" s="1" t="s">
        <v>4038</v>
      </c>
      <c r="B3188" s="1" t="s">
        <v>4893</v>
      </c>
    </row>
    <row r="3189" spans="1:2" x14ac:dyDescent="0.25">
      <c r="A3189" s="1" t="s">
        <v>4039</v>
      </c>
      <c r="B3189" s="1" t="s">
        <v>6348</v>
      </c>
    </row>
    <row r="3190" spans="1:2" x14ac:dyDescent="0.25">
      <c r="A3190" s="1" t="s">
        <v>4040</v>
      </c>
      <c r="B3190" s="1" t="s">
        <v>5413</v>
      </c>
    </row>
    <row r="3191" spans="1:2" x14ac:dyDescent="0.25">
      <c r="A3191" s="1" t="s">
        <v>4041</v>
      </c>
      <c r="B3191" s="1" t="s">
        <v>7071</v>
      </c>
    </row>
    <row r="3192" spans="1:2" x14ac:dyDescent="0.25">
      <c r="A3192" s="1" t="s">
        <v>4279</v>
      </c>
      <c r="B3192" s="1" t="s">
        <v>4716</v>
      </c>
    </row>
    <row r="3193" spans="1:2" x14ac:dyDescent="0.25">
      <c r="A3193" s="1" t="s">
        <v>4042</v>
      </c>
      <c r="B3193" s="1" t="s">
        <v>7072</v>
      </c>
    </row>
    <row r="3194" spans="1:2" x14ac:dyDescent="0.25">
      <c r="A3194" s="1" t="s">
        <v>4043</v>
      </c>
      <c r="B3194" s="1" t="s">
        <v>6725</v>
      </c>
    </row>
    <row r="3195" spans="1:2" x14ac:dyDescent="0.25">
      <c r="A3195" s="1" t="s">
        <v>4044</v>
      </c>
      <c r="B3195" s="1" t="s">
        <v>7073</v>
      </c>
    </row>
    <row r="3196" spans="1:2" x14ac:dyDescent="0.25">
      <c r="A3196" s="1" t="s">
        <v>4045</v>
      </c>
      <c r="B3196" s="1" t="s">
        <v>5441</v>
      </c>
    </row>
    <row r="3197" spans="1:2" x14ac:dyDescent="0.25">
      <c r="A3197" s="1" t="s">
        <v>4046</v>
      </c>
      <c r="B3197" s="1" t="s">
        <v>5867</v>
      </c>
    </row>
    <row r="3198" spans="1:2" x14ac:dyDescent="0.25">
      <c r="A3198" s="1" t="s">
        <v>4047</v>
      </c>
      <c r="B3198" s="1" t="s">
        <v>7074</v>
      </c>
    </row>
    <row r="3199" spans="1:2" x14ac:dyDescent="0.25">
      <c r="A3199" s="1" t="s">
        <v>4048</v>
      </c>
      <c r="B3199" s="1" t="s">
        <v>7075</v>
      </c>
    </row>
    <row r="3200" spans="1:2" x14ac:dyDescent="0.25">
      <c r="A3200" s="1" t="s">
        <v>4049</v>
      </c>
      <c r="B3200" s="1" t="s">
        <v>4571</v>
      </c>
    </row>
    <row r="3201" spans="1:2" x14ac:dyDescent="0.25">
      <c r="A3201" s="1" t="s">
        <v>4050</v>
      </c>
      <c r="B3201" s="1" t="s">
        <v>7076</v>
      </c>
    </row>
    <row r="3202" spans="1:2" x14ac:dyDescent="0.25">
      <c r="A3202" s="1" t="s">
        <v>4051</v>
      </c>
      <c r="B3202" s="1" t="s">
        <v>4583</v>
      </c>
    </row>
    <row r="3203" spans="1:2" x14ac:dyDescent="0.25">
      <c r="A3203" s="1" t="s">
        <v>4052</v>
      </c>
      <c r="B3203" s="1" t="s">
        <v>7077</v>
      </c>
    </row>
    <row r="3204" spans="1:2" x14ac:dyDescent="0.25">
      <c r="A3204" s="1" t="s">
        <v>4053</v>
      </c>
      <c r="B3204" s="1" t="s">
        <v>5310</v>
      </c>
    </row>
    <row r="3205" spans="1:2" x14ac:dyDescent="0.25">
      <c r="A3205" s="1" t="s">
        <v>4054</v>
      </c>
      <c r="B3205" s="1" t="s">
        <v>4872</v>
      </c>
    </row>
    <row r="3206" spans="1:2" x14ac:dyDescent="0.25">
      <c r="A3206" s="1" t="s">
        <v>4055</v>
      </c>
      <c r="B3206" s="1" t="s">
        <v>7078</v>
      </c>
    </row>
    <row r="3207" spans="1:2" x14ac:dyDescent="0.25">
      <c r="A3207" s="1" t="s">
        <v>4056</v>
      </c>
      <c r="B3207" s="1" t="s">
        <v>7079</v>
      </c>
    </row>
    <row r="3208" spans="1:2" x14ac:dyDescent="0.25">
      <c r="A3208" s="1" t="s">
        <v>4057</v>
      </c>
      <c r="B3208" s="1" t="s">
        <v>5669</v>
      </c>
    </row>
    <row r="3209" spans="1:2" x14ac:dyDescent="0.25">
      <c r="A3209" s="1" t="s">
        <v>4058</v>
      </c>
      <c r="B3209" s="1" t="s">
        <v>5701</v>
      </c>
    </row>
    <row r="3210" spans="1:2" x14ac:dyDescent="0.25">
      <c r="A3210" s="1" t="s">
        <v>4059</v>
      </c>
      <c r="B3210" s="1" t="s">
        <v>7080</v>
      </c>
    </row>
    <row r="3211" spans="1:2" x14ac:dyDescent="0.25">
      <c r="A3211" s="1" t="s">
        <v>4060</v>
      </c>
      <c r="B3211" s="1" t="s">
        <v>7081</v>
      </c>
    </row>
    <row r="3212" spans="1:2" x14ac:dyDescent="0.25">
      <c r="A3212" s="1" t="s">
        <v>4061</v>
      </c>
      <c r="B3212" s="1" t="s">
        <v>5182</v>
      </c>
    </row>
    <row r="3213" spans="1:2" x14ac:dyDescent="0.25">
      <c r="A3213" s="1" t="s">
        <v>4062</v>
      </c>
      <c r="B3213" s="1" t="s">
        <v>4775</v>
      </c>
    </row>
    <row r="3214" spans="1:2" x14ac:dyDescent="0.25">
      <c r="A3214" s="1" t="s">
        <v>4063</v>
      </c>
      <c r="B3214" s="1" t="s">
        <v>4799</v>
      </c>
    </row>
    <row r="3215" spans="1:2" x14ac:dyDescent="0.25">
      <c r="A3215" s="1" t="s">
        <v>4064</v>
      </c>
      <c r="B3215" s="1" t="s">
        <v>7082</v>
      </c>
    </row>
    <row r="3216" spans="1:2" x14ac:dyDescent="0.25">
      <c r="A3216" s="1" t="s">
        <v>4065</v>
      </c>
      <c r="B3216" s="1" t="s">
        <v>7083</v>
      </c>
    </row>
    <row r="3217" spans="1:2" x14ac:dyDescent="0.25">
      <c r="A3217" s="1" t="s">
        <v>4066</v>
      </c>
      <c r="B3217" s="1" t="s">
        <v>5333</v>
      </c>
    </row>
    <row r="3218" spans="1:2" x14ac:dyDescent="0.25">
      <c r="A3218" s="1" t="s">
        <v>4067</v>
      </c>
      <c r="B3218" s="1" t="s">
        <v>7065</v>
      </c>
    </row>
    <row r="3219" spans="1:2" x14ac:dyDescent="0.25">
      <c r="A3219" s="1" t="s">
        <v>4068</v>
      </c>
      <c r="B3219" s="1" t="s">
        <v>7084</v>
      </c>
    </row>
    <row r="3220" spans="1:2" x14ac:dyDescent="0.25">
      <c r="A3220" s="1" t="s">
        <v>4069</v>
      </c>
      <c r="B3220" s="1" t="s">
        <v>7085</v>
      </c>
    </row>
    <row r="3221" spans="1:2" x14ac:dyDescent="0.25">
      <c r="A3221" s="1" t="s">
        <v>4288</v>
      </c>
      <c r="B3221" s="1" t="s">
        <v>6078</v>
      </c>
    </row>
    <row r="3222" spans="1:2" x14ac:dyDescent="0.25">
      <c r="A3222" s="1" t="s">
        <v>4070</v>
      </c>
      <c r="B3222" s="1" t="s">
        <v>7086</v>
      </c>
    </row>
    <row r="3223" spans="1:2" x14ac:dyDescent="0.25">
      <c r="A3223" s="1" t="s">
        <v>4071</v>
      </c>
      <c r="B3223" s="1" t="s">
        <v>6638</v>
      </c>
    </row>
    <row r="3224" spans="1:2" x14ac:dyDescent="0.25">
      <c r="A3224" s="1" t="s">
        <v>4072</v>
      </c>
      <c r="B3224" s="1" t="s">
        <v>4382</v>
      </c>
    </row>
    <row r="3225" spans="1:2" x14ac:dyDescent="0.25">
      <c r="A3225" s="1" t="s">
        <v>4073</v>
      </c>
      <c r="B3225" s="1" t="s">
        <v>4814</v>
      </c>
    </row>
    <row r="3226" spans="1:2" x14ac:dyDescent="0.25">
      <c r="A3226" s="1" t="s">
        <v>4074</v>
      </c>
      <c r="B3226" s="1" t="s">
        <v>4786</v>
      </c>
    </row>
    <row r="3227" spans="1:2" x14ac:dyDescent="0.25">
      <c r="A3227" s="1" t="s">
        <v>4075</v>
      </c>
      <c r="B3227" s="1" t="s">
        <v>7087</v>
      </c>
    </row>
    <row r="3228" spans="1:2" x14ac:dyDescent="0.25">
      <c r="A3228" s="1" t="s">
        <v>4076</v>
      </c>
      <c r="B3228" s="1" t="s">
        <v>7088</v>
      </c>
    </row>
    <row r="3229" spans="1:2" x14ac:dyDescent="0.25">
      <c r="A3229" s="1" t="s">
        <v>4077</v>
      </c>
      <c r="B3229" s="1" t="s">
        <v>4668</v>
      </c>
    </row>
    <row r="3230" spans="1:2" x14ac:dyDescent="0.25">
      <c r="A3230" s="1" t="s">
        <v>4078</v>
      </c>
      <c r="B3230" s="1" t="s">
        <v>7089</v>
      </c>
    </row>
    <row r="3231" spans="1:2" x14ac:dyDescent="0.25">
      <c r="A3231" s="1" t="s">
        <v>4079</v>
      </c>
      <c r="B3231" s="1" t="s">
        <v>7090</v>
      </c>
    </row>
    <row r="3232" spans="1:2" x14ac:dyDescent="0.25">
      <c r="A3232" s="1" t="s">
        <v>4080</v>
      </c>
      <c r="B3232" s="1" t="s">
        <v>7091</v>
      </c>
    </row>
    <row r="3233" spans="1:2" x14ac:dyDescent="0.25">
      <c r="A3233" s="1" t="s">
        <v>4081</v>
      </c>
      <c r="B3233" s="1" t="s">
        <v>5565</v>
      </c>
    </row>
    <row r="3234" spans="1:2" x14ac:dyDescent="0.25">
      <c r="A3234" s="1" t="s">
        <v>4082</v>
      </c>
      <c r="B3234" s="1" t="s">
        <v>7092</v>
      </c>
    </row>
    <row r="3235" spans="1:2" x14ac:dyDescent="0.25">
      <c r="A3235" s="1" t="s">
        <v>4083</v>
      </c>
      <c r="B3235" s="1" t="s">
        <v>7093</v>
      </c>
    </row>
    <row r="3236" spans="1:2" x14ac:dyDescent="0.25">
      <c r="A3236" s="1" t="s">
        <v>4084</v>
      </c>
      <c r="B3236" s="1" t="s">
        <v>7094</v>
      </c>
    </row>
    <row r="3237" spans="1:2" x14ac:dyDescent="0.25">
      <c r="A3237" s="1" t="s">
        <v>4085</v>
      </c>
      <c r="B3237" s="1" t="s">
        <v>7095</v>
      </c>
    </row>
    <row r="3238" spans="1:2" x14ac:dyDescent="0.25">
      <c r="A3238" s="1" t="s">
        <v>4086</v>
      </c>
      <c r="B3238" s="1" t="s">
        <v>7096</v>
      </c>
    </row>
    <row r="3239" spans="1:2" x14ac:dyDescent="0.25">
      <c r="A3239" s="1" t="s">
        <v>4087</v>
      </c>
      <c r="B3239" s="1" t="s">
        <v>7097</v>
      </c>
    </row>
    <row r="3240" spans="1:2" x14ac:dyDescent="0.25">
      <c r="A3240" s="1" t="s">
        <v>4088</v>
      </c>
      <c r="B3240" s="1" t="s">
        <v>7098</v>
      </c>
    </row>
    <row r="3241" spans="1:2" x14ac:dyDescent="0.25">
      <c r="A3241" s="1" t="s">
        <v>4089</v>
      </c>
      <c r="B3241" s="1" t="s">
        <v>7099</v>
      </c>
    </row>
    <row r="3242" spans="1:2" x14ac:dyDescent="0.25">
      <c r="A3242" s="1" t="s">
        <v>4090</v>
      </c>
      <c r="B3242" s="1" t="s">
        <v>7066</v>
      </c>
    </row>
    <row r="3243" spans="1:2" x14ac:dyDescent="0.25">
      <c r="A3243" s="1" t="s">
        <v>4091</v>
      </c>
      <c r="B3243" s="1" t="s">
        <v>5565</v>
      </c>
    </row>
    <row r="3244" spans="1:2" x14ac:dyDescent="0.25">
      <c r="A3244" s="1" t="s">
        <v>4092</v>
      </c>
      <c r="B3244" s="1" t="s">
        <v>5947</v>
      </c>
    </row>
    <row r="3245" spans="1:2" x14ac:dyDescent="0.25">
      <c r="A3245" s="1" t="s">
        <v>4093</v>
      </c>
      <c r="B3245" s="1" t="s">
        <v>5605</v>
      </c>
    </row>
    <row r="3246" spans="1:2" x14ac:dyDescent="0.25">
      <c r="A3246" s="1" t="s">
        <v>4094</v>
      </c>
      <c r="B3246" s="1" t="s">
        <v>4644</v>
      </c>
    </row>
    <row r="3247" spans="1:2" x14ac:dyDescent="0.25">
      <c r="A3247" s="1" t="s">
        <v>4095</v>
      </c>
      <c r="B3247" s="1" t="s">
        <v>5796</v>
      </c>
    </row>
    <row r="3248" spans="1:2" x14ac:dyDescent="0.25">
      <c r="A3248" s="1" t="s">
        <v>4096</v>
      </c>
      <c r="B3248" s="1" t="s">
        <v>7100</v>
      </c>
    </row>
    <row r="3249" spans="1:2" x14ac:dyDescent="0.25">
      <c r="A3249" s="1" t="s">
        <v>4097</v>
      </c>
      <c r="B3249" s="1" t="s">
        <v>7101</v>
      </c>
    </row>
    <row r="3250" spans="1:2" x14ac:dyDescent="0.25">
      <c r="A3250" s="1" t="s">
        <v>4098</v>
      </c>
      <c r="B3250" s="1" t="s">
        <v>7102</v>
      </c>
    </row>
    <row r="3251" spans="1:2" x14ac:dyDescent="0.25">
      <c r="A3251" s="1" t="s">
        <v>4099</v>
      </c>
      <c r="B3251" s="1" t="s">
        <v>6289</v>
      </c>
    </row>
    <row r="3252" spans="1:2" x14ac:dyDescent="0.25">
      <c r="A3252" s="1" t="s">
        <v>4100</v>
      </c>
      <c r="B3252" s="1" t="s">
        <v>5219</v>
      </c>
    </row>
    <row r="3253" spans="1:2" x14ac:dyDescent="0.25">
      <c r="A3253" s="1" t="s">
        <v>4101</v>
      </c>
      <c r="B3253" s="1" t="s">
        <v>6481</v>
      </c>
    </row>
    <row r="3254" spans="1:2" x14ac:dyDescent="0.25">
      <c r="A3254" s="1" t="s">
        <v>4102</v>
      </c>
      <c r="B3254" s="1" t="s">
        <v>6542</v>
      </c>
    </row>
    <row r="3255" spans="1:2" x14ac:dyDescent="0.25">
      <c r="A3255" s="1" t="s">
        <v>4103</v>
      </c>
      <c r="B3255" s="1" t="s">
        <v>7103</v>
      </c>
    </row>
    <row r="3256" spans="1:2" x14ac:dyDescent="0.25">
      <c r="A3256" s="1" t="s">
        <v>4104</v>
      </c>
      <c r="B3256" s="1" t="s">
        <v>7104</v>
      </c>
    </row>
    <row r="3257" spans="1:2" x14ac:dyDescent="0.25">
      <c r="A3257" s="1" t="s">
        <v>4105</v>
      </c>
      <c r="B3257" s="1" t="s">
        <v>4391</v>
      </c>
    </row>
    <row r="3258" spans="1:2" x14ac:dyDescent="0.25">
      <c r="A3258" s="1" t="s">
        <v>4106</v>
      </c>
      <c r="B3258" s="1" t="s">
        <v>7105</v>
      </c>
    </row>
    <row r="3259" spans="1:2" x14ac:dyDescent="0.25">
      <c r="A3259" s="1" t="s">
        <v>4107</v>
      </c>
      <c r="B3259" s="1" t="s">
        <v>7106</v>
      </c>
    </row>
    <row r="3260" spans="1:2" x14ac:dyDescent="0.25">
      <c r="A3260" s="1" t="s">
        <v>4108</v>
      </c>
      <c r="B3260" s="1" t="s">
        <v>7107</v>
      </c>
    </row>
    <row r="3261" spans="1:2" x14ac:dyDescent="0.25">
      <c r="A3261" s="1" t="s">
        <v>4109</v>
      </c>
      <c r="B3261" s="1" t="s">
        <v>5242</v>
      </c>
    </row>
    <row r="3262" spans="1:2" x14ac:dyDescent="0.25">
      <c r="A3262" s="1" t="s">
        <v>4110</v>
      </c>
      <c r="B3262" s="1" t="s">
        <v>4381</v>
      </c>
    </row>
    <row r="3263" spans="1:2" x14ac:dyDescent="0.25">
      <c r="A3263" s="1" t="s">
        <v>4111</v>
      </c>
      <c r="B3263" s="1" t="s">
        <v>7108</v>
      </c>
    </row>
    <row r="3264" spans="1:2" x14ac:dyDescent="0.25">
      <c r="A3264" s="1" t="s">
        <v>4112</v>
      </c>
      <c r="B3264" s="1" t="s">
        <v>4706</v>
      </c>
    </row>
    <row r="3265" spans="1:2" x14ac:dyDescent="0.25">
      <c r="A3265" s="1" t="s">
        <v>4113</v>
      </c>
      <c r="B3265" s="1" t="s">
        <v>5725</v>
      </c>
    </row>
    <row r="3266" spans="1:2" x14ac:dyDescent="0.25">
      <c r="A3266" s="1" t="s">
        <v>4114</v>
      </c>
      <c r="B3266" s="1" t="s">
        <v>7109</v>
      </c>
    </row>
    <row r="3267" spans="1:2" x14ac:dyDescent="0.25">
      <c r="A3267" s="1" t="s">
        <v>4115</v>
      </c>
      <c r="B3267" s="1" t="s">
        <v>7110</v>
      </c>
    </row>
    <row r="3268" spans="1:2" x14ac:dyDescent="0.25">
      <c r="A3268" s="1" t="s">
        <v>4116</v>
      </c>
      <c r="B3268" s="1" t="s">
        <v>7111</v>
      </c>
    </row>
    <row r="3269" spans="1:2" x14ac:dyDescent="0.25">
      <c r="A3269" s="1" t="s">
        <v>4117</v>
      </c>
      <c r="B3269" s="1" t="s">
        <v>7112</v>
      </c>
    </row>
    <row r="3270" spans="1:2" x14ac:dyDescent="0.25">
      <c r="A3270" s="1" t="s">
        <v>4118</v>
      </c>
      <c r="B3270" s="1" t="s">
        <v>7113</v>
      </c>
    </row>
    <row r="3271" spans="1:2" x14ac:dyDescent="0.25">
      <c r="A3271" s="1" t="s">
        <v>4119</v>
      </c>
      <c r="B3271" s="1" t="s">
        <v>7114</v>
      </c>
    </row>
    <row r="3272" spans="1:2" x14ac:dyDescent="0.25">
      <c r="A3272" s="1" t="s">
        <v>4120</v>
      </c>
      <c r="B3272" s="1" t="s">
        <v>7115</v>
      </c>
    </row>
    <row r="3273" spans="1:2" x14ac:dyDescent="0.25">
      <c r="A3273" s="1" t="s">
        <v>4121</v>
      </c>
      <c r="B3273" s="1" t="s">
        <v>7116</v>
      </c>
    </row>
    <row r="3274" spans="1:2" x14ac:dyDescent="0.25">
      <c r="A3274" s="1" t="s">
        <v>4122</v>
      </c>
      <c r="B3274" s="1" t="s">
        <v>5810</v>
      </c>
    </row>
    <row r="3275" spans="1:2" x14ac:dyDescent="0.25">
      <c r="A3275" s="1" t="s">
        <v>4123</v>
      </c>
      <c r="B3275" s="1" t="s">
        <v>6053</v>
      </c>
    </row>
    <row r="3276" spans="1:2" x14ac:dyDescent="0.25">
      <c r="A3276" s="1" t="s">
        <v>4124</v>
      </c>
      <c r="B3276" s="1" t="s">
        <v>7117</v>
      </c>
    </row>
    <row r="3277" spans="1:2" x14ac:dyDescent="0.25">
      <c r="A3277" s="1" t="s">
        <v>4125</v>
      </c>
      <c r="B3277" s="1" t="s">
        <v>4468</v>
      </c>
    </row>
    <row r="3278" spans="1:2" x14ac:dyDescent="0.25">
      <c r="A3278" s="1" t="s">
        <v>4126</v>
      </c>
      <c r="B3278" s="1" t="s">
        <v>7118</v>
      </c>
    </row>
    <row r="3279" spans="1:2" x14ac:dyDescent="0.25">
      <c r="A3279" s="1" t="s">
        <v>4127</v>
      </c>
      <c r="B3279" s="1" t="s">
        <v>5629</v>
      </c>
    </row>
    <row r="3280" spans="1:2" x14ac:dyDescent="0.25">
      <c r="A3280" s="1" t="s">
        <v>4128</v>
      </c>
      <c r="B3280" s="1" t="s">
        <v>7119</v>
      </c>
    </row>
    <row r="3281" spans="1:2" x14ac:dyDescent="0.25">
      <c r="A3281" s="1" t="s">
        <v>4129</v>
      </c>
      <c r="B3281" s="1" t="s">
        <v>4818</v>
      </c>
    </row>
    <row r="3282" spans="1:2" x14ac:dyDescent="0.25">
      <c r="A3282" s="1" t="s">
        <v>4130</v>
      </c>
      <c r="B3282" s="1" t="s">
        <v>7120</v>
      </c>
    </row>
    <row r="3283" spans="1:2" x14ac:dyDescent="0.25">
      <c r="A3283" s="1" t="s">
        <v>4131</v>
      </c>
      <c r="B3283" s="1" t="s">
        <v>7121</v>
      </c>
    </row>
    <row r="3284" spans="1:2" x14ac:dyDescent="0.25">
      <c r="A3284" s="1" t="s">
        <v>4132</v>
      </c>
      <c r="B3284" s="1" t="s">
        <v>4691</v>
      </c>
    </row>
    <row r="3285" spans="1:2" x14ac:dyDescent="0.25">
      <c r="A3285" s="1" t="s">
        <v>4133</v>
      </c>
      <c r="B3285" s="1" t="s">
        <v>7122</v>
      </c>
    </row>
    <row r="3286" spans="1:2" x14ac:dyDescent="0.25">
      <c r="A3286" s="1" t="s">
        <v>4134</v>
      </c>
      <c r="B3286" s="1" t="s">
        <v>5383</v>
      </c>
    </row>
    <row r="3287" spans="1:2" x14ac:dyDescent="0.25">
      <c r="A3287" s="1" t="s">
        <v>4135</v>
      </c>
      <c r="B3287" s="1" t="s">
        <v>5182</v>
      </c>
    </row>
    <row r="3288" spans="1:2" x14ac:dyDescent="0.25">
      <c r="A3288" s="1" t="s">
        <v>4136</v>
      </c>
      <c r="B3288" s="1" t="s">
        <v>7123</v>
      </c>
    </row>
    <row r="3289" spans="1:2" x14ac:dyDescent="0.25">
      <c r="A3289" s="1" t="s">
        <v>4137</v>
      </c>
      <c r="B3289" s="1" t="s">
        <v>7124</v>
      </c>
    </row>
    <row r="3290" spans="1:2" x14ac:dyDescent="0.25">
      <c r="A3290" s="1" t="s">
        <v>4138</v>
      </c>
      <c r="B3290" s="1" t="s">
        <v>7125</v>
      </c>
    </row>
    <row r="3291" spans="1:2" x14ac:dyDescent="0.25">
      <c r="A3291" s="1" t="s">
        <v>4139</v>
      </c>
      <c r="B3291" s="1" t="s">
        <v>7126</v>
      </c>
    </row>
    <row r="3292" spans="1:2" x14ac:dyDescent="0.25">
      <c r="A3292" s="1" t="s">
        <v>4140</v>
      </c>
      <c r="B3292" s="1" t="s">
        <v>7127</v>
      </c>
    </row>
    <row r="3293" spans="1:2" x14ac:dyDescent="0.25">
      <c r="A3293" s="1" t="s">
        <v>4141</v>
      </c>
      <c r="B3293" s="1" t="s">
        <v>7128</v>
      </c>
    </row>
    <row r="3294" spans="1:2" x14ac:dyDescent="0.25">
      <c r="A3294" s="1" t="s">
        <v>4142</v>
      </c>
      <c r="B3294" s="1" t="s">
        <v>7129</v>
      </c>
    </row>
    <row r="3295" spans="1:2" x14ac:dyDescent="0.25">
      <c r="A3295" s="1" t="s">
        <v>4143</v>
      </c>
      <c r="B3295" s="1" t="s">
        <v>7130</v>
      </c>
    </row>
    <row r="3296" spans="1:2" x14ac:dyDescent="0.25">
      <c r="A3296" s="1" t="s">
        <v>4144</v>
      </c>
      <c r="B3296" s="1" t="s">
        <v>6848</v>
      </c>
    </row>
    <row r="3297" spans="1:2" x14ac:dyDescent="0.25">
      <c r="A3297" s="1" t="s">
        <v>4145</v>
      </c>
      <c r="B3297" s="1" t="s">
        <v>7131</v>
      </c>
    </row>
    <row r="3298" spans="1:2" x14ac:dyDescent="0.25">
      <c r="A3298" s="1" t="s">
        <v>4146</v>
      </c>
      <c r="B3298" s="1" t="s">
        <v>5673</v>
      </c>
    </row>
    <row r="3299" spans="1:2" x14ac:dyDescent="0.25">
      <c r="A3299" s="1" t="s">
        <v>4147</v>
      </c>
      <c r="B3299" s="1" t="s">
        <v>4835</v>
      </c>
    </row>
    <row r="3300" spans="1:2" x14ac:dyDescent="0.25">
      <c r="A3300" s="1" t="s">
        <v>4148</v>
      </c>
      <c r="B3300" s="1" t="s">
        <v>5866</v>
      </c>
    </row>
    <row r="3301" spans="1:2" x14ac:dyDescent="0.25">
      <c r="A3301" s="1" t="s">
        <v>4149</v>
      </c>
      <c r="B3301" s="1" t="s">
        <v>7132</v>
      </c>
    </row>
    <row r="3302" spans="1:2" x14ac:dyDescent="0.25">
      <c r="A3302" s="1" t="s">
        <v>4150</v>
      </c>
      <c r="B3302" s="1" t="s">
        <v>4820</v>
      </c>
    </row>
    <row r="3303" spans="1:2" x14ac:dyDescent="0.25">
      <c r="A3303" s="1" t="s">
        <v>4151</v>
      </c>
      <c r="B3303" s="1" t="s">
        <v>4754</v>
      </c>
    </row>
    <row r="3304" spans="1:2" x14ac:dyDescent="0.25">
      <c r="A3304" s="1" t="s">
        <v>4152</v>
      </c>
      <c r="B3304" s="1" t="s">
        <v>6715</v>
      </c>
    </row>
    <row r="3305" spans="1:2" x14ac:dyDescent="0.25">
      <c r="A3305" s="1" t="s">
        <v>4290</v>
      </c>
      <c r="B3305" s="1" t="s">
        <v>7133</v>
      </c>
    </row>
    <row r="3306" spans="1:2" x14ac:dyDescent="0.25">
      <c r="A3306" s="1" t="s">
        <v>4153</v>
      </c>
      <c r="B3306" s="1" t="s">
        <v>7134</v>
      </c>
    </row>
    <row r="3307" spans="1:2" x14ac:dyDescent="0.25">
      <c r="A3307" s="1" t="s">
        <v>4154</v>
      </c>
      <c r="B3307" s="1" t="s">
        <v>4543</v>
      </c>
    </row>
    <row r="3308" spans="1:2" x14ac:dyDescent="0.25">
      <c r="A3308" s="1" t="s">
        <v>4155</v>
      </c>
      <c r="B3308" s="1" t="s">
        <v>7135</v>
      </c>
    </row>
    <row r="3309" spans="1:2" x14ac:dyDescent="0.25">
      <c r="A3309" s="1" t="s">
        <v>4156</v>
      </c>
      <c r="B3309" s="1" t="s">
        <v>4651</v>
      </c>
    </row>
    <row r="3310" spans="1:2" x14ac:dyDescent="0.25">
      <c r="A3310" s="1" t="s">
        <v>4157</v>
      </c>
      <c r="B3310" s="1" t="s">
        <v>7136</v>
      </c>
    </row>
    <row r="3311" spans="1:2" x14ac:dyDescent="0.25">
      <c r="A3311" s="1" t="s">
        <v>4158</v>
      </c>
      <c r="B3311" s="1" t="s">
        <v>7137</v>
      </c>
    </row>
    <row r="3312" spans="1:2" x14ac:dyDescent="0.25">
      <c r="A3312" s="1" t="s">
        <v>4159</v>
      </c>
      <c r="B3312" s="1" t="s">
        <v>7138</v>
      </c>
    </row>
    <row r="3313" spans="1:2" x14ac:dyDescent="0.25">
      <c r="A3313" s="1" t="s">
        <v>4160</v>
      </c>
      <c r="B3313" s="1" t="s">
        <v>5322</v>
      </c>
    </row>
    <row r="3314" spans="1:2" x14ac:dyDescent="0.25">
      <c r="A3314" s="1" t="s">
        <v>4161</v>
      </c>
      <c r="B3314" s="1" t="s">
        <v>6372</v>
      </c>
    </row>
    <row r="3315" spans="1:2" x14ac:dyDescent="0.25">
      <c r="A3315" s="1" t="s">
        <v>4162</v>
      </c>
      <c r="B3315" s="1" t="s">
        <v>7139</v>
      </c>
    </row>
    <row r="3316" spans="1:2" x14ac:dyDescent="0.25">
      <c r="A3316" s="1" t="s">
        <v>4163</v>
      </c>
      <c r="B3316" s="1" t="s">
        <v>6225</v>
      </c>
    </row>
    <row r="3317" spans="1:2" x14ac:dyDescent="0.25">
      <c r="A3317" s="1" t="s">
        <v>4164</v>
      </c>
      <c r="B3317" s="1" t="s">
        <v>4978</v>
      </c>
    </row>
    <row r="3318" spans="1:2" x14ac:dyDescent="0.25">
      <c r="A3318" s="1" t="s">
        <v>4165</v>
      </c>
      <c r="B3318" s="1" t="s">
        <v>7140</v>
      </c>
    </row>
    <row r="3319" spans="1:2" x14ac:dyDescent="0.25">
      <c r="A3319" s="1" t="s">
        <v>4166</v>
      </c>
      <c r="B3319" s="1" t="s">
        <v>4725</v>
      </c>
    </row>
    <row r="3320" spans="1:2" x14ac:dyDescent="0.25">
      <c r="A3320" s="1" t="s">
        <v>4167</v>
      </c>
      <c r="B3320" s="1" t="s">
        <v>4656</v>
      </c>
    </row>
    <row r="3321" spans="1:2" x14ac:dyDescent="0.25">
      <c r="A3321" s="1" t="s">
        <v>4168</v>
      </c>
      <c r="B3321" s="1" t="s">
        <v>7141</v>
      </c>
    </row>
    <row r="3322" spans="1:2" x14ac:dyDescent="0.25">
      <c r="A3322" s="1" t="s">
        <v>4169</v>
      </c>
      <c r="B3322" s="1" t="s">
        <v>7142</v>
      </c>
    </row>
    <row r="3323" spans="1:2" x14ac:dyDescent="0.25">
      <c r="A3323" s="1" t="s">
        <v>4170</v>
      </c>
      <c r="B3323" s="1" t="s">
        <v>7143</v>
      </c>
    </row>
    <row r="3324" spans="1:2" x14ac:dyDescent="0.25">
      <c r="A3324" s="1" t="s">
        <v>4171</v>
      </c>
      <c r="B3324" s="1" t="s">
        <v>4686</v>
      </c>
    </row>
    <row r="3325" spans="1:2" x14ac:dyDescent="0.25">
      <c r="A3325" s="1" t="s">
        <v>4172</v>
      </c>
      <c r="B3325" s="1" t="s">
        <v>7144</v>
      </c>
    </row>
    <row r="3326" spans="1:2" x14ac:dyDescent="0.25">
      <c r="A3326" s="1" t="s">
        <v>4173</v>
      </c>
      <c r="B3326" s="1" t="s">
        <v>4339</v>
      </c>
    </row>
    <row r="3327" spans="1:2" x14ac:dyDescent="0.25">
      <c r="A3327" s="1" t="s">
        <v>4174</v>
      </c>
      <c r="B3327" s="1" t="s">
        <v>7145</v>
      </c>
    </row>
    <row r="3328" spans="1:2" x14ac:dyDescent="0.25">
      <c r="A3328" s="1" t="s">
        <v>4175</v>
      </c>
      <c r="B3328" s="1" t="s">
        <v>5645</v>
      </c>
    </row>
    <row r="3329" spans="1:2" x14ac:dyDescent="0.25">
      <c r="A3329" s="1" t="s">
        <v>4176</v>
      </c>
      <c r="B3329" s="1" t="s">
        <v>4364</v>
      </c>
    </row>
    <row r="3330" spans="1:2" x14ac:dyDescent="0.25">
      <c r="A3330" s="1" t="s">
        <v>4177</v>
      </c>
      <c r="B3330" s="1" t="s">
        <v>5572</v>
      </c>
    </row>
    <row r="3331" spans="1:2" x14ac:dyDescent="0.25">
      <c r="A3331" s="1" t="s">
        <v>4178</v>
      </c>
      <c r="B3331" s="1" t="s">
        <v>7146</v>
      </c>
    </row>
    <row r="3332" spans="1:2" x14ac:dyDescent="0.25">
      <c r="A3332" s="1" t="s">
        <v>4179</v>
      </c>
      <c r="B3332" s="1" t="s">
        <v>5433</v>
      </c>
    </row>
    <row r="3333" spans="1:2" x14ac:dyDescent="0.25">
      <c r="A3333" s="1" t="s">
        <v>4180</v>
      </c>
      <c r="B3333" s="1" t="s">
        <v>7104</v>
      </c>
    </row>
    <row r="3334" spans="1:2" x14ac:dyDescent="0.25">
      <c r="A3334" s="1" t="s">
        <v>4181</v>
      </c>
      <c r="B3334" s="1" t="s">
        <v>7147</v>
      </c>
    </row>
    <row r="3335" spans="1:2" x14ac:dyDescent="0.25">
      <c r="A3335" s="1" t="s">
        <v>4182</v>
      </c>
      <c r="B3335" s="1" t="s">
        <v>7148</v>
      </c>
    </row>
    <row r="3336" spans="1:2" x14ac:dyDescent="0.25">
      <c r="A3336" s="1" t="s">
        <v>4183</v>
      </c>
      <c r="B3336" s="1" t="s">
        <v>7149</v>
      </c>
    </row>
    <row r="3337" spans="1:2" x14ac:dyDescent="0.25">
      <c r="A3337" s="1" t="s">
        <v>4184</v>
      </c>
      <c r="B3337" s="1" t="s">
        <v>7150</v>
      </c>
    </row>
    <row r="3338" spans="1:2" x14ac:dyDescent="0.25">
      <c r="A3338" s="1" t="s">
        <v>4185</v>
      </c>
      <c r="B3338" s="1" t="s">
        <v>7151</v>
      </c>
    </row>
    <row r="3339" spans="1:2" x14ac:dyDescent="0.25">
      <c r="A3339" s="1" t="s">
        <v>4186</v>
      </c>
      <c r="B3339" s="1" t="s">
        <v>4632</v>
      </c>
    </row>
    <row r="3340" spans="1:2" x14ac:dyDescent="0.25">
      <c r="A3340" s="1" t="s">
        <v>4187</v>
      </c>
      <c r="B3340" s="1" t="s">
        <v>7152</v>
      </c>
    </row>
    <row r="3341" spans="1:2" x14ac:dyDescent="0.25">
      <c r="A3341" s="1" t="s">
        <v>4188</v>
      </c>
      <c r="B3341" s="1" t="s">
        <v>5781</v>
      </c>
    </row>
    <row r="3342" spans="1:2" x14ac:dyDescent="0.25">
      <c r="A3342" s="1" t="s">
        <v>4189</v>
      </c>
      <c r="B3342" s="1" t="s">
        <v>5476</v>
      </c>
    </row>
    <row r="3343" spans="1:2" x14ac:dyDescent="0.25">
      <c r="A3343" s="1" t="s">
        <v>4190</v>
      </c>
      <c r="B3343" s="1" t="s">
        <v>7153</v>
      </c>
    </row>
    <row r="3344" spans="1:2" x14ac:dyDescent="0.25">
      <c r="A3344" s="1" t="s">
        <v>4191</v>
      </c>
      <c r="B3344" s="1" t="s">
        <v>5612</v>
      </c>
    </row>
    <row r="3345" spans="1:2" x14ac:dyDescent="0.25">
      <c r="A3345" s="1" t="s">
        <v>4192</v>
      </c>
      <c r="B3345" s="1" t="s">
        <v>4880</v>
      </c>
    </row>
    <row r="3346" spans="1:2" x14ac:dyDescent="0.25">
      <c r="A3346" s="1" t="s">
        <v>4193</v>
      </c>
      <c r="B3346" s="1" t="s">
        <v>7154</v>
      </c>
    </row>
    <row r="3347" spans="1:2" x14ac:dyDescent="0.25">
      <c r="A3347" s="1" t="s">
        <v>4194</v>
      </c>
      <c r="B3347" s="1" t="s">
        <v>6180</v>
      </c>
    </row>
    <row r="3348" spans="1:2" x14ac:dyDescent="0.25">
      <c r="A3348" s="1" t="s">
        <v>4195</v>
      </c>
      <c r="B3348" s="1" t="s">
        <v>7155</v>
      </c>
    </row>
    <row r="3349" spans="1:2" x14ac:dyDescent="0.25">
      <c r="A3349" s="1" t="s">
        <v>4196</v>
      </c>
      <c r="B3349" s="1" t="s">
        <v>5125</v>
      </c>
    </row>
    <row r="3350" spans="1:2" x14ac:dyDescent="0.25">
      <c r="A3350" s="1" t="s">
        <v>4197</v>
      </c>
      <c r="B3350" s="1" t="s">
        <v>4612</v>
      </c>
    </row>
    <row r="3351" spans="1:2" x14ac:dyDescent="0.25">
      <c r="A3351" s="1" t="s">
        <v>4280</v>
      </c>
      <c r="B3351" s="1" t="s">
        <v>4254</v>
      </c>
    </row>
    <row r="3352" spans="1:2" x14ac:dyDescent="0.25">
      <c r="A3352" s="1" t="s">
        <v>4198</v>
      </c>
      <c r="B3352" s="1" t="s">
        <v>4864</v>
      </c>
    </row>
    <row r="3353" spans="1:2" x14ac:dyDescent="0.25">
      <c r="A3353" s="1" t="s">
        <v>4199</v>
      </c>
      <c r="B3353" s="1" t="s">
        <v>7156</v>
      </c>
    </row>
    <row r="3354" spans="1:2" x14ac:dyDescent="0.25">
      <c r="A3354" s="1" t="s">
        <v>4200</v>
      </c>
      <c r="B3354" s="1" t="s">
        <v>6946</v>
      </c>
    </row>
    <row r="3355" spans="1:2" x14ac:dyDescent="0.25">
      <c r="A3355" s="1" t="s">
        <v>4201</v>
      </c>
      <c r="B3355" s="1" t="s">
        <v>4684</v>
      </c>
    </row>
    <row r="3356" spans="1:2" x14ac:dyDescent="0.25">
      <c r="A3356" s="1" t="s">
        <v>4202</v>
      </c>
      <c r="B3356" s="1" t="s">
        <v>7157</v>
      </c>
    </row>
    <row r="3357" spans="1:2" x14ac:dyDescent="0.25">
      <c r="A3357" s="1" t="s">
        <v>4203</v>
      </c>
      <c r="B3357" s="1" t="s">
        <v>7158</v>
      </c>
    </row>
    <row r="3358" spans="1:2" x14ac:dyDescent="0.25">
      <c r="A3358" s="1" t="s">
        <v>4204</v>
      </c>
      <c r="B3358" s="1" t="s">
        <v>7159</v>
      </c>
    </row>
    <row r="3359" spans="1:2" x14ac:dyDescent="0.25">
      <c r="A3359" s="1" t="s">
        <v>4205</v>
      </c>
      <c r="B3359" s="1" t="s">
        <v>7160</v>
      </c>
    </row>
    <row r="3360" spans="1:2" x14ac:dyDescent="0.25">
      <c r="A3360" s="1" t="s">
        <v>4206</v>
      </c>
      <c r="B3360" s="1" t="s">
        <v>5487</v>
      </c>
    </row>
    <row r="3361" spans="1:2" x14ac:dyDescent="0.25">
      <c r="A3361" s="1" t="s">
        <v>4207</v>
      </c>
      <c r="B3361" s="1" t="s">
        <v>5460</v>
      </c>
    </row>
    <row r="3362" spans="1:2" x14ac:dyDescent="0.25">
      <c r="A3362" s="1" t="s">
        <v>4208</v>
      </c>
      <c r="B3362" s="1" t="s">
        <v>7161</v>
      </c>
    </row>
    <row r="3363" spans="1:2" x14ac:dyDescent="0.25">
      <c r="A3363" s="1" t="s">
        <v>4209</v>
      </c>
      <c r="B3363" s="1" t="s">
        <v>7162</v>
      </c>
    </row>
    <row r="3364" spans="1:2" x14ac:dyDescent="0.25">
      <c r="A3364" s="1" t="s">
        <v>4210</v>
      </c>
      <c r="B3364" s="1" t="s">
        <v>4424</v>
      </c>
    </row>
    <row r="3365" spans="1:2" x14ac:dyDescent="0.25">
      <c r="A3365" s="1" t="s">
        <v>4211</v>
      </c>
      <c r="B3365" s="1" t="s">
        <v>7163</v>
      </c>
    </row>
    <row r="3366" spans="1:2" x14ac:dyDescent="0.25">
      <c r="A3366" s="1" t="s">
        <v>4212</v>
      </c>
      <c r="B3366" s="1" t="s">
        <v>7164</v>
      </c>
    </row>
    <row r="3367" spans="1:2" x14ac:dyDescent="0.25">
      <c r="A3367" s="1" t="s">
        <v>4213</v>
      </c>
      <c r="B3367" s="1" t="s">
        <v>7165</v>
      </c>
    </row>
    <row r="3368" spans="1:2" x14ac:dyDescent="0.25">
      <c r="A3368" s="1" t="s">
        <v>4214</v>
      </c>
      <c r="B3368" s="1" t="s">
        <v>4529</v>
      </c>
    </row>
    <row r="3369" spans="1:2" x14ac:dyDescent="0.25">
      <c r="A3369" s="1" t="s">
        <v>4215</v>
      </c>
      <c r="B3369" s="1" t="s">
        <v>7166</v>
      </c>
    </row>
    <row r="3370" spans="1:2" x14ac:dyDescent="0.25">
      <c r="A3370" s="1" t="s">
        <v>4216</v>
      </c>
      <c r="B3370" s="1" t="s">
        <v>7167</v>
      </c>
    </row>
    <row r="3371" spans="1:2" x14ac:dyDescent="0.25">
      <c r="A3371" s="1" t="s">
        <v>4217</v>
      </c>
      <c r="B3371" s="1" t="s">
        <v>7168</v>
      </c>
    </row>
    <row r="3372" spans="1:2" x14ac:dyDescent="0.25">
      <c r="A3372" s="1" t="s">
        <v>4218</v>
      </c>
      <c r="B3372" s="1" t="s">
        <v>5225</v>
      </c>
    </row>
    <row r="3373" spans="1:2" x14ac:dyDescent="0.25">
      <c r="A3373" s="1" t="s">
        <v>4219</v>
      </c>
      <c r="B3373" s="1" t="s">
        <v>5997</v>
      </c>
    </row>
    <row r="3374" spans="1:2" x14ac:dyDescent="0.25">
      <c r="A3374" s="1" t="s">
        <v>4220</v>
      </c>
      <c r="B3374" s="1" t="s">
        <v>6187</v>
      </c>
    </row>
    <row r="3375" spans="1:2" x14ac:dyDescent="0.25">
      <c r="A3375" s="1" t="s">
        <v>4221</v>
      </c>
      <c r="B3375" s="1" t="s">
        <v>5494</v>
      </c>
    </row>
    <row r="3376" spans="1:2" x14ac:dyDescent="0.25">
      <c r="A3376" s="1" t="s">
        <v>4222</v>
      </c>
      <c r="B3376" s="1" t="s">
        <v>7169</v>
      </c>
    </row>
    <row r="3377" spans="1:2" x14ac:dyDescent="0.25">
      <c r="A3377" s="1" t="s">
        <v>4223</v>
      </c>
      <c r="B3377" s="1" t="s">
        <v>4781</v>
      </c>
    </row>
    <row r="3378" spans="1:2" x14ac:dyDescent="0.25">
      <c r="A3378" s="1" t="s">
        <v>4224</v>
      </c>
      <c r="B3378" s="1" t="s">
        <v>5778</v>
      </c>
    </row>
    <row r="3379" spans="1:2" x14ac:dyDescent="0.25">
      <c r="A3379" s="1" t="s">
        <v>4225</v>
      </c>
      <c r="B3379" s="1" t="s">
        <v>5632</v>
      </c>
    </row>
    <row r="3380" spans="1:2" x14ac:dyDescent="0.25">
      <c r="A3380" s="1" t="s">
        <v>4226</v>
      </c>
      <c r="B3380" s="1" t="s">
        <v>5244</v>
      </c>
    </row>
    <row r="3381" spans="1:2" x14ac:dyDescent="0.25">
      <c r="A3381" s="1" t="s">
        <v>4227</v>
      </c>
      <c r="B3381" s="1" t="s">
        <v>4960</v>
      </c>
    </row>
    <row r="3382" spans="1:2" x14ac:dyDescent="0.25">
      <c r="A3382" s="1" t="s">
        <v>4228</v>
      </c>
      <c r="B3382" s="1" t="s">
        <v>6356</v>
      </c>
    </row>
    <row r="3383" spans="1:2" x14ac:dyDescent="0.25">
      <c r="A3383" s="1" t="s">
        <v>4324</v>
      </c>
      <c r="B3383" s="1" t="s">
        <v>6710</v>
      </c>
    </row>
    <row r="3384" spans="1:2" x14ac:dyDescent="0.25">
      <c r="A3384" s="1" t="s">
        <v>4229</v>
      </c>
      <c r="B3384" s="1" t="s">
        <v>7170</v>
      </c>
    </row>
    <row r="3385" spans="1:2" x14ac:dyDescent="0.25">
      <c r="A3385" s="1" t="s">
        <v>4230</v>
      </c>
      <c r="B3385" s="1" t="s">
        <v>7171</v>
      </c>
    </row>
    <row r="3386" spans="1:2" x14ac:dyDescent="0.25">
      <c r="A3386" s="1" t="s">
        <v>4231</v>
      </c>
      <c r="B3386" s="1" t="s">
        <v>5451</v>
      </c>
    </row>
    <row r="3387" spans="1:2" x14ac:dyDescent="0.25">
      <c r="A3387" s="1" t="s">
        <v>4232</v>
      </c>
      <c r="B3387" s="1" t="s">
        <v>4880</v>
      </c>
    </row>
    <row r="3388" spans="1:2" x14ac:dyDescent="0.25">
      <c r="A3388" s="1" t="s">
        <v>4233</v>
      </c>
      <c r="B3388" s="1" t="s">
        <v>6051</v>
      </c>
    </row>
    <row r="3389" spans="1:2" x14ac:dyDescent="0.25">
      <c r="A3389" s="1" t="s">
        <v>4234</v>
      </c>
      <c r="B3389" s="1" t="s">
        <v>7172</v>
      </c>
    </row>
    <row r="3390" spans="1:2" x14ac:dyDescent="0.25">
      <c r="A3390" s="1" t="s">
        <v>4235</v>
      </c>
      <c r="B3390" s="1" t="s">
        <v>7173</v>
      </c>
    </row>
    <row r="3391" spans="1:2" x14ac:dyDescent="0.25">
      <c r="A3391" s="1" t="s">
        <v>4236</v>
      </c>
      <c r="B3391" s="1" t="s">
        <v>4417</v>
      </c>
    </row>
    <row r="3392" spans="1:2" x14ac:dyDescent="0.25">
      <c r="A3392" s="1" t="s">
        <v>4237</v>
      </c>
      <c r="B3392" s="1" t="s">
        <v>7174</v>
      </c>
    </row>
    <row r="3393" spans="1:2" x14ac:dyDescent="0.25">
      <c r="A3393" s="1" t="s">
        <v>4238</v>
      </c>
      <c r="B3393" s="1" t="s">
        <v>4644</v>
      </c>
    </row>
    <row r="3394" spans="1:2" x14ac:dyDescent="0.25">
      <c r="A3394" s="1" t="s">
        <v>4239</v>
      </c>
      <c r="B3394" s="1" t="s">
        <v>5259</v>
      </c>
    </row>
    <row r="3395" spans="1:2" x14ac:dyDescent="0.25">
      <c r="A3395" s="1" t="s">
        <v>4240</v>
      </c>
      <c r="B3395" s="1" t="s">
        <v>4717</v>
      </c>
    </row>
    <row r="3396" spans="1:2" x14ac:dyDescent="0.25">
      <c r="A3396" s="1" t="s">
        <v>4241</v>
      </c>
      <c r="B3396" s="1" t="s">
        <v>7101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EDB86-3C2C-4D34-B59B-8BFAA179ECC4}">
  <sheetPr codeName="Planilha1"/>
  <dimension ref="A1:B443"/>
  <sheetViews>
    <sheetView workbookViewId="0">
      <selection activeCell="B1" sqref="B1"/>
    </sheetView>
  </sheetViews>
  <sheetFormatPr defaultRowHeight="15" x14ac:dyDescent="0.25"/>
  <cols>
    <col min="1" max="1" width="11.140625" bestFit="1" customWidth="1"/>
    <col min="2" max="2" width="12.7109375" bestFit="1" customWidth="1"/>
  </cols>
  <sheetData>
    <row r="1" spans="1:2" x14ac:dyDescent="0.25">
      <c r="A1" t="s">
        <v>595</v>
      </c>
      <c r="B1" t="s">
        <v>596</v>
      </c>
    </row>
    <row r="2" spans="1:2" x14ac:dyDescent="0.25">
      <c r="A2" s="1" t="s">
        <v>0</v>
      </c>
      <c r="B2" s="64" t="s">
        <v>5014</v>
      </c>
    </row>
    <row r="3" spans="1:2" x14ac:dyDescent="0.25">
      <c r="A3" s="1" t="s">
        <v>610</v>
      </c>
      <c r="B3" s="64" t="s">
        <v>4369</v>
      </c>
    </row>
    <row r="4" spans="1:2" x14ac:dyDescent="0.25">
      <c r="A4" s="1" t="s">
        <v>1</v>
      </c>
      <c r="B4" s="64" t="s">
        <v>4627</v>
      </c>
    </row>
    <row r="5" spans="1:2" x14ac:dyDescent="0.25">
      <c r="A5" s="1" t="s">
        <v>3</v>
      </c>
      <c r="B5" s="64" t="s">
        <v>4626</v>
      </c>
    </row>
    <row r="6" spans="1:2" x14ac:dyDescent="0.25">
      <c r="A6" s="1" t="s">
        <v>317</v>
      </c>
      <c r="B6" s="64" t="s">
        <v>4985</v>
      </c>
    </row>
    <row r="7" spans="1:2" x14ac:dyDescent="0.25">
      <c r="A7" s="1" t="s">
        <v>318</v>
      </c>
      <c r="B7" s="64" t="s">
        <v>4984</v>
      </c>
    </row>
    <row r="8" spans="1:2" x14ac:dyDescent="0.25">
      <c r="A8" s="1" t="s">
        <v>4</v>
      </c>
      <c r="B8" s="64" t="s">
        <v>4608</v>
      </c>
    </row>
    <row r="9" spans="1:2" x14ac:dyDescent="0.25">
      <c r="A9" s="1" t="s">
        <v>467</v>
      </c>
      <c r="B9" s="64" t="s">
        <v>4514</v>
      </c>
    </row>
    <row r="10" spans="1:2" x14ac:dyDescent="0.25">
      <c r="A10" s="1" t="s">
        <v>465</v>
      </c>
      <c r="B10" s="64" t="s">
        <v>4512</v>
      </c>
    </row>
    <row r="11" spans="1:2" x14ac:dyDescent="0.25">
      <c r="A11" s="1" t="s">
        <v>466</v>
      </c>
      <c r="B11" s="64" t="s">
        <v>4513</v>
      </c>
    </row>
    <row r="12" spans="1:2" x14ac:dyDescent="0.25">
      <c r="A12" s="1" t="s">
        <v>5</v>
      </c>
      <c r="B12" s="64" t="s">
        <v>4969</v>
      </c>
    </row>
    <row r="13" spans="1:2" x14ac:dyDescent="0.25">
      <c r="A13" s="1" t="s">
        <v>6</v>
      </c>
      <c r="B13" s="64" t="s">
        <v>5116</v>
      </c>
    </row>
    <row r="14" spans="1:2" x14ac:dyDescent="0.25">
      <c r="A14" s="1" t="s">
        <v>321</v>
      </c>
      <c r="B14" s="64" t="s">
        <v>4422</v>
      </c>
    </row>
    <row r="15" spans="1:2" x14ac:dyDescent="0.25">
      <c r="A15" s="1" t="s">
        <v>471</v>
      </c>
      <c r="B15" s="64" t="s">
        <v>4702</v>
      </c>
    </row>
    <row r="16" spans="1:2" x14ac:dyDescent="0.25">
      <c r="A16" s="1" t="s">
        <v>325</v>
      </c>
      <c r="B16" s="64" t="s">
        <v>4326</v>
      </c>
    </row>
    <row r="17" spans="1:2" x14ac:dyDescent="0.25">
      <c r="A17" s="1" t="s">
        <v>324</v>
      </c>
      <c r="B17" s="64" t="s">
        <v>4921</v>
      </c>
    </row>
    <row r="18" spans="1:2" x14ac:dyDescent="0.25">
      <c r="A18" s="1" t="s">
        <v>7</v>
      </c>
      <c r="B18" s="64" t="s">
        <v>4789</v>
      </c>
    </row>
    <row r="19" spans="1:2" x14ac:dyDescent="0.25">
      <c r="A19" s="1" t="s">
        <v>326</v>
      </c>
      <c r="B19" s="64" t="s">
        <v>4987</v>
      </c>
    </row>
    <row r="20" spans="1:2" x14ac:dyDescent="0.25">
      <c r="A20" s="1" t="s">
        <v>8</v>
      </c>
      <c r="B20" s="64" t="s">
        <v>4988</v>
      </c>
    </row>
    <row r="21" spans="1:2" x14ac:dyDescent="0.25">
      <c r="A21" s="1" t="s">
        <v>322</v>
      </c>
      <c r="B21" s="64" t="s">
        <v>4986</v>
      </c>
    </row>
    <row r="22" spans="1:2" x14ac:dyDescent="0.25">
      <c r="A22" s="1" t="s">
        <v>9</v>
      </c>
      <c r="B22" s="64" t="s">
        <v>4989</v>
      </c>
    </row>
    <row r="23" spans="1:2" x14ac:dyDescent="0.25">
      <c r="A23" s="1" t="s">
        <v>327</v>
      </c>
      <c r="B23" s="64" t="s">
        <v>4990</v>
      </c>
    </row>
    <row r="24" spans="1:2" x14ac:dyDescent="0.25">
      <c r="A24" s="1" t="s">
        <v>10</v>
      </c>
      <c r="B24" s="64" t="s">
        <v>4581</v>
      </c>
    </row>
    <row r="25" spans="1:2" x14ac:dyDescent="0.25">
      <c r="A25" s="1" t="s">
        <v>323</v>
      </c>
      <c r="B25" s="64" t="s">
        <v>4358</v>
      </c>
    </row>
    <row r="26" spans="1:2" x14ac:dyDescent="0.25">
      <c r="A26" s="1" t="s">
        <v>328</v>
      </c>
      <c r="B26" s="64" t="s">
        <v>4628</v>
      </c>
    </row>
    <row r="27" spans="1:2" x14ac:dyDescent="0.25">
      <c r="A27" s="1" t="s">
        <v>11</v>
      </c>
      <c r="B27" s="64" t="s">
        <v>4991</v>
      </c>
    </row>
    <row r="28" spans="1:2" x14ac:dyDescent="0.25">
      <c r="A28" s="1" t="s">
        <v>12</v>
      </c>
      <c r="B28" s="64" t="s">
        <v>4948</v>
      </c>
    </row>
    <row r="29" spans="1:2" x14ac:dyDescent="0.25">
      <c r="A29" s="1" t="s">
        <v>329</v>
      </c>
      <c r="B29" s="64" t="s">
        <v>4993</v>
      </c>
    </row>
    <row r="30" spans="1:2" x14ac:dyDescent="0.25">
      <c r="A30" s="1" t="s">
        <v>13</v>
      </c>
      <c r="B30" s="64" t="s">
        <v>4426</v>
      </c>
    </row>
    <row r="31" spans="1:2" x14ac:dyDescent="0.25">
      <c r="A31" s="1" t="s">
        <v>335</v>
      </c>
      <c r="B31" s="64" t="s">
        <v>4431</v>
      </c>
    </row>
    <row r="32" spans="1:2" x14ac:dyDescent="0.25">
      <c r="A32" s="1" t="s">
        <v>14</v>
      </c>
      <c r="B32" s="64" t="s">
        <v>4341</v>
      </c>
    </row>
    <row r="33" spans="1:2" x14ac:dyDescent="0.25">
      <c r="A33" s="1" t="s">
        <v>15</v>
      </c>
      <c r="B33" s="64" t="s">
        <v>4479</v>
      </c>
    </row>
    <row r="34" spans="1:2" x14ac:dyDescent="0.25">
      <c r="A34" s="1" t="s">
        <v>336</v>
      </c>
      <c r="B34" s="64" t="s">
        <v>4345</v>
      </c>
    </row>
    <row r="35" spans="1:2" x14ac:dyDescent="0.25">
      <c r="A35" s="1" t="s">
        <v>16</v>
      </c>
      <c r="B35" s="64" t="s">
        <v>5001</v>
      </c>
    </row>
    <row r="36" spans="1:2" x14ac:dyDescent="0.25">
      <c r="A36" s="1" t="s">
        <v>17</v>
      </c>
      <c r="B36" s="64" t="s">
        <v>5000</v>
      </c>
    </row>
    <row r="37" spans="1:2" x14ac:dyDescent="0.25">
      <c r="A37" s="1" t="s">
        <v>18</v>
      </c>
      <c r="B37" s="64" t="s">
        <v>4832</v>
      </c>
    </row>
    <row r="38" spans="1:2" x14ac:dyDescent="0.25">
      <c r="A38" s="1" t="s">
        <v>21</v>
      </c>
      <c r="B38" s="64" t="s">
        <v>4927</v>
      </c>
    </row>
    <row r="39" spans="1:2" x14ac:dyDescent="0.25">
      <c r="A39" s="1" t="s">
        <v>22</v>
      </c>
      <c r="B39" s="64" t="s">
        <v>4999</v>
      </c>
    </row>
    <row r="40" spans="1:2" x14ac:dyDescent="0.25">
      <c r="A40" s="1" t="s">
        <v>334</v>
      </c>
      <c r="B40" s="64" t="s">
        <v>4998</v>
      </c>
    </row>
    <row r="41" spans="1:2" x14ac:dyDescent="0.25">
      <c r="A41" s="1" t="s">
        <v>23</v>
      </c>
      <c r="B41" s="64" t="s">
        <v>4611</v>
      </c>
    </row>
    <row r="42" spans="1:2" x14ac:dyDescent="0.25">
      <c r="A42" s="1" t="s">
        <v>24</v>
      </c>
      <c r="B42" s="64" t="s">
        <v>4470</v>
      </c>
    </row>
    <row r="43" spans="1:2" x14ac:dyDescent="0.25">
      <c r="A43" s="1" t="s">
        <v>25</v>
      </c>
      <c r="B43" s="64" t="s">
        <v>4997</v>
      </c>
    </row>
    <row r="44" spans="1:2" x14ac:dyDescent="0.25">
      <c r="A44" s="1" t="s">
        <v>26</v>
      </c>
      <c r="B44" s="64" t="s">
        <v>4430</v>
      </c>
    </row>
    <row r="45" spans="1:2" x14ac:dyDescent="0.25">
      <c r="A45" s="1" t="s">
        <v>339</v>
      </c>
      <c r="B45" s="64" t="s">
        <v>4277</v>
      </c>
    </row>
    <row r="46" spans="1:2" x14ac:dyDescent="0.25">
      <c r="A46" s="1" t="s">
        <v>27</v>
      </c>
      <c r="B46" s="64" t="s">
        <v>4864</v>
      </c>
    </row>
    <row r="47" spans="1:2" x14ac:dyDescent="0.25">
      <c r="A47" s="1" t="s">
        <v>333</v>
      </c>
      <c r="B47" s="64" t="s">
        <v>4995</v>
      </c>
    </row>
    <row r="48" spans="1:2" x14ac:dyDescent="0.25">
      <c r="A48" s="1" t="s">
        <v>332</v>
      </c>
      <c r="B48" s="64" t="s">
        <v>4922</v>
      </c>
    </row>
    <row r="49" spans="1:2" x14ac:dyDescent="0.25">
      <c r="A49" s="1" t="s">
        <v>28</v>
      </c>
      <c r="B49" s="64" t="s">
        <v>4926</v>
      </c>
    </row>
    <row r="50" spans="1:2" x14ac:dyDescent="0.25">
      <c r="A50" s="1" t="s">
        <v>29</v>
      </c>
      <c r="B50" s="64" t="s">
        <v>4773</v>
      </c>
    </row>
    <row r="51" spans="1:2" x14ac:dyDescent="0.25">
      <c r="A51" s="1" t="s">
        <v>30</v>
      </c>
      <c r="B51" s="64" t="s">
        <v>4434</v>
      </c>
    </row>
    <row r="52" spans="1:2" x14ac:dyDescent="0.25">
      <c r="A52" s="1" t="s">
        <v>31</v>
      </c>
      <c r="B52" s="64" t="s">
        <v>4685</v>
      </c>
    </row>
    <row r="53" spans="1:2" x14ac:dyDescent="0.25">
      <c r="A53" s="1" t="s">
        <v>330</v>
      </c>
      <c r="B53" s="64" t="s">
        <v>4427</v>
      </c>
    </row>
    <row r="54" spans="1:2" x14ac:dyDescent="0.25">
      <c r="A54" s="1" t="s">
        <v>340</v>
      </c>
      <c r="B54" s="64" t="s">
        <v>4435</v>
      </c>
    </row>
    <row r="55" spans="1:2" x14ac:dyDescent="0.25">
      <c r="A55" s="1" t="s">
        <v>341</v>
      </c>
      <c r="B55" s="64" t="s">
        <v>4436</v>
      </c>
    </row>
    <row r="56" spans="1:2" x14ac:dyDescent="0.25">
      <c r="A56" s="1" t="s">
        <v>32</v>
      </c>
      <c r="B56" s="64" t="s">
        <v>4438</v>
      </c>
    </row>
    <row r="57" spans="1:2" x14ac:dyDescent="0.25">
      <c r="A57" s="1" t="s">
        <v>342</v>
      </c>
      <c r="B57" s="64" t="s">
        <v>4437</v>
      </c>
    </row>
    <row r="58" spans="1:2" x14ac:dyDescent="0.25">
      <c r="A58" s="1" t="s">
        <v>343</v>
      </c>
      <c r="B58" s="64" t="s">
        <v>5003</v>
      </c>
    </row>
    <row r="59" spans="1:2" x14ac:dyDescent="0.25">
      <c r="A59" s="1" t="s">
        <v>34</v>
      </c>
      <c r="B59" s="64" t="s">
        <v>5004</v>
      </c>
    </row>
    <row r="60" spans="1:2" x14ac:dyDescent="0.25">
      <c r="A60" s="1" t="s">
        <v>331</v>
      </c>
      <c r="B60" s="64" t="s">
        <v>4994</v>
      </c>
    </row>
    <row r="61" spans="1:2" x14ac:dyDescent="0.25">
      <c r="A61" s="1" t="s">
        <v>35</v>
      </c>
      <c r="B61" s="64" t="s">
        <v>4393</v>
      </c>
    </row>
    <row r="62" spans="1:2" x14ac:dyDescent="0.25">
      <c r="A62" s="1" t="s">
        <v>36</v>
      </c>
      <c r="B62" s="64" t="s">
        <v>4996</v>
      </c>
    </row>
    <row r="63" spans="1:2" x14ac:dyDescent="0.25">
      <c r="A63" s="1" t="s">
        <v>38</v>
      </c>
      <c r="B63" s="64" t="s">
        <v>4841</v>
      </c>
    </row>
    <row r="64" spans="1:2" x14ac:dyDescent="0.25">
      <c r="A64" s="1" t="s">
        <v>39</v>
      </c>
      <c r="B64" s="64" t="s">
        <v>5006</v>
      </c>
    </row>
    <row r="65" spans="1:2" x14ac:dyDescent="0.25">
      <c r="A65" s="1" t="s">
        <v>41</v>
      </c>
      <c r="B65" s="64" t="s">
        <v>5102</v>
      </c>
    </row>
    <row r="66" spans="1:2" x14ac:dyDescent="0.25">
      <c r="A66" s="1" t="s">
        <v>42</v>
      </c>
      <c r="B66" s="64" t="s">
        <v>5007</v>
      </c>
    </row>
    <row r="67" spans="1:2" x14ac:dyDescent="0.25">
      <c r="A67" s="1" t="s">
        <v>386</v>
      </c>
      <c r="B67" s="64" t="s">
        <v>4465</v>
      </c>
    </row>
    <row r="68" spans="1:2" x14ac:dyDescent="0.25">
      <c r="A68" s="1" t="s">
        <v>385</v>
      </c>
      <c r="B68" s="64" t="s">
        <v>4388</v>
      </c>
    </row>
    <row r="69" spans="1:2" x14ac:dyDescent="0.25">
      <c r="A69" s="1" t="s">
        <v>387</v>
      </c>
      <c r="B69" s="64" t="s">
        <v>4466</v>
      </c>
    </row>
    <row r="70" spans="1:2" x14ac:dyDescent="0.25">
      <c r="A70" s="1" t="s">
        <v>390</v>
      </c>
      <c r="B70" s="64" t="s">
        <v>4467</v>
      </c>
    </row>
    <row r="71" spans="1:2" x14ac:dyDescent="0.25">
      <c r="A71" s="1" t="s">
        <v>388</v>
      </c>
      <c r="B71" s="64" t="s">
        <v>4355</v>
      </c>
    </row>
    <row r="72" spans="1:2" x14ac:dyDescent="0.25">
      <c r="A72" s="1" t="s">
        <v>389</v>
      </c>
      <c r="B72" s="64" t="s">
        <v>4404</v>
      </c>
    </row>
    <row r="73" spans="1:2" x14ac:dyDescent="0.25">
      <c r="A73" s="1" t="s">
        <v>43</v>
      </c>
      <c r="B73" s="64" t="s">
        <v>4432</v>
      </c>
    </row>
    <row r="74" spans="1:2" x14ac:dyDescent="0.25">
      <c r="A74" s="1" t="s">
        <v>44</v>
      </c>
      <c r="B74" s="64" t="s">
        <v>4433</v>
      </c>
    </row>
    <row r="75" spans="1:2" x14ac:dyDescent="0.25">
      <c r="A75" s="1" t="s">
        <v>45</v>
      </c>
      <c r="B75" s="64" t="s">
        <v>4928</v>
      </c>
    </row>
    <row r="76" spans="1:2" x14ac:dyDescent="0.25">
      <c r="A76" s="1" t="s">
        <v>46</v>
      </c>
      <c r="B76" s="64" t="s">
        <v>4765</v>
      </c>
    </row>
    <row r="77" spans="1:2" x14ac:dyDescent="0.25">
      <c r="A77" s="1" t="s">
        <v>344</v>
      </c>
      <c r="B77" s="64" t="s">
        <v>4442</v>
      </c>
    </row>
    <row r="78" spans="1:2" x14ac:dyDescent="0.25">
      <c r="A78" s="1" t="s">
        <v>47</v>
      </c>
      <c r="B78" s="64" t="s">
        <v>5005</v>
      </c>
    </row>
    <row r="79" spans="1:2" x14ac:dyDescent="0.25">
      <c r="A79" s="1" t="s">
        <v>48</v>
      </c>
      <c r="B79" s="64" t="s">
        <v>4741</v>
      </c>
    </row>
    <row r="80" spans="1:2" x14ac:dyDescent="0.25">
      <c r="A80" s="1" t="s">
        <v>337</v>
      </c>
      <c r="B80" s="64" t="s">
        <v>4925</v>
      </c>
    </row>
    <row r="81" spans="1:2" x14ac:dyDescent="0.25">
      <c r="A81" s="1" t="s">
        <v>338</v>
      </c>
      <c r="B81" s="64" t="s">
        <v>4855</v>
      </c>
    </row>
    <row r="82" spans="1:2" x14ac:dyDescent="0.25">
      <c r="A82" s="1" t="s">
        <v>49</v>
      </c>
      <c r="B82" s="64" t="s">
        <v>4843</v>
      </c>
    </row>
    <row r="83" spans="1:2" x14ac:dyDescent="0.25">
      <c r="A83" s="1" t="s">
        <v>4439</v>
      </c>
      <c r="B83" s="64" t="s">
        <v>4440</v>
      </c>
    </row>
    <row r="84" spans="1:2" x14ac:dyDescent="0.25">
      <c r="A84" s="1" t="s">
        <v>345</v>
      </c>
      <c r="B84" s="64" t="s">
        <v>4443</v>
      </c>
    </row>
    <row r="85" spans="1:2" x14ac:dyDescent="0.25">
      <c r="A85" s="1" t="s">
        <v>346</v>
      </c>
      <c r="B85" s="64" t="s">
        <v>4444</v>
      </c>
    </row>
    <row r="86" spans="1:2" x14ac:dyDescent="0.25">
      <c r="A86" s="1" t="s">
        <v>50</v>
      </c>
      <c r="B86" s="64" t="s">
        <v>4992</v>
      </c>
    </row>
    <row r="87" spans="1:2" x14ac:dyDescent="0.25">
      <c r="A87" s="1" t="s">
        <v>391</v>
      </c>
      <c r="B87" s="64" t="s">
        <v>2582</v>
      </c>
    </row>
    <row r="88" spans="1:2" x14ac:dyDescent="0.25">
      <c r="A88" s="1" t="s">
        <v>348</v>
      </c>
      <c r="B88" s="64" t="s">
        <v>5008</v>
      </c>
    </row>
    <row r="89" spans="1:2" x14ac:dyDescent="0.25">
      <c r="A89" s="1" t="s">
        <v>51</v>
      </c>
      <c r="B89" s="64" t="s">
        <v>4404</v>
      </c>
    </row>
    <row r="90" spans="1:2" x14ac:dyDescent="0.25">
      <c r="A90" s="1" t="s">
        <v>52</v>
      </c>
      <c r="B90" s="64" t="s">
        <v>5030</v>
      </c>
    </row>
    <row r="91" spans="1:2" x14ac:dyDescent="0.25">
      <c r="A91" s="1" t="s">
        <v>432</v>
      </c>
      <c r="B91" s="64" t="s">
        <v>4492</v>
      </c>
    </row>
    <row r="92" spans="1:2" x14ac:dyDescent="0.25">
      <c r="A92" s="1" t="s">
        <v>354</v>
      </c>
      <c r="B92" s="64" t="s">
        <v>4245</v>
      </c>
    </row>
    <row r="93" spans="1:2" x14ac:dyDescent="0.25">
      <c r="A93" s="1" t="s">
        <v>53</v>
      </c>
      <c r="B93" s="64" t="s">
        <v>4423</v>
      </c>
    </row>
    <row r="94" spans="1:2" x14ac:dyDescent="0.25">
      <c r="A94" s="1" t="s">
        <v>55</v>
      </c>
      <c r="B94" s="64" t="s">
        <v>5032</v>
      </c>
    </row>
    <row r="95" spans="1:2" x14ac:dyDescent="0.25">
      <c r="A95" s="1" t="s">
        <v>56</v>
      </c>
      <c r="B95" s="64" t="s">
        <v>5010</v>
      </c>
    </row>
    <row r="96" spans="1:2" x14ac:dyDescent="0.25">
      <c r="A96" s="1" t="s">
        <v>347</v>
      </c>
      <c r="B96" s="64" t="s">
        <v>4524</v>
      </c>
    </row>
    <row r="97" spans="1:2" x14ac:dyDescent="0.25">
      <c r="A97" s="1" t="s">
        <v>358</v>
      </c>
      <c r="B97" s="64" t="s">
        <v>4930</v>
      </c>
    </row>
    <row r="98" spans="1:2" x14ac:dyDescent="0.25">
      <c r="A98" s="1" t="s">
        <v>57</v>
      </c>
      <c r="B98" s="64" t="s">
        <v>4931</v>
      </c>
    </row>
    <row r="99" spans="1:2" x14ac:dyDescent="0.25">
      <c r="A99" s="1" t="s">
        <v>359</v>
      </c>
      <c r="B99" s="64" t="s">
        <v>4932</v>
      </c>
    </row>
    <row r="100" spans="1:2" x14ac:dyDescent="0.25">
      <c r="A100" s="1" t="s">
        <v>369</v>
      </c>
      <c r="B100" s="64" t="s">
        <v>4933</v>
      </c>
    </row>
    <row r="101" spans="1:2" x14ac:dyDescent="0.25">
      <c r="A101" s="1" t="s">
        <v>370</v>
      </c>
      <c r="B101" s="64" t="s">
        <v>5018</v>
      </c>
    </row>
    <row r="102" spans="1:2" x14ac:dyDescent="0.25">
      <c r="A102" s="1" t="s">
        <v>357</v>
      </c>
      <c r="B102" s="64" t="s">
        <v>4329</v>
      </c>
    </row>
    <row r="103" spans="1:2" x14ac:dyDescent="0.25">
      <c r="A103" s="1" t="s">
        <v>356</v>
      </c>
      <c r="B103" s="64" t="s">
        <v>4449</v>
      </c>
    </row>
    <row r="104" spans="1:2" x14ac:dyDescent="0.25">
      <c r="A104" s="1" t="s">
        <v>367</v>
      </c>
      <c r="B104" s="64" t="s">
        <v>4457</v>
      </c>
    </row>
    <row r="105" spans="1:2" x14ac:dyDescent="0.25">
      <c r="A105" s="1" t="s">
        <v>58</v>
      </c>
      <c r="B105" s="64" t="s">
        <v>4298</v>
      </c>
    </row>
    <row r="106" spans="1:2" x14ac:dyDescent="0.25">
      <c r="A106" s="1" t="s">
        <v>355</v>
      </c>
      <c r="B106" s="64" t="s">
        <v>4298</v>
      </c>
    </row>
    <row r="107" spans="1:2" x14ac:dyDescent="0.25">
      <c r="A107" s="1" t="s">
        <v>361</v>
      </c>
      <c r="B107" s="64" t="s">
        <v>4246</v>
      </c>
    </row>
    <row r="108" spans="1:2" x14ac:dyDescent="0.25">
      <c r="A108" s="1" t="s">
        <v>363</v>
      </c>
      <c r="B108" s="64" t="s">
        <v>4453</v>
      </c>
    </row>
    <row r="109" spans="1:2" x14ac:dyDescent="0.25">
      <c r="A109" s="1" t="s">
        <v>362</v>
      </c>
      <c r="B109" s="64" t="s">
        <v>4393</v>
      </c>
    </row>
    <row r="110" spans="1:2" x14ac:dyDescent="0.25">
      <c r="A110" s="1" t="s">
        <v>59</v>
      </c>
      <c r="B110" s="64" t="s">
        <v>4494</v>
      </c>
    </row>
    <row r="111" spans="1:2" x14ac:dyDescent="0.25">
      <c r="A111" s="1" t="s">
        <v>60</v>
      </c>
      <c r="B111" s="64" t="s">
        <v>4447</v>
      </c>
    </row>
    <row r="112" spans="1:2" x14ac:dyDescent="0.25">
      <c r="A112" s="1" t="s">
        <v>61</v>
      </c>
      <c r="B112" s="64" t="s">
        <v>4527</v>
      </c>
    </row>
    <row r="113" spans="1:2" x14ac:dyDescent="0.25">
      <c r="A113" s="1" t="s">
        <v>62</v>
      </c>
      <c r="B113" s="64" t="s">
        <v>4934</v>
      </c>
    </row>
    <row r="114" spans="1:2" x14ac:dyDescent="0.25">
      <c r="A114" s="1" t="s">
        <v>63</v>
      </c>
      <c r="B114" s="64" t="s">
        <v>5019</v>
      </c>
    </row>
    <row r="115" spans="1:2" x14ac:dyDescent="0.25">
      <c r="A115" s="1" t="s">
        <v>64</v>
      </c>
      <c r="B115" s="64" t="s">
        <v>4390</v>
      </c>
    </row>
    <row r="116" spans="1:2" x14ac:dyDescent="0.25">
      <c r="A116" s="1" t="s">
        <v>65</v>
      </c>
      <c r="B116" s="64" t="s">
        <v>5055</v>
      </c>
    </row>
    <row r="117" spans="1:2" x14ac:dyDescent="0.25">
      <c r="A117" s="1" t="s">
        <v>66</v>
      </c>
      <c r="B117" s="64" t="s">
        <v>4940</v>
      </c>
    </row>
    <row r="118" spans="1:2" x14ac:dyDescent="0.25">
      <c r="A118" s="1" t="s">
        <v>352</v>
      </c>
      <c r="B118" s="64" t="s">
        <v>4446</v>
      </c>
    </row>
    <row r="119" spans="1:2" x14ac:dyDescent="0.25">
      <c r="A119" s="1" t="s">
        <v>67</v>
      </c>
      <c r="B119" s="64" t="s">
        <v>5013</v>
      </c>
    </row>
    <row r="120" spans="1:2" x14ac:dyDescent="0.25">
      <c r="A120" s="1" t="s">
        <v>68</v>
      </c>
      <c r="B120" s="64" t="s">
        <v>4452</v>
      </c>
    </row>
    <row r="121" spans="1:2" x14ac:dyDescent="0.25">
      <c r="A121" s="1" t="s">
        <v>69</v>
      </c>
      <c r="B121" s="64" t="s">
        <v>5016</v>
      </c>
    </row>
    <row r="122" spans="1:2" x14ac:dyDescent="0.25">
      <c r="A122" s="1" t="s">
        <v>360</v>
      </c>
      <c r="B122" s="64" t="s">
        <v>4450</v>
      </c>
    </row>
    <row r="123" spans="1:2" x14ac:dyDescent="0.25">
      <c r="A123" s="1" t="s">
        <v>70</v>
      </c>
      <c r="B123" s="64" t="s">
        <v>4320</v>
      </c>
    </row>
    <row r="124" spans="1:2" x14ac:dyDescent="0.25">
      <c r="A124" s="1" t="s">
        <v>380</v>
      </c>
      <c r="B124" s="64" t="s">
        <v>5026</v>
      </c>
    </row>
    <row r="125" spans="1:2" x14ac:dyDescent="0.25">
      <c r="A125" s="1" t="s">
        <v>392</v>
      </c>
      <c r="B125" s="64" t="s">
        <v>4244</v>
      </c>
    </row>
    <row r="126" spans="1:2" x14ac:dyDescent="0.25">
      <c r="A126" s="1" t="s">
        <v>71</v>
      </c>
      <c r="B126" s="64" t="s">
        <v>4379</v>
      </c>
    </row>
    <row r="127" spans="1:2" x14ac:dyDescent="0.25">
      <c r="A127" s="1" t="s">
        <v>72</v>
      </c>
      <c r="B127" s="64" t="s">
        <v>5022</v>
      </c>
    </row>
    <row r="128" spans="1:2" x14ac:dyDescent="0.25">
      <c r="A128" s="1" t="s">
        <v>374</v>
      </c>
      <c r="B128" s="64" t="s">
        <v>4250</v>
      </c>
    </row>
    <row r="129" spans="1:2" x14ac:dyDescent="0.25">
      <c r="A129" s="1" t="s">
        <v>73</v>
      </c>
      <c r="B129" s="64" t="s">
        <v>4936</v>
      </c>
    </row>
    <row r="130" spans="1:2" x14ac:dyDescent="0.25">
      <c r="A130" s="1" t="s">
        <v>74</v>
      </c>
      <c r="B130" s="64" t="s">
        <v>4469</v>
      </c>
    </row>
    <row r="131" spans="1:2" x14ac:dyDescent="0.25">
      <c r="A131" s="1" t="s">
        <v>75</v>
      </c>
      <c r="B131" s="64" t="s">
        <v>5009</v>
      </c>
    </row>
    <row r="132" spans="1:2" x14ac:dyDescent="0.25">
      <c r="A132" s="1" t="s">
        <v>413</v>
      </c>
      <c r="B132" s="64" t="s">
        <v>4949</v>
      </c>
    </row>
    <row r="133" spans="1:2" x14ac:dyDescent="0.25">
      <c r="A133" s="1" t="s">
        <v>414</v>
      </c>
      <c r="B133" s="64" t="s">
        <v>4384</v>
      </c>
    </row>
    <row r="134" spans="1:2" x14ac:dyDescent="0.25">
      <c r="A134" s="1" t="s">
        <v>489</v>
      </c>
      <c r="B134" s="64" t="s">
        <v>4338</v>
      </c>
    </row>
    <row r="135" spans="1:2" x14ac:dyDescent="0.25">
      <c r="A135" s="1" t="s">
        <v>488</v>
      </c>
      <c r="B135" s="64" t="s">
        <v>5132</v>
      </c>
    </row>
    <row r="136" spans="1:2" x14ac:dyDescent="0.25">
      <c r="A136" s="1" t="s">
        <v>487</v>
      </c>
      <c r="B136" s="64" t="s">
        <v>5131</v>
      </c>
    </row>
    <row r="137" spans="1:2" x14ac:dyDescent="0.25">
      <c r="A137" s="1" t="s">
        <v>377</v>
      </c>
      <c r="B137" s="64" t="s">
        <v>4343</v>
      </c>
    </row>
    <row r="138" spans="1:2" x14ac:dyDescent="0.25">
      <c r="A138" s="1" t="s">
        <v>378</v>
      </c>
      <c r="B138" s="64" t="s">
        <v>2582</v>
      </c>
    </row>
    <row r="139" spans="1:2" x14ac:dyDescent="0.25">
      <c r="A139" s="1" t="s">
        <v>76</v>
      </c>
      <c r="B139" s="64" t="s">
        <v>5029</v>
      </c>
    </row>
    <row r="140" spans="1:2" x14ac:dyDescent="0.25">
      <c r="A140" s="1" t="s">
        <v>77</v>
      </c>
      <c r="B140" s="64" t="s">
        <v>4418</v>
      </c>
    </row>
    <row r="141" spans="1:2" x14ac:dyDescent="0.25">
      <c r="A141" s="1" t="s">
        <v>78</v>
      </c>
      <c r="B141" s="64" t="s">
        <v>4518</v>
      </c>
    </row>
    <row r="142" spans="1:2" x14ac:dyDescent="0.25">
      <c r="A142" s="1" t="s">
        <v>364</v>
      </c>
      <c r="B142" s="64" t="s">
        <v>4454</v>
      </c>
    </row>
    <row r="143" spans="1:2" x14ac:dyDescent="0.25">
      <c r="A143" s="1" t="s">
        <v>365</v>
      </c>
      <c r="B143" s="64" t="s">
        <v>4455</v>
      </c>
    </row>
    <row r="144" spans="1:2" x14ac:dyDescent="0.25">
      <c r="A144" s="1" t="s">
        <v>366</v>
      </c>
      <c r="B144" s="64" t="s">
        <v>4456</v>
      </c>
    </row>
    <row r="145" spans="1:2" x14ac:dyDescent="0.25">
      <c r="A145" s="1" t="s">
        <v>427</v>
      </c>
      <c r="B145" s="64" t="s">
        <v>4487</v>
      </c>
    </row>
    <row r="146" spans="1:2" x14ac:dyDescent="0.25">
      <c r="A146" s="1" t="s">
        <v>79</v>
      </c>
      <c r="B146" s="64" t="s">
        <v>4958</v>
      </c>
    </row>
    <row r="147" spans="1:2" x14ac:dyDescent="0.25">
      <c r="A147" s="1" t="s">
        <v>80</v>
      </c>
      <c r="B147" s="64" t="s">
        <v>4810</v>
      </c>
    </row>
    <row r="148" spans="1:2" x14ac:dyDescent="0.25">
      <c r="A148" s="1" t="s">
        <v>81</v>
      </c>
      <c r="B148" s="64" t="s">
        <v>4489</v>
      </c>
    </row>
    <row r="149" spans="1:2" x14ac:dyDescent="0.25">
      <c r="A149" s="1" t="s">
        <v>379</v>
      </c>
      <c r="B149" s="64" t="s">
        <v>5023</v>
      </c>
    </row>
    <row r="150" spans="1:2" x14ac:dyDescent="0.25">
      <c r="A150" s="1" t="s">
        <v>82</v>
      </c>
      <c r="B150" s="64" t="s">
        <v>5024</v>
      </c>
    </row>
    <row r="151" spans="1:2" x14ac:dyDescent="0.25">
      <c r="A151" s="1" t="s">
        <v>393</v>
      </c>
      <c r="B151" s="64" t="s">
        <v>4470</v>
      </c>
    </row>
    <row r="152" spans="1:2" x14ac:dyDescent="0.25">
      <c r="A152" s="1" t="s">
        <v>84</v>
      </c>
      <c r="B152" s="64" t="s">
        <v>4575</v>
      </c>
    </row>
    <row r="153" spans="1:2" x14ac:dyDescent="0.25">
      <c r="A153" s="1" t="s">
        <v>87</v>
      </c>
      <c r="B153" s="64" t="s">
        <v>5031</v>
      </c>
    </row>
    <row r="154" spans="1:2" x14ac:dyDescent="0.25">
      <c r="A154" s="1" t="s">
        <v>88</v>
      </c>
      <c r="B154" s="64" t="s">
        <v>5033</v>
      </c>
    </row>
    <row r="155" spans="1:2" x14ac:dyDescent="0.25">
      <c r="A155" s="1" t="s">
        <v>89</v>
      </c>
      <c r="B155" s="64" t="s">
        <v>5035</v>
      </c>
    </row>
    <row r="156" spans="1:2" x14ac:dyDescent="0.25">
      <c r="A156" s="1" t="s">
        <v>449</v>
      </c>
      <c r="B156" s="64" t="s">
        <v>5095</v>
      </c>
    </row>
    <row r="157" spans="1:2" x14ac:dyDescent="0.25">
      <c r="A157" s="1" t="s">
        <v>394</v>
      </c>
      <c r="B157" s="64" t="s">
        <v>4424</v>
      </c>
    </row>
    <row r="158" spans="1:2" x14ac:dyDescent="0.25">
      <c r="A158" s="1" t="s">
        <v>396</v>
      </c>
      <c r="B158" s="64" t="s">
        <v>4472</v>
      </c>
    </row>
    <row r="159" spans="1:2" x14ac:dyDescent="0.25">
      <c r="A159" s="1" t="s">
        <v>90</v>
      </c>
      <c r="B159" s="64" t="s">
        <v>4942</v>
      </c>
    </row>
    <row r="160" spans="1:2" x14ac:dyDescent="0.25">
      <c r="A160" s="1" t="s">
        <v>397</v>
      </c>
      <c r="B160" s="64" t="s">
        <v>5036</v>
      </c>
    </row>
    <row r="161" spans="1:2" x14ac:dyDescent="0.25">
      <c r="A161" s="1" t="s">
        <v>91</v>
      </c>
      <c r="B161" s="64" t="s">
        <v>5037</v>
      </c>
    </row>
    <row r="162" spans="1:2" x14ac:dyDescent="0.25">
      <c r="A162" s="1" t="s">
        <v>398</v>
      </c>
      <c r="B162" s="64" t="s">
        <v>4357</v>
      </c>
    </row>
    <row r="163" spans="1:2" x14ac:dyDescent="0.25">
      <c r="A163" s="1" t="s">
        <v>92</v>
      </c>
      <c r="B163" s="64" t="s">
        <v>4850</v>
      </c>
    </row>
    <row r="164" spans="1:2" x14ac:dyDescent="0.25">
      <c r="A164" s="1" t="s">
        <v>93</v>
      </c>
      <c r="B164" s="64" t="s">
        <v>4943</v>
      </c>
    </row>
    <row r="165" spans="1:2" x14ac:dyDescent="0.25">
      <c r="A165" s="1" t="s">
        <v>94</v>
      </c>
      <c r="B165" s="64" t="s">
        <v>4252</v>
      </c>
    </row>
    <row r="166" spans="1:2" x14ac:dyDescent="0.25">
      <c r="A166" s="1" t="s">
        <v>403</v>
      </c>
      <c r="B166" s="64" t="s">
        <v>4476</v>
      </c>
    </row>
    <row r="167" spans="1:2" x14ac:dyDescent="0.25">
      <c r="A167" s="1" t="s">
        <v>383</v>
      </c>
      <c r="B167" s="64" t="s">
        <v>4464</v>
      </c>
    </row>
    <row r="168" spans="1:2" x14ac:dyDescent="0.25">
      <c r="A168" s="1" t="s">
        <v>382</v>
      </c>
      <c r="B168" s="64" t="s">
        <v>4463</v>
      </c>
    </row>
    <row r="169" spans="1:2" x14ac:dyDescent="0.25">
      <c r="A169" s="1" t="s">
        <v>95</v>
      </c>
      <c r="B169" s="64" t="s">
        <v>5043</v>
      </c>
    </row>
    <row r="170" spans="1:2" x14ac:dyDescent="0.25">
      <c r="A170" s="1" t="s">
        <v>400</v>
      </c>
      <c r="B170" s="64" t="s">
        <v>4475</v>
      </c>
    </row>
    <row r="171" spans="1:2" x14ac:dyDescent="0.25">
      <c r="A171" s="1" t="s">
        <v>399</v>
      </c>
      <c r="B171" s="64" t="s">
        <v>4474</v>
      </c>
    </row>
    <row r="172" spans="1:2" x14ac:dyDescent="0.25">
      <c r="A172" s="1" t="s">
        <v>96</v>
      </c>
      <c r="B172" s="64" t="s">
        <v>5011</v>
      </c>
    </row>
    <row r="173" spans="1:2" x14ac:dyDescent="0.25">
      <c r="A173" s="1" t="s">
        <v>351</v>
      </c>
      <c r="B173" s="64" t="s">
        <v>4403</v>
      </c>
    </row>
    <row r="174" spans="1:2" x14ac:dyDescent="0.25">
      <c r="A174" s="1" t="s">
        <v>97</v>
      </c>
      <c r="B174" s="64" t="s">
        <v>5012</v>
      </c>
    </row>
    <row r="175" spans="1:2" x14ac:dyDescent="0.25">
      <c r="A175" s="1" t="s">
        <v>98</v>
      </c>
      <c r="B175" s="64" t="s">
        <v>4944</v>
      </c>
    </row>
    <row r="176" spans="1:2" x14ac:dyDescent="0.25">
      <c r="A176" s="1" t="s">
        <v>99</v>
      </c>
      <c r="B176" s="64" t="s">
        <v>5039</v>
      </c>
    </row>
    <row r="177" spans="1:2" x14ac:dyDescent="0.25">
      <c r="A177" s="1" t="s">
        <v>404</v>
      </c>
      <c r="B177" s="64" t="s">
        <v>5041</v>
      </c>
    </row>
    <row r="178" spans="1:2" x14ac:dyDescent="0.25">
      <c r="A178" s="1" t="s">
        <v>100</v>
      </c>
      <c r="B178" s="64" t="s">
        <v>5038</v>
      </c>
    </row>
    <row r="179" spans="1:2" x14ac:dyDescent="0.25">
      <c r="A179" s="1" t="s">
        <v>101</v>
      </c>
      <c r="B179" s="64" t="s">
        <v>4945</v>
      </c>
    </row>
    <row r="180" spans="1:2" x14ac:dyDescent="0.25">
      <c r="A180" s="1" t="s">
        <v>102</v>
      </c>
      <c r="B180" s="64" t="s">
        <v>5042</v>
      </c>
    </row>
    <row r="181" spans="1:2" x14ac:dyDescent="0.25">
      <c r="A181" s="1" t="s">
        <v>103</v>
      </c>
      <c r="B181" s="64" t="s">
        <v>4854</v>
      </c>
    </row>
    <row r="182" spans="1:2" x14ac:dyDescent="0.25">
      <c r="A182" s="1" t="s">
        <v>407</v>
      </c>
      <c r="B182" s="64" t="s">
        <v>4600</v>
      </c>
    </row>
    <row r="183" spans="1:2" x14ac:dyDescent="0.25">
      <c r="A183" s="1" t="s">
        <v>405</v>
      </c>
      <c r="B183" s="64" t="s">
        <v>4346</v>
      </c>
    </row>
    <row r="184" spans="1:2" x14ac:dyDescent="0.25">
      <c r="A184" s="1" t="s">
        <v>406</v>
      </c>
      <c r="B184" s="64" t="s">
        <v>4370</v>
      </c>
    </row>
    <row r="185" spans="1:2" x14ac:dyDescent="0.25">
      <c r="A185" s="1" t="s">
        <v>349</v>
      </c>
      <c r="B185" s="64" t="s">
        <v>4445</v>
      </c>
    </row>
    <row r="186" spans="1:2" x14ac:dyDescent="0.25">
      <c r="A186" s="1" t="s">
        <v>411</v>
      </c>
      <c r="B186" s="64" t="s">
        <v>5044</v>
      </c>
    </row>
    <row r="187" spans="1:2" x14ac:dyDescent="0.25">
      <c r="A187" s="1" t="s">
        <v>408</v>
      </c>
      <c r="B187" s="64" t="s">
        <v>4412</v>
      </c>
    </row>
    <row r="188" spans="1:2" x14ac:dyDescent="0.25">
      <c r="A188" s="1" t="s">
        <v>410</v>
      </c>
      <c r="B188" s="64" t="s">
        <v>4253</v>
      </c>
    </row>
    <row r="189" spans="1:2" x14ac:dyDescent="0.25">
      <c r="A189" s="1" t="s">
        <v>409</v>
      </c>
      <c r="B189" s="64" t="s">
        <v>4478</v>
      </c>
    </row>
    <row r="190" spans="1:2" x14ac:dyDescent="0.25">
      <c r="A190" s="1" t="s">
        <v>104</v>
      </c>
      <c r="B190" s="64" t="s">
        <v>5045</v>
      </c>
    </row>
    <row r="191" spans="1:2" x14ac:dyDescent="0.25">
      <c r="A191" s="1" t="s">
        <v>105</v>
      </c>
      <c r="B191" s="64" t="s">
        <v>4490</v>
      </c>
    </row>
    <row r="192" spans="1:2" x14ac:dyDescent="0.25">
      <c r="A192" s="1" t="s">
        <v>106</v>
      </c>
      <c r="B192" s="64" t="s">
        <v>5046</v>
      </c>
    </row>
    <row r="193" spans="1:2" x14ac:dyDescent="0.25">
      <c r="A193" s="1" t="s">
        <v>412</v>
      </c>
      <c r="B193" s="64" t="s">
        <v>5047</v>
      </c>
    </row>
    <row r="194" spans="1:2" x14ac:dyDescent="0.25">
      <c r="A194" s="1" t="s">
        <v>107</v>
      </c>
      <c r="B194" s="64" t="s">
        <v>4946</v>
      </c>
    </row>
    <row r="195" spans="1:2" x14ac:dyDescent="0.25">
      <c r="A195" s="1" t="s">
        <v>109</v>
      </c>
      <c r="B195" s="64" t="s">
        <v>5048</v>
      </c>
    </row>
    <row r="196" spans="1:2" x14ac:dyDescent="0.25">
      <c r="A196" s="1" t="s">
        <v>110</v>
      </c>
      <c r="B196" s="64" t="s">
        <v>5049</v>
      </c>
    </row>
    <row r="197" spans="1:2" x14ac:dyDescent="0.25">
      <c r="A197" s="1" t="s">
        <v>368</v>
      </c>
      <c r="B197" s="64" t="s">
        <v>4774</v>
      </c>
    </row>
    <row r="198" spans="1:2" x14ac:dyDescent="0.25">
      <c r="A198" s="1" t="s">
        <v>112</v>
      </c>
      <c r="B198" s="64" t="s">
        <v>5017</v>
      </c>
    </row>
    <row r="199" spans="1:2" x14ac:dyDescent="0.25">
      <c r="A199" s="1" t="s">
        <v>113</v>
      </c>
      <c r="B199" s="64" t="s">
        <v>5050</v>
      </c>
    </row>
    <row r="200" spans="1:2" x14ac:dyDescent="0.25">
      <c r="A200" s="1" t="s">
        <v>118</v>
      </c>
      <c r="B200" s="64" t="s">
        <v>5051</v>
      </c>
    </row>
    <row r="201" spans="1:2" x14ac:dyDescent="0.25">
      <c r="A201" s="1" t="s">
        <v>120</v>
      </c>
      <c r="B201" s="64" t="s">
        <v>4950</v>
      </c>
    </row>
    <row r="202" spans="1:2" x14ac:dyDescent="0.25">
      <c r="A202" s="1" t="s">
        <v>121</v>
      </c>
      <c r="B202" s="64" t="s">
        <v>4495</v>
      </c>
    </row>
    <row r="203" spans="1:2" x14ac:dyDescent="0.25">
      <c r="A203" s="1" t="s">
        <v>457</v>
      </c>
      <c r="B203" s="64" t="s">
        <v>4600</v>
      </c>
    </row>
    <row r="204" spans="1:2" x14ac:dyDescent="0.25">
      <c r="A204" s="1" t="s">
        <v>122</v>
      </c>
      <c r="B204" s="64" t="s">
        <v>4398</v>
      </c>
    </row>
    <row r="205" spans="1:2" x14ac:dyDescent="0.25">
      <c r="A205" s="1" t="s">
        <v>461</v>
      </c>
      <c r="B205" s="64" t="s">
        <v>4508</v>
      </c>
    </row>
    <row r="206" spans="1:2" x14ac:dyDescent="0.25">
      <c r="A206" s="1" t="s">
        <v>123</v>
      </c>
      <c r="B206" s="64" t="s">
        <v>4485</v>
      </c>
    </row>
    <row r="207" spans="1:2" x14ac:dyDescent="0.25">
      <c r="A207" s="1" t="s">
        <v>124</v>
      </c>
      <c r="B207" s="64" t="s">
        <v>5053</v>
      </c>
    </row>
    <row r="208" spans="1:2" x14ac:dyDescent="0.25">
      <c r="A208" s="1" t="s">
        <v>125</v>
      </c>
      <c r="B208" s="64" t="s">
        <v>4254</v>
      </c>
    </row>
    <row r="209" spans="1:2" x14ac:dyDescent="0.25">
      <c r="A209" s="1" t="s">
        <v>416</v>
      </c>
      <c r="B209" s="64" t="s">
        <v>4483</v>
      </c>
    </row>
    <row r="210" spans="1:2" x14ac:dyDescent="0.25">
      <c r="A210" s="1" t="s">
        <v>423</v>
      </c>
      <c r="B210" s="64" t="s">
        <v>5065</v>
      </c>
    </row>
    <row r="211" spans="1:2" x14ac:dyDescent="0.25">
      <c r="A211" s="1" t="s">
        <v>126</v>
      </c>
      <c r="B211" s="64" t="s">
        <v>4482</v>
      </c>
    </row>
    <row r="212" spans="1:2" x14ac:dyDescent="0.25">
      <c r="A212" s="1" t="s">
        <v>127</v>
      </c>
      <c r="B212" s="64" t="s">
        <v>4689</v>
      </c>
    </row>
    <row r="213" spans="1:2" x14ac:dyDescent="0.25">
      <c r="A213" s="1" t="s">
        <v>4276</v>
      </c>
      <c r="B213" s="64" t="s">
        <v>4624</v>
      </c>
    </row>
    <row r="214" spans="1:2" x14ac:dyDescent="0.25">
      <c r="A214" s="1" t="s">
        <v>128</v>
      </c>
      <c r="B214" s="64" t="s">
        <v>5054</v>
      </c>
    </row>
    <row r="215" spans="1:2" x14ac:dyDescent="0.25">
      <c r="A215" s="1" t="s">
        <v>381</v>
      </c>
      <c r="B215" s="64" t="s">
        <v>4462</v>
      </c>
    </row>
    <row r="216" spans="1:2" x14ac:dyDescent="0.25">
      <c r="A216" s="1" t="s">
        <v>129</v>
      </c>
      <c r="B216" s="64" t="s">
        <v>4639</v>
      </c>
    </row>
    <row r="217" spans="1:2" x14ac:dyDescent="0.25">
      <c r="A217" s="1" t="s">
        <v>130</v>
      </c>
      <c r="B217" s="64" t="s">
        <v>5052</v>
      </c>
    </row>
    <row r="218" spans="1:2" x14ac:dyDescent="0.25">
      <c r="A218" s="1" t="s">
        <v>131</v>
      </c>
      <c r="B218" s="64" t="s">
        <v>4428</v>
      </c>
    </row>
    <row r="219" spans="1:2" x14ac:dyDescent="0.25">
      <c r="A219" s="1" t="s">
        <v>417</v>
      </c>
      <c r="B219" s="64" t="s">
        <v>4586</v>
      </c>
    </row>
    <row r="220" spans="1:2" x14ac:dyDescent="0.25">
      <c r="A220" s="1" t="s">
        <v>132</v>
      </c>
      <c r="B220" s="64" t="s">
        <v>5056</v>
      </c>
    </row>
    <row r="221" spans="1:2" x14ac:dyDescent="0.25">
      <c r="A221" s="1" t="s">
        <v>418</v>
      </c>
      <c r="B221" s="64" t="s">
        <v>5057</v>
      </c>
    </row>
    <row r="222" spans="1:2" x14ac:dyDescent="0.25">
      <c r="A222" s="1" t="s">
        <v>133</v>
      </c>
      <c r="B222" s="64" t="s">
        <v>4869</v>
      </c>
    </row>
    <row r="223" spans="1:2" x14ac:dyDescent="0.25">
      <c r="A223" s="1" t="s">
        <v>419</v>
      </c>
      <c r="B223" s="64" t="s">
        <v>5058</v>
      </c>
    </row>
    <row r="224" spans="1:2" x14ac:dyDescent="0.25">
      <c r="A224" s="1" t="s">
        <v>421</v>
      </c>
      <c r="B224" s="64" t="s">
        <v>5059</v>
      </c>
    </row>
    <row r="225" spans="1:2" x14ac:dyDescent="0.25">
      <c r="A225" s="1" t="s">
        <v>371</v>
      </c>
      <c r="B225" s="64" t="s">
        <v>5020</v>
      </c>
    </row>
    <row r="226" spans="1:2" x14ac:dyDescent="0.25">
      <c r="A226" s="1" t="s">
        <v>420</v>
      </c>
      <c r="B226" s="64" t="s">
        <v>4709</v>
      </c>
    </row>
    <row r="227" spans="1:2" x14ac:dyDescent="0.25">
      <c r="A227" s="1" t="s">
        <v>138</v>
      </c>
      <c r="B227" s="64" t="s">
        <v>4935</v>
      </c>
    </row>
    <row r="228" spans="1:2" x14ac:dyDescent="0.25">
      <c r="A228" s="1" t="s">
        <v>139</v>
      </c>
      <c r="B228" s="64" t="s">
        <v>4954</v>
      </c>
    </row>
    <row r="229" spans="1:2" x14ac:dyDescent="0.25">
      <c r="A229" s="1" t="s">
        <v>140</v>
      </c>
      <c r="B229" s="64" t="s">
        <v>5060</v>
      </c>
    </row>
    <row r="230" spans="1:2" x14ac:dyDescent="0.25">
      <c r="A230" s="1" t="s">
        <v>422</v>
      </c>
      <c r="B230" s="64" t="s">
        <v>4371</v>
      </c>
    </row>
    <row r="231" spans="1:2" x14ac:dyDescent="0.25">
      <c r="A231" s="1" t="s">
        <v>141</v>
      </c>
      <c r="B231" s="64" t="s">
        <v>4404</v>
      </c>
    </row>
    <row r="232" spans="1:2" x14ac:dyDescent="0.25">
      <c r="A232" s="1" t="s">
        <v>142</v>
      </c>
      <c r="B232" s="64" t="s">
        <v>4659</v>
      </c>
    </row>
    <row r="233" spans="1:2" x14ac:dyDescent="0.25">
      <c r="A233" s="1" t="s">
        <v>143</v>
      </c>
      <c r="B233" s="64" t="s">
        <v>5064</v>
      </c>
    </row>
    <row r="234" spans="1:2" x14ac:dyDescent="0.25">
      <c r="A234" s="1" t="s">
        <v>144</v>
      </c>
      <c r="B234" s="64" t="s">
        <v>5063</v>
      </c>
    </row>
    <row r="235" spans="1:2" x14ac:dyDescent="0.25">
      <c r="A235" s="1" t="s">
        <v>145</v>
      </c>
      <c r="B235" s="64" t="s">
        <v>5059</v>
      </c>
    </row>
    <row r="236" spans="1:2" x14ac:dyDescent="0.25">
      <c r="A236" s="1" t="s">
        <v>146</v>
      </c>
      <c r="B236" s="64" t="s">
        <v>4401</v>
      </c>
    </row>
    <row r="237" spans="1:2" x14ac:dyDescent="0.25">
      <c r="A237" s="1" t="s">
        <v>147</v>
      </c>
      <c r="B237" s="64" t="s">
        <v>5069</v>
      </c>
    </row>
    <row r="238" spans="1:2" x14ac:dyDescent="0.25">
      <c r="A238" s="1" t="s">
        <v>148</v>
      </c>
      <c r="B238" s="64" t="s">
        <v>5068</v>
      </c>
    </row>
    <row r="239" spans="1:2" x14ac:dyDescent="0.25">
      <c r="A239" s="1" t="s">
        <v>149</v>
      </c>
      <c r="B239" s="64" t="s">
        <v>4640</v>
      </c>
    </row>
    <row r="240" spans="1:2" x14ac:dyDescent="0.25">
      <c r="A240" s="1" t="s">
        <v>150</v>
      </c>
      <c r="B240" s="64" t="s">
        <v>5061</v>
      </c>
    </row>
    <row r="241" spans="1:2" x14ac:dyDescent="0.25">
      <c r="A241" s="1" t="s">
        <v>151</v>
      </c>
      <c r="B241" s="64" t="s">
        <v>4461</v>
      </c>
    </row>
    <row r="242" spans="1:2" x14ac:dyDescent="0.25">
      <c r="A242" s="1" t="s">
        <v>152</v>
      </c>
      <c r="B242" s="64" t="s">
        <v>4957</v>
      </c>
    </row>
    <row r="243" spans="1:2" x14ac:dyDescent="0.25">
      <c r="A243" s="1" t="s">
        <v>153</v>
      </c>
      <c r="B243" s="64" t="s">
        <v>4670</v>
      </c>
    </row>
    <row r="244" spans="1:2" x14ac:dyDescent="0.25">
      <c r="A244" s="1" t="s">
        <v>154</v>
      </c>
      <c r="B244" s="64" t="s">
        <v>4420</v>
      </c>
    </row>
    <row r="245" spans="1:2" x14ac:dyDescent="0.25">
      <c r="A245" s="1" t="s">
        <v>425</v>
      </c>
      <c r="B245" s="64" t="s">
        <v>4486</v>
      </c>
    </row>
    <row r="246" spans="1:2" x14ac:dyDescent="0.25">
      <c r="A246" s="1" t="s">
        <v>426</v>
      </c>
      <c r="B246" s="64" t="s">
        <v>4309</v>
      </c>
    </row>
    <row r="247" spans="1:2" x14ac:dyDescent="0.25">
      <c r="A247" s="1" t="s">
        <v>424</v>
      </c>
      <c r="B247" s="64" t="s">
        <v>5070</v>
      </c>
    </row>
    <row r="248" spans="1:2" x14ac:dyDescent="0.25">
      <c r="A248" s="1" t="s">
        <v>155</v>
      </c>
      <c r="B248" s="64" t="s">
        <v>5071</v>
      </c>
    </row>
    <row r="249" spans="1:2" x14ac:dyDescent="0.25">
      <c r="A249" s="1" t="s">
        <v>157</v>
      </c>
      <c r="B249" s="64" t="s">
        <v>4740</v>
      </c>
    </row>
    <row r="250" spans="1:2" x14ac:dyDescent="0.25">
      <c r="A250" s="1" t="s">
        <v>158</v>
      </c>
      <c r="B250" s="64" t="s">
        <v>5072</v>
      </c>
    </row>
    <row r="251" spans="1:2" x14ac:dyDescent="0.25">
      <c r="A251" s="1" t="s">
        <v>159</v>
      </c>
      <c r="B251" s="64" t="s">
        <v>4677</v>
      </c>
    </row>
    <row r="252" spans="1:2" x14ac:dyDescent="0.25">
      <c r="A252" s="1" t="s">
        <v>163</v>
      </c>
      <c r="B252" s="64" t="s">
        <v>5078</v>
      </c>
    </row>
    <row r="253" spans="1:2" x14ac:dyDescent="0.25">
      <c r="A253" s="1" t="s">
        <v>164</v>
      </c>
      <c r="B253" s="64" t="s">
        <v>5077</v>
      </c>
    </row>
    <row r="254" spans="1:2" x14ac:dyDescent="0.25">
      <c r="A254" s="1" t="s">
        <v>428</v>
      </c>
      <c r="B254" s="64" t="s">
        <v>4572</v>
      </c>
    </row>
    <row r="255" spans="1:2" x14ac:dyDescent="0.25">
      <c r="A255" s="1" t="s">
        <v>165</v>
      </c>
      <c r="B255" s="64" t="s">
        <v>5021</v>
      </c>
    </row>
    <row r="256" spans="1:2" x14ac:dyDescent="0.25">
      <c r="A256" s="1" t="s">
        <v>166</v>
      </c>
      <c r="B256" s="64" t="s">
        <v>5083</v>
      </c>
    </row>
    <row r="257" spans="1:2" x14ac:dyDescent="0.25">
      <c r="A257" s="1" t="s">
        <v>167</v>
      </c>
      <c r="B257" s="64" t="s">
        <v>4650</v>
      </c>
    </row>
    <row r="258" spans="1:2" x14ac:dyDescent="0.25">
      <c r="A258" s="1" t="s">
        <v>168</v>
      </c>
      <c r="B258" s="64" t="s">
        <v>5073</v>
      </c>
    </row>
    <row r="259" spans="1:2" x14ac:dyDescent="0.25">
      <c r="A259" s="1" t="s">
        <v>401</v>
      </c>
      <c r="B259" s="64" t="s">
        <v>4437</v>
      </c>
    </row>
    <row r="260" spans="1:2" x14ac:dyDescent="0.25">
      <c r="A260" s="1" t="s">
        <v>431</v>
      </c>
      <c r="B260" s="64" t="s">
        <v>4488</v>
      </c>
    </row>
    <row r="261" spans="1:2" x14ac:dyDescent="0.25">
      <c r="A261" s="1" t="s">
        <v>169</v>
      </c>
      <c r="B261" s="64" t="s">
        <v>4746</v>
      </c>
    </row>
    <row r="262" spans="1:2" x14ac:dyDescent="0.25">
      <c r="A262" s="1" t="s">
        <v>430</v>
      </c>
      <c r="B262" s="64" t="s">
        <v>5076</v>
      </c>
    </row>
    <row r="263" spans="1:2" x14ac:dyDescent="0.25">
      <c r="A263" s="1" t="s">
        <v>170</v>
      </c>
      <c r="B263" s="64" t="s">
        <v>4368</v>
      </c>
    </row>
    <row r="264" spans="1:2" x14ac:dyDescent="0.25">
      <c r="A264" s="1" t="s">
        <v>171</v>
      </c>
      <c r="B264" s="64" t="s">
        <v>5079</v>
      </c>
    </row>
    <row r="265" spans="1:2" x14ac:dyDescent="0.25">
      <c r="A265" s="1" t="s">
        <v>172</v>
      </c>
      <c r="B265" s="64" t="s">
        <v>4777</v>
      </c>
    </row>
    <row r="266" spans="1:2" x14ac:dyDescent="0.25">
      <c r="A266" s="1" t="s">
        <v>173</v>
      </c>
      <c r="B266" s="64" t="s">
        <v>5080</v>
      </c>
    </row>
    <row r="267" spans="1:2" x14ac:dyDescent="0.25">
      <c r="A267" s="1" t="s">
        <v>486</v>
      </c>
      <c r="B267" s="64" t="s">
        <v>4525</v>
      </c>
    </row>
    <row r="268" spans="1:2" x14ac:dyDescent="0.25">
      <c r="A268" s="1" t="s">
        <v>429</v>
      </c>
      <c r="B268" s="64" t="s">
        <v>5075</v>
      </c>
    </row>
    <row r="269" spans="1:2" x14ac:dyDescent="0.25">
      <c r="A269" s="1" t="s">
        <v>350</v>
      </c>
      <c r="B269" s="64" t="s">
        <v>4277</v>
      </c>
    </row>
    <row r="270" spans="1:2" x14ac:dyDescent="0.25">
      <c r="A270" s="1" t="s">
        <v>174</v>
      </c>
      <c r="B270" s="64" t="s">
        <v>4249</v>
      </c>
    </row>
    <row r="271" spans="1:2" x14ac:dyDescent="0.25">
      <c r="A271" s="1" t="s">
        <v>176</v>
      </c>
      <c r="B271" s="64" t="s">
        <v>5081</v>
      </c>
    </row>
    <row r="272" spans="1:2" x14ac:dyDescent="0.25">
      <c r="A272" s="1" t="s">
        <v>439</v>
      </c>
      <c r="B272" s="64" t="s">
        <v>5089</v>
      </c>
    </row>
    <row r="273" spans="1:2" x14ac:dyDescent="0.25">
      <c r="A273" s="1" t="s">
        <v>177</v>
      </c>
      <c r="B273" s="64" t="s">
        <v>5066</v>
      </c>
    </row>
    <row r="274" spans="1:2" x14ac:dyDescent="0.25">
      <c r="A274" s="1" t="s">
        <v>433</v>
      </c>
      <c r="B274" s="64" t="s">
        <v>5086</v>
      </c>
    </row>
    <row r="275" spans="1:2" x14ac:dyDescent="0.25">
      <c r="A275" s="1" t="s">
        <v>435</v>
      </c>
      <c r="B275" s="64" t="s">
        <v>4494</v>
      </c>
    </row>
    <row r="276" spans="1:2" x14ac:dyDescent="0.25">
      <c r="A276" s="1" t="s">
        <v>434</v>
      </c>
      <c r="B276" s="64" t="s">
        <v>4682</v>
      </c>
    </row>
    <row r="277" spans="1:2" x14ac:dyDescent="0.25">
      <c r="A277" s="1" t="s">
        <v>179</v>
      </c>
      <c r="B277" s="64" t="s">
        <v>5084</v>
      </c>
    </row>
    <row r="278" spans="1:2" x14ac:dyDescent="0.25">
      <c r="A278" s="1" t="s">
        <v>180</v>
      </c>
      <c r="B278" s="64" t="s">
        <v>5082</v>
      </c>
    </row>
    <row r="279" spans="1:2" x14ac:dyDescent="0.25">
      <c r="A279" s="1" t="s">
        <v>181</v>
      </c>
      <c r="B279" s="64" t="s">
        <v>4846</v>
      </c>
    </row>
    <row r="280" spans="1:2" x14ac:dyDescent="0.25">
      <c r="A280" s="1" t="s">
        <v>182</v>
      </c>
      <c r="B280" s="64" t="s">
        <v>4498</v>
      </c>
    </row>
    <row r="281" spans="1:2" x14ac:dyDescent="0.25">
      <c r="A281" s="1" t="s">
        <v>183</v>
      </c>
      <c r="B281" s="64" t="s">
        <v>4499</v>
      </c>
    </row>
    <row r="282" spans="1:2" x14ac:dyDescent="0.25">
      <c r="A282" s="1" t="s">
        <v>443</v>
      </c>
      <c r="B282" s="64" t="s">
        <v>4501</v>
      </c>
    </row>
    <row r="283" spans="1:2" x14ac:dyDescent="0.25">
      <c r="A283" s="1" t="s">
        <v>4328</v>
      </c>
      <c r="B283" s="64" t="s">
        <v>5087</v>
      </c>
    </row>
    <row r="284" spans="1:2" x14ac:dyDescent="0.25">
      <c r="A284" s="1" t="s">
        <v>4263</v>
      </c>
      <c r="B284" s="64" t="s">
        <v>4500</v>
      </c>
    </row>
    <row r="285" spans="1:2" x14ac:dyDescent="0.25">
      <c r="A285" s="1" t="s">
        <v>184</v>
      </c>
      <c r="B285" s="64" t="s">
        <v>5090</v>
      </c>
    </row>
    <row r="286" spans="1:2" x14ac:dyDescent="0.25">
      <c r="A286" s="1" t="s">
        <v>185</v>
      </c>
      <c r="B286" s="64" t="s">
        <v>4797</v>
      </c>
    </row>
    <row r="287" spans="1:2" x14ac:dyDescent="0.25">
      <c r="A287" s="1" t="s">
        <v>441</v>
      </c>
      <c r="B287" s="64" t="s">
        <v>4303</v>
      </c>
    </row>
    <row r="288" spans="1:2" x14ac:dyDescent="0.25">
      <c r="A288" s="1" t="s">
        <v>442</v>
      </c>
      <c r="B288" s="64" t="s">
        <v>4254</v>
      </c>
    </row>
    <row r="289" spans="1:2" x14ac:dyDescent="0.25">
      <c r="A289" s="1" t="s">
        <v>440</v>
      </c>
      <c r="B289" s="64" t="s">
        <v>4247</v>
      </c>
    </row>
    <row r="290" spans="1:2" x14ac:dyDescent="0.25">
      <c r="A290" s="1" t="s">
        <v>186</v>
      </c>
      <c r="B290" s="64" t="s">
        <v>5091</v>
      </c>
    </row>
    <row r="291" spans="1:2" x14ac:dyDescent="0.25">
      <c r="A291" s="1" t="s">
        <v>373</v>
      </c>
      <c r="B291" s="64" t="s">
        <v>4249</v>
      </c>
    </row>
    <row r="292" spans="1:2" x14ac:dyDescent="0.25">
      <c r="A292" s="1" t="s">
        <v>372</v>
      </c>
      <c r="B292" s="64" t="s">
        <v>4248</v>
      </c>
    </row>
    <row r="293" spans="1:2" x14ac:dyDescent="0.25">
      <c r="A293" s="1" t="s">
        <v>187</v>
      </c>
      <c r="B293" s="64" t="s">
        <v>4490</v>
      </c>
    </row>
    <row r="294" spans="1:2" x14ac:dyDescent="0.25">
      <c r="A294" s="1" t="s">
        <v>438</v>
      </c>
      <c r="B294" s="64" t="s">
        <v>5088</v>
      </c>
    </row>
    <row r="295" spans="1:2" x14ac:dyDescent="0.25">
      <c r="A295" s="1" t="s">
        <v>437</v>
      </c>
      <c r="B295" s="64" t="s">
        <v>4298</v>
      </c>
    </row>
    <row r="296" spans="1:2" x14ac:dyDescent="0.25">
      <c r="A296" s="1" t="s">
        <v>188</v>
      </c>
      <c r="B296" s="64" t="s">
        <v>4497</v>
      </c>
    </row>
    <row r="297" spans="1:2" x14ac:dyDescent="0.25">
      <c r="A297" s="1" t="s">
        <v>189</v>
      </c>
      <c r="B297" s="64" t="s">
        <v>4941</v>
      </c>
    </row>
    <row r="298" spans="1:2" x14ac:dyDescent="0.25">
      <c r="A298" s="1" t="s">
        <v>491</v>
      </c>
      <c r="B298" s="64" t="s">
        <v>4532</v>
      </c>
    </row>
    <row r="299" spans="1:2" x14ac:dyDescent="0.25">
      <c r="A299" s="1" t="s">
        <v>190</v>
      </c>
      <c r="B299" s="64" t="s">
        <v>4633</v>
      </c>
    </row>
    <row r="300" spans="1:2" x14ac:dyDescent="0.25">
      <c r="A300" s="1" t="s">
        <v>192</v>
      </c>
      <c r="B300" s="64" t="s">
        <v>4847</v>
      </c>
    </row>
    <row r="301" spans="1:2" x14ac:dyDescent="0.25">
      <c r="A301" s="1" t="s">
        <v>445</v>
      </c>
      <c r="B301" s="64" t="s">
        <v>5093</v>
      </c>
    </row>
    <row r="302" spans="1:2" x14ac:dyDescent="0.25">
      <c r="A302" s="1" t="s">
        <v>446</v>
      </c>
      <c r="B302" s="64" t="s">
        <v>5094</v>
      </c>
    </row>
    <row r="303" spans="1:2" x14ac:dyDescent="0.25">
      <c r="A303" s="1" t="s">
        <v>447</v>
      </c>
      <c r="B303" s="64" t="s">
        <v>4502</v>
      </c>
    </row>
    <row r="304" spans="1:2" x14ac:dyDescent="0.25">
      <c r="A304" s="1" t="s">
        <v>444</v>
      </c>
      <c r="B304" s="64" t="s">
        <v>5092</v>
      </c>
    </row>
    <row r="305" spans="1:2" x14ac:dyDescent="0.25">
      <c r="A305" s="1" t="s">
        <v>448</v>
      </c>
      <c r="B305" s="64" t="s">
        <v>4503</v>
      </c>
    </row>
    <row r="306" spans="1:2" x14ac:dyDescent="0.25">
      <c r="A306" s="1" t="s">
        <v>384</v>
      </c>
      <c r="B306" s="64" t="s">
        <v>4251</v>
      </c>
    </row>
    <row r="307" spans="1:2" x14ac:dyDescent="0.25">
      <c r="A307" s="1" t="s">
        <v>193</v>
      </c>
      <c r="B307" s="64" t="s">
        <v>4504</v>
      </c>
    </row>
    <row r="308" spans="1:2" x14ac:dyDescent="0.25">
      <c r="A308" s="1" t="s">
        <v>194</v>
      </c>
      <c r="B308" s="64" t="s">
        <v>5097</v>
      </c>
    </row>
    <row r="309" spans="1:2" x14ac:dyDescent="0.25">
      <c r="A309" s="1" t="s">
        <v>195</v>
      </c>
      <c r="B309" s="64" t="s">
        <v>4505</v>
      </c>
    </row>
    <row r="310" spans="1:2" x14ac:dyDescent="0.25">
      <c r="A310" s="1" t="s">
        <v>196</v>
      </c>
      <c r="B310" s="64" t="s">
        <v>4962</v>
      </c>
    </row>
    <row r="311" spans="1:2" x14ac:dyDescent="0.25">
      <c r="A311" s="1" t="s">
        <v>197</v>
      </c>
      <c r="B311" s="64" t="s">
        <v>5096</v>
      </c>
    </row>
    <row r="312" spans="1:2" x14ac:dyDescent="0.25">
      <c r="A312" s="1" t="s">
        <v>199</v>
      </c>
      <c r="B312" s="64" t="s">
        <v>4413</v>
      </c>
    </row>
    <row r="313" spans="1:2" x14ac:dyDescent="0.25">
      <c r="A313" s="1" t="s">
        <v>200</v>
      </c>
      <c r="B313" s="64" t="s">
        <v>4429</v>
      </c>
    </row>
    <row r="314" spans="1:2" x14ac:dyDescent="0.25">
      <c r="A314" s="1" t="s">
        <v>452</v>
      </c>
      <c r="B314" s="64" t="s">
        <v>4506</v>
      </c>
    </row>
    <row r="315" spans="1:2" x14ac:dyDescent="0.25">
      <c r="A315" s="1" t="s">
        <v>451</v>
      </c>
      <c r="B315" s="64" t="s">
        <v>4373</v>
      </c>
    </row>
    <row r="316" spans="1:2" x14ac:dyDescent="0.25">
      <c r="A316" s="1" t="s">
        <v>353</v>
      </c>
      <c r="B316" s="64" t="s">
        <v>5015</v>
      </c>
    </row>
    <row r="317" spans="1:2" x14ac:dyDescent="0.25">
      <c r="A317" s="1" t="s">
        <v>201</v>
      </c>
      <c r="B317" s="64" t="s">
        <v>4964</v>
      </c>
    </row>
    <row r="318" spans="1:2" x14ac:dyDescent="0.25">
      <c r="A318" s="1" t="s">
        <v>450</v>
      </c>
      <c r="B318" s="64" t="s">
        <v>4963</v>
      </c>
    </row>
    <row r="319" spans="1:2" x14ac:dyDescent="0.25">
      <c r="A319" s="1" t="s">
        <v>376</v>
      </c>
      <c r="B319" s="64" t="s">
        <v>4460</v>
      </c>
    </row>
    <row r="320" spans="1:2" x14ac:dyDescent="0.25">
      <c r="A320" s="1" t="s">
        <v>375</v>
      </c>
      <c r="B320" s="64" t="s">
        <v>4459</v>
      </c>
    </row>
    <row r="321" spans="1:2" x14ac:dyDescent="0.25">
      <c r="A321" s="1" t="s">
        <v>202</v>
      </c>
      <c r="B321" s="64" t="s">
        <v>4957</v>
      </c>
    </row>
    <row r="322" spans="1:2" x14ac:dyDescent="0.25">
      <c r="A322" s="1" t="s">
        <v>203</v>
      </c>
      <c r="B322" s="64" t="s">
        <v>5103</v>
      </c>
    </row>
    <row r="323" spans="1:2" x14ac:dyDescent="0.25">
      <c r="A323" s="1" t="s">
        <v>453</v>
      </c>
      <c r="B323" s="64" t="s">
        <v>5100</v>
      </c>
    </row>
    <row r="324" spans="1:2" x14ac:dyDescent="0.25">
      <c r="A324" s="1" t="s">
        <v>204</v>
      </c>
      <c r="B324" s="64" t="s">
        <v>5105</v>
      </c>
    </row>
    <row r="325" spans="1:2" x14ac:dyDescent="0.25">
      <c r="A325" s="1" t="s">
        <v>402</v>
      </c>
      <c r="B325" s="64" t="s">
        <v>5040</v>
      </c>
    </row>
    <row r="326" spans="1:2" x14ac:dyDescent="0.25">
      <c r="A326" s="1" t="s">
        <v>205</v>
      </c>
      <c r="B326" s="64" t="s">
        <v>5002</v>
      </c>
    </row>
    <row r="327" spans="1:2" x14ac:dyDescent="0.25">
      <c r="A327" s="1" t="s">
        <v>456</v>
      </c>
      <c r="B327" s="64" t="s">
        <v>4817</v>
      </c>
    </row>
    <row r="328" spans="1:2" x14ac:dyDescent="0.25">
      <c r="A328" s="1" t="s">
        <v>455</v>
      </c>
      <c r="B328" s="64" t="s">
        <v>4458</v>
      </c>
    </row>
    <row r="329" spans="1:2" x14ac:dyDescent="0.25">
      <c r="A329" s="1" t="s">
        <v>207</v>
      </c>
      <c r="B329" s="64" t="s">
        <v>5098</v>
      </c>
    </row>
    <row r="330" spans="1:2" x14ac:dyDescent="0.25">
      <c r="A330" s="1" t="s">
        <v>4258</v>
      </c>
      <c r="B330" s="64" t="s">
        <v>4259</v>
      </c>
    </row>
    <row r="331" spans="1:2" x14ac:dyDescent="0.25">
      <c r="A331" s="1" t="s">
        <v>4299</v>
      </c>
      <c r="B331" s="64" t="s">
        <v>4300</v>
      </c>
    </row>
    <row r="332" spans="1:2" x14ac:dyDescent="0.25">
      <c r="A332" s="1" t="s">
        <v>395</v>
      </c>
      <c r="B332" s="64" t="s">
        <v>5034</v>
      </c>
    </row>
    <row r="333" spans="1:2" x14ac:dyDescent="0.25">
      <c r="A333" s="1" t="s">
        <v>208</v>
      </c>
      <c r="B333" s="64" t="s">
        <v>4471</v>
      </c>
    </row>
    <row r="334" spans="1:2" x14ac:dyDescent="0.25">
      <c r="A334" s="1" t="s">
        <v>209</v>
      </c>
      <c r="B334" s="64" t="s">
        <v>4481</v>
      </c>
    </row>
    <row r="335" spans="1:2" x14ac:dyDescent="0.25">
      <c r="A335" s="1" t="s">
        <v>210</v>
      </c>
      <c r="B335" s="64" t="s">
        <v>5085</v>
      </c>
    </row>
    <row r="336" spans="1:2" x14ac:dyDescent="0.25">
      <c r="A336" s="1" t="s">
        <v>212</v>
      </c>
      <c r="B336" s="64" t="s">
        <v>5104</v>
      </c>
    </row>
    <row r="337" spans="1:2" x14ac:dyDescent="0.25">
      <c r="A337" s="1" t="s">
        <v>214</v>
      </c>
      <c r="B337" s="64" t="s">
        <v>5101</v>
      </c>
    </row>
    <row r="338" spans="1:2" x14ac:dyDescent="0.25">
      <c r="A338" s="1" t="s">
        <v>459</v>
      </c>
      <c r="B338" s="64" t="s">
        <v>4982</v>
      </c>
    </row>
    <row r="339" spans="1:2" x14ac:dyDescent="0.25">
      <c r="A339" s="1" t="s">
        <v>216</v>
      </c>
      <c r="B339" s="64" t="s">
        <v>4554</v>
      </c>
    </row>
    <row r="340" spans="1:2" x14ac:dyDescent="0.25">
      <c r="A340" s="1" t="s">
        <v>458</v>
      </c>
      <c r="B340" s="64" t="s">
        <v>4480</v>
      </c>
    </row>
    <row r="341" spans="1:2" x14ac:dyDescent="0.25">
      <c r="A341" s="1" t="s">
        <v>217</v>
      </c>
      <c r="B341" s="64" t="s">
        <v>5099</v>
      </c>
    </row>
    <row r="342" spans="1:2" x14ac:dyDescent="0.25">
      <c r="A342" s="1" t="s">
        <v>454</v>
      </c>
      <c r="B342" s="64" t="s">
        <v>4504</v>
      </c>
    </row>
    <row r="343" spans="1:2" x14ac:dyDescent="0.25">
      <c r="A343" s="1" t="s">
        <v>218</v>
      </c>
      <c r="B343" s="64" t="s">
        <v>4965</v>
      </c>
    </row>
    <row r="344" spans="1:2" x14ac:dyDescent="0.25">
      <c r="A344" s="1" t="s">
        <v>219</v>
      </c>
      <c r="B344" s="64" t="s">
        <v>5106</v>
      </c>
    </row>
    <row r="345" spans="1:2" x14ac:dyDescent="0.25">
      <c r="A345" s="1" t="s">
        <v>220</v>
      </c>
      <c r="B345" s="64" t="s">
        <v>5107</v>
      </c>
    </row>
    <row r="346" spans="1:2" x14ac:dyDescent="0.25">
      <c r="A346" s="1" t="s">
        <v>221</v>
      </c>
      <c r="B346" s="64" t="s">
        <v>5112</v>
      </c>
    </row>
    <row r="347" spans="1:2" x14ac:dyDescent="0.25">
      <c r="A347" s="1" t="s">
        <v>222</v>
      </c>
      <c r="B347" s="64" t="s">
        <v>5067</v>
      </c>
    </row>
    <row r="348" spans="1:2" x14ac:dyDescent="0.25">
      <c r="A348" s="1" t="s">
        <v>223</v>
      </c>
      <c r="B348" s="64" t="s">
        <v>5108</v>
      </c>
    </row>
    <row r="349" spans="1:2" x14ac:dyDescent="0.25">
      <c r="A349" s="1" t="s">
        <v>224</v>
      </c>
      <c r="B349" s="64" t="s">
        <v>4966</v>
      </c>
    </row>
    <row r="350" spans="1:2" x14ac:dyDescent="0.25">
      <c r="A350" s="1" t="s">
        <v>229</v>
      </c>
      <c r="B350" s="64" t="s">
        <v>4511</v>
      </c>
    </row>
    <row r="351" spans="1:2" x14ac:dyDescent="0.25">
      <c r="A351" s="1" t="s">
        <v>230</v>
      </c>
      <c r="B351" s="64" t="s">
        <v>4507</v>
      </c>
    </row>
    <row r="352" spans="1:2" x14ac:dyDescent="0.25">
      <c r="A352" s="1" t="s">
        <v>231</v>
      </c>
      <c r="B352" s="64" t="s">
        <v>4509</v>
      </c>
    </row>
    <row r="353" spans="1:2" x14ac:dyDescent="0.25">
      <c r="A353" s="1" t="s">
        <v>460</v>
      </c>
      <c r="B353" s="64" t="s">
        <v>5109</v>
      </c>
    </row>
    <row r="354" spans="1:2" x14ac:dyDescent="0.25">
      <c r="A354" s="1" t="s">
        <v>232</v>
      </c>
      <c r="B354" s="64" t="s">
        <v>4374</v>
      </c>
    </row>
    <row r="355" spans="1:2" x14ac:dyDescent="0.25">
      <c r="A355" s="1" t="s">
        <v>233</v>
      </c>
      <c r="B355" s="64" t="s">
        <v>5074</v>
      </c>
    </row>
    <row r="356" spans="1:2" x14ac:dyDescent="0.25">
      <c r="A356" s="1" t="s">
        <v>235</v>
      </c>
      <c r="B356" s="64" t="s">
        <v>4380</v>
      </c>
    </row>
    <row r="357" spans="1:2" x14ac:dyDescent="0.25">
      <c r="A357" s="1" t="s">
        <v>236</v>
      </c>
      <c r="B357" s="64" t="s">
        <v>5110</v>
      </c>
    </row>
    <row r="358" spans="1:2" x14ac:dyDescent="0.25">
      <c r="A358" s="1" t="s">
        <v>238</v>
      </c>
      <c r="B358" s="64" t="s">
        <v>5062</v>
      </c>
    </row>
    <row r="359" spans="1:2" x14ac:dyDescent="0.25">
      <c r="A359" s="1" t="s">
        <v>319</v>
      </c>
      <c r="B359" s="64" t="s">
        <v>4850</v>
      </c>
    </row>
    <row r="360" spans="1:2" x14ac:dyDescent="0.25">
      <c r="A360" s="1" t="s">
        <v>320</v>
      </c>
      <c r="B360" s="64" t="s">
        <v>4920</v>
      </c>
    </row>
    <row r="361" spans="1:2" x14ac:dyDescent="0.25">
      <c r="A361" s="1" t="s">
        <v>239</v>
      </c>
      <c r="B361" s="64" t="s">
        <v>4421</v>
      </c>
    </row>
    <row r="362" spans="1:2" x14ac:dyDescent="0.25">
      <c r="A362" s="1" t="s">
        <v>240</v>
      </c>
      <c r="B362" s="64" t="s">
        <v>4953</v>
      </c>
    </row>
    <row r="363" spans="1:2" x14ac:dyDescent="0.25">
      <c r="A363" s="1" t="s">
        <v>494</v>
      </c>
      <c r="B363" s="64" t="s">
        <v>5144</v>
      </c>
    </row>
    <row r="364" spans="1:2" x14ac:dyDescent="0.25">
      <c r="A364" s="1" t="s">
        <v>241</v>
      </c>
      <c r="B364" s="64" t="s">
        <v>5111</v>
      </c>
    </row>
    <row r="365" spans="1:2" x14ac:dyDescent="0.25">
      <c r="A365" s="1" t="s">
        <v>436</v>
      </c>
      <c r="B365" s="64" t="s">
        <v>4496</v>
      </c>
    </row>
    <row r="366" spans="1:2" x14ac:dyDescent="0.25">
      <c r="A366" s="1" t="s">
        <v>242</v>
      </c>
      <c r="B366" s="64" t="s">
        <v>4924</v>
      </c>
    </row>
    <row r="367" spans="1:2" x14ac:dyDescent="0.25">
      <c r="A367" s="1" t="s">
        <v>243</v>
      </c>
      <c r="B367" s="64" t="s">
        <v>4923</v>
      </c>
    </row>
    <row r="368" spans="1:2" x14ac:dyDescent="0.25">
      <c r="A368" s="1" t="s">
        <v>244</v>
      </c>
      <c r="B368" s="64" t="s">
        <v>4783</v>
      </c>
    </row>
    <row r="369" spans="1:2" x14ac:dyDescent="0.25">
      <c r="A369" s="1" t="s">
        <v>245</v>
      </c>
      <c r="B369" s="64" t="s">
        <v>4937</v>
      </c>
    </row>
    <row r="370" spans="1:2" x14ac:dyDescent="0.25">
      <c r="A370" s="1" t="s">
        <v>4352</v>
      </c>
      <c r="B370" s="64" t="s">
        <v>5145</v>
      </c>
    </row>
    <row r="371" spans="1:2" x14ac:dyDescent="0.25">
      <c r="A371" s="1" t="s">
        <v>246</v>
      </c>
      <c r="B371" s="64" t="s">
        <v>5027</v>
      </c>
    </row>
    <row r="372" spans="1:2" x14ac:dyDescent="0.25">
      <c r="A372" s="1" t="s">
        <v>247</v>
      </c>
      <c r="B372" s="64" t="s">
        <v>4587</v>
      </c>
    </row>
    <row r="373" spans="1:2" x14ac:dyDescent="0.25">
      <c r="A373" s="1" t="s">
        <v>250</v>
      </c>
      <c r="B373" s="64" t="s">
        <v>5117</v>
      </c>
    </row>
    <row r="374" spans="1:2" x14ac:dyDescent="0.25">
      <c r="A374" s="1" t="s">
        <v>468</v>
      </c>
      <c r="B374" s="64" t="s">
        <v>4614</v>
      </c>
    </row>
    <row r="375" spans="1:2" x14ac:dyDescent="0.25">
      <c r="A375" s="1" t="s">
        <v>251</v>
      </c>
      <c r="B375" s="64" t="s">
        <v>5120</v>
      </c>
    </row>
    <row r="376" spans="1:2" x14ac:dyDescent="0.25">
      <c r="A376" s="1" t="s">
        <v>252</v>
      </c>
      <c r="B376" s="64" t="s">
        <v>5122</v>
      </c>
    </row>
    <row r="377" spans="1:2" x14ac:dyDescent="0.25">
      <c r="A377" s="1" t="s">
        <v>254</v>
      </c>
      <c r="B377" s="64" t="s">
        <v>5014</v>
      </c>
    </row>
    <row r="378" spans="1:2" x14ac:dyDescent="0.25">
      <c r="A378" s="1" t="s">
        <v>469</v>
      </c>
      <c r="B378" s="64" t="s">
        <v>4724</v>
      </c>
    </row>
    <row r="379" spans="1:2" x14ac:dyDescent="0.25">
      <c r="A379" s="1" t="s">
        <v>255</v>
      </c>
      <c r="B379" s="64" t="s">
        <v>5119</v>
      </c>
    </row>
    <row r="380" spans="1:2" x14ac:dyDescent="0.25">
      <c r="A380" s="1" t="s">
        <v>256</v>
      </c>
      <c r="B380" s="64" t="s">
        <v>4971</v>
      </c>
    </row>
    <row r="381" spans="1:2" x14ac:dyDescent="0.25">
      <c r="A381" s="1" t="s">
        <v>257</v>
      </c>
      <c r="B381" s="64" t="s">
        <v>4970</v>
      </c>
    </row>
    <row r="382" spans="1:2" x14ac:dyDescent="0.25">
      <c r="A382" s="1" t="s">
        <v>258</v>
      </c>
      <c r="B382" s="64" t="s">
        <v>4517</v>
      </c>
    </row>
    <row r="383" spans="1:2" x14ac:dyDescent="0.25">
      <c r="A383" s="1" t="s">
        <v>259</v>
      </c>
      <c r="B383" s="64" t="s">
        <v>5115</v>
      </c>
    </row>
    <row r="384" spans="1:2" x14ac:dyDescent="0.25">
      <c r="A384" s="1" t="s">
        <v>462</v>
      </c>
      <c r="B384" s="64" t="s">
        <v>4452</v>
      </c>
    </row>
    <row r="385" spans="1:2" x14ac:dyDescent="0.25">
      <c r="A385" s="1" t="s">
        <v>464</v>
      </c>
      <c r="B385" s="64" t="s">
        <v>5113</v>
      </c>
    </row>
    <row r="386" spans="1:2" x14ac:dyDescent="0.25">
      <c r="A386" s="1" t="s">
        <v>463</v>
      </c>
      <c r="B386" s="64" t="s">
        <v>4255</v>
      </c>
    </row>
    <row r="387" spans="1:2" x14ac:dyDescent="0.25">
      <c r="A387" s="1" t="s">
        <v>415</v>
      </c>
      <c r="B387" s="64" t="s">
        <v>4711</v>
      </c>
    </row>
    <row r="388" spans="1:2" x14ac:dyDescent="0.25">
      <c r="A388" s="1" t="s">
        <v>4330</v>
      </c>
      <c r="B388" s="64" t="s">
        <v>4347</v>
      </c>
    </row>
    <row r="389" spans="1:2" x14ac:dyDescent="0.25">
      <c r="A389" s="1" t="s">
        <v>473</v>
      </c>
      <c r="B389" s="64" t="s">
        <v>4519</v>
      </c>
    </row>
    <row r="390" spans="1:2" x14ac:dyDescent="0.25">
      <c r="A390" s="1" t="s">
        <v>472</v>
      </c>
      <c r="B390" s="64" t="s">
        <v>4518</v>
      </c>
    </row>
    <row r="391" spans="1:2" x14ac:dyDescent="0.25">
      <c r="A391" s="1" t="s">
        <v>470</v>
      </c>
      <c r="B391" s="64" t="s">
        <v>5118</v>
      </c>
    </row>
    <row r="392" spans="1:2" x14ac:dyDescent="0.25">
      <c r="A392" s="1" t="s">
        <v>261</v>
      </c>
      <c r="B392" s="64" t="s">
        <v>5114</v>
      </c>
    </row>
    <row r="393" spans="1:2" x14ac:dyDescent="0.25">
      <c r="A393" s="1" t="s">
        <v>474</v>
      </c>
      <c r="B393" s="64" t="s">
        <v>4973</v>
      </c>
    </row>
    <row r="394" spans="1:2" x14ac:dyDescent="0.25">
      <c r="A394" s="1" t="s">
        <v>475</v>
      </c>
      <c r="B394" s="64" t="s">
        <v>4253</v>
      </c>
    </row>
    <row r="395" spans="1:2" x14ac:dyDescent="0.25">
      <c r="A395" s="1" t="s">
        <v>262</v>
      </c>
      <c r="B395" s="64" t="s">
        <v>5121</v>
      </c>
    </row>
    <row r="396" spans="1:2" x14ac:dyDescent="0.25">
      <c r="A396" s="1" t="s">
        <v>485</v>
      </c>
      <c r="B396" s="64" t="s">
        <v>4760</v>
      </c>
    </row>
    <row r="397" spans="1:2" x14ac:dyDescent="0.25">
      <c r="A397" s="1" t="s">
        <v>263</v>
      </c>
      <c r="B397" s="64" t="s">
        <v>5130</v>
      </c>
    </row>
    <row r="398" spans="1:2" x14ac:dyDescent="0.25">
      <c r="A398" s="1" t="s">
        <v>477</v>
      </c>
      <c r="B398" s="64" t="s">
        <v>4602</v>
      </c>
    </row>
    <row r="399" spans="1:2" x14ac:dyDescent="0.25">
      <c r="A399" s="1" t="s">
        <v>476</v>
      </c>
      <c r="B399" s="64" t="s">
        <v>5123</v>
      </c>
    </row>
    <row r="400" spans="1:2" x14ac:dyDescent="0.25">
      <c r="A400" s="1" t="s">
        <v>264</v>
      </c>
      <c r="B400" s="64" t="s">
        <v>5126</v>
      </c>
    </row>
    <row r="401" spans="1:2" x14ac:dyDescent="0.25">
      <c r="A401" s="1" t="s">
        <v>265</v>
      </c>
      <c r="B401" s="64" t="s">
        <v>4544</v>
      </c>
    </row>
    <row r="402" spans="1:2" x14ac:dyDescent="0.25">
      <c r="A402" s="1" t="s">
        <v>266</v>
      </c>
      <c r="B402" s="64" t="s">
        <v>5125</v>
      </c>
    </row>
    <row r="403" spans="1:2" x14ac:dyDescent="0.25">
      <c r="A403" s="1" t="s">
        <v>267</v>
      </c>
      <c r="B403" s="64" t="s">
        <v>5124</v>
      </c>
    </row>
    <row r="404" spans="1:2" x14ac:dyDescent="0.25">
      <c r="A404" s="1" t="s">
        <v>478</v>
      </c>
      <c r="B404" s="64" t="s">
        <v>4974</v>
      </c>
    </row>
    <row r="405" spans="1:2" x14ac:dyDescent="0.25">
      <c r="A405" s="1" t="s">
        <v>268</v>
      </c>
      <c r="B405" s="64" t="s">
        <v>4521</v>
      </c>
    </row>
    <row r="406" spans="1:2" x14ac:dyDescent="0.25">
      <c r="A406" s="1" t="s">
        <v>269</v>
      </c>
      <c r="B406" s="64" t="s">
        <v>5128</v>
      </c>
    </row>
    <row r="407" spans="1:2" x14ac:dyDescent="0.25">
      <c r="A407" s="1" t="s">
        <v>270</v>
      </c>
      <c r="B407" s="64" t="s">
        <v>4983</v>
      </c>
    </row>
    <row r="408" spans="1:2" x14ac:dyDescent="0.25">
      <c r="A408" s="1" t="s">
        <v>271</v>
      </c>
      <c r="B408" s="64" t="s">
        <v>5028</v>
      </c>
    </row>
    <row r="409" spans="1:2" x14ac:dyDescent="0.25">
      <c r="A409" s="1" t="s">
        <v>480</v>
      </c>
      <c r="B409" s="64" t="s">
        <v>4522</v>
      </c>
    </row>
    <row r="410" spans="1:2" x14ac:dyDescent="0.25">
      <c r="A410" s="1" t="s">
        <v>484</v>
      </c>
      <c r="B410" s="64" t="s">
        <v>4977</v>
      </c>
    </row>
    <row r="411" spans="1:2" x14ac:dyDescent="0.25">
      <c r="A411" s="1" t="s">
        <v>272</v>
      </c>
      <c r="B411" s="64" t="s">
        <v>5127</v>
      </c>
    </row>
    <row r="412" spans="1:2" x14ac:dyDescent="0.25">
      <c r="A412" s="1" t="s">
        <v>483</v>
      </c>
      <c r="B412" s="64" t="s">
        <v>4396</v>
      </c>
    </row>
    <row r="413" spans="1:2" x14ac:dyDescent="0.25">
      <c r="A413" s="1" t="s">
        <v>479</v>
      </c>
      <c r="B413" s="64" t="s">
        <v>4408</v>
      </c>
    </row>
    <row r="414" spans="1:2" x14ac:dyDescent="0.25">
      <c r="A414" s="1" t="s">
        <v>273</v>
      </c>
      <c r="B414" s="64" t="s">
        <v>4406</v>
      </c>
    </row>
    <row r="415" spans="1:2" x14ac:dyDescent="0.25">
      <c r="A415" s="1" t="s">
        <v>274</v>
      </c>
      <c r="B415" s="64" t="s">
        <v>5129</v>
      </c>
    </row>
    <row r="416" spans="1:2" x14ac:dyDescent="0.25">
      <c r="A416" s="1" t="s">
        <v>275</v>
      </c>
      <c r="B416" s="64" t="s">
        <v>4984</v>
      </c>
    </row>
    <row r="417" spans="1:2" x14ac:dyDescent="0.25">
      <c r="A417" s="1" t="s">
        <v>276</v>
      </c>
      <c r="B417" s="64" t="s">
        <v>4939</v>
      </c>
    </row>
    <row r="418" spans="1:2" x14ac:dyDescent="0.25">
      <c r="A418" s="1" t="s">
        <v>277</v>
      </c>
      <c r="B418" s="64" t="s">
        <v>5025</v>
      </c>
    </row>
    <row r="419" spans="1:2" x14ac:dyDescent="0.25">
      <c r="A419" s="1" t="s">
        <v>278</v>
      </c>
      <c r="B419" s="64" t="s">
        <v>5133</v>
      </c>
    </row>
    <row r="420" spans="1:2" x14ac:dyDescent="0.25">
      <c r="A420" s="1" t="s">
        <v>481</v>
      </c>
      <c r="B420" s="64" t="s">
        <v>4523</v>
      </c>
    </row>
    <row r="421" spans="1:2" x14ac:dyDescent="0.25">
      <c r="A421" s="1" t="s">
        <v>482</v>
      </c>
      <c r="B421" s="64" t="s">
        <v>4419</v>
      </c>
    </row>
    <row r="422" spans="1:2" x14ac:dyDescent="0.25">
      <c r="A422" s="1" t="s">
        <v>279</v>
      </c>
      <c r="B422" s="64" t="s">
        <v>5135</v>
      </c>
    </row>
    <row r="423" spans="1:2" x14ac:dyDescent="0.25">
      <c r="A423" s="1" t="s">
        <v>280</v>
      </c>
      <c r="B423" s="64" t="s">
        <v>5134</v>
      </c>
    </row>
    <row r="424" spans="1:2" x14ac:dyDescent="0.25">
      <c r="A424" s="1" t="s">
        <v>281</v>
      </c>
      <c r="B424" s="64" t="s">
        <v>4871</v>
      </c>
    </row>
    <row r="425" spans="1:2" x14ac:dyDescent="0.25">
      <c r="A425" s="1" t="s">
        <v>282</v>
      </c>
      <c r="B425" s="64" t="s">
        <v>4528</v>
      </c>
    </row>
    <row r="426" spans="1:2" x14ac:dyDescent="0.25">
      <c r="A426" s="1" t="s">
        <v>283</v>
      </c>
      <c r="B426" s="64" t="s">
        <v>4655</v>
      </c>
    </row>
    <row r="427" spans="1:2" x14ac:dyDescent="0.25">
      <c r="A427" s="1" t="s">
        <v>284</v>
      </c>
      <c r="B427" s="64" t="s">
        <v>5136</v>
      </c>
    </row>
    <row r="428" spans="1:2" x14ac:dyDescent="0.25">
      <c r="A428" s="1" t="s">
        <v>285</v>
      </c>
      <c r="B428" s="64" t="s">
        <v>5137</v>
      </c>
    </row>
    <row r="429" spans="1:2" x14ac:dyDescent="0.25">
      <c r="A429" s="1" t="s">
        <v>490</v>
      </c>
      <c r="B429" s="64" t="s">
        <v>4980</v>
      </c>
    </row>
    <row r="430" spans="1:2" x14ac:dyDescent="0.25">
      <c r="A430" s="1" t="s">
        <v>286</v>
      </c>
      <c r="B430" s="64" t="s">
        <v>4981</v>
      </c>
    </row>
    <row r="431" spans="1:2" x14ac:dyDescent="0.25">
      <c r="A431" s="1" t="s">
        <v>308</v>
      </c>
      <c r="B431" s="64" t="s">
        <v>5140</v>
      </c>
    </row>
    <row r="432" spans="1:2" x14ac:dyDescent="0.25">
      <c r="A432" s="1" t="s">
        <v>287</v>
      </c>
      <c r="B432" s="64" t="s">
        <v>4530</v>
      </c>
    </row>
    <row r="433" spans="1:2" x14ac:dyDescent="0.25">
      <c r="A433" s="1" t="s">
        <v>288</v>
      </c>
      <c r="B433" s="64" t="s">
        <v>4780</v>
      </c>
    </row>
    <row r="434" spans="1:2" x14ac:dyDescent="0.25">
      <c r="A434" s="1" t="s">
        <v>289</v>
      </c>
      <c r="B434" s="64" t="s">
        <v>5138</v>
      </c>
    </row>
    <row r="435" spans="1:2" x14ac:dyDescent="0.25">
      <c r="A435" s="1" t="s">
        <v>292</v>
      </c>
      <c r="B435" s="64" t="s">
        <v>4824</v>
      </c>
    </row>
    <row r="436" spans="1:2" x14ac:dyDescent="0.25">
      <c r="A436" s="1" t="s">
        <v>293</v>
      </c>
      <c r="B436" s="64" t="s">
        <v>5139</v>
      </c>
    </row>
    <row r="437" spans="1:2" x14ac:dyDescent="0.25">
      <c r="A437" s="1" t="s">
        <v>294</v>
      </c>
      <c r="B437" s="64" t="s">
        <v>4975</v>
      </c>
    </row>
    <row r="438" spans="1:2" x14ac:dyDescent="0.25">
      <c r="A438" s="1" t="s">
        <v>295</v>
      </c>
      <c r="B438" s="64" t="s">
        <v>4620</v>
      </c>
    </row>
    <row r="439" spans="1:2" x14ac:dyDescent="0.25">
      <c r="A439" s="1" t="s">
        <v>296</v>
      </c>
      <c r="B439" s="64" t="s">
        <v>5141</v>
      </c>
    </row>
    <row r="440" spans="1:2" x14ac:dyDescent="0.25">
      <c r="A440" s="1" t="s">
        <v>297</v>
      </c>
      <c r="B440" s="64" t="s">
        <v>4700</v>
      </c>
    </row>
    <row r="441" spans="1:2" x14ac:dyDescent="0.25">
      <c r="A441" s="1" t="s">
        <v>492</v>
      </c>
      <c r="B441" s="64" t="s">
        <v>5142</v>
      </c>
    </row>
    <row r="442" spans="1:2" x14ac:dyDescent="0.25">
      <c r="A442" s="1" t="s">
        <v>298</v>
      </c>
      <c r="B442" s="64" t="s">
        <v>4688</v>
      </c>
    </row>
    <row r="443" spans="1:2" x14ac:dyDescent="0.25">
      <c r="A443" s="1" t="s">
        <v>493</v>
      </c>
      <c r="B443" s="64" t="s">
        <v>5143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61A2E-A125-4253-A859-1C8B9F3E5E8D}">
  <sheetPr codeName="Planilha2"/>
  <dimension ref="A1:B67"/>
  <sheetViews>
    <sheetView workbookViewId="0">
      <selection activeCell="B11" sqref="B11"/>
    </sheetView>
  </sheetViews>
  <sheetFormatPr defaultRowHeight="15" x14ac:dyDescent="0.25"/>
  <cols>
    <col min="1" max="2" width="11.140625" bestFit="1" customWidth="1"/>
  </cols>
  <sheetData>
    <row r="1" spans="1:2" x14ac:dyDescent="0.25">
      <c r="A1" t="s">
        <v>301</v>
      </c>
      <c r="B1" t="s">
        <v>517</v>
      </c>
    </row>
    <row r="2" spans="1:2" x14ac:dyDescent="0.25">
      <c r="A2" s="1" t="s">
        <v>2</v>
      </c>
      <c r="B2" s="64" t="s">
        <v>5155</v>
      </c>
    </row>
    <row r="3" spans="1:2" x14ac:dyDescent="0.25">
      <c r="A3" s="1" t="s">
        <v>500</v>
      </c>
      <c r="B3" s="64" t="s">
        <v>4325</v>
      </c>
    </row>
    <row r="4" spans="1:2" x14ac:dyDescent="0.25">
      <c r="A4" s="1" t="s">
        <v>498</v>
      </c>
      <c r="B4" s="64" t="s">
        <v>4534</v>
      </c>
    </row>
    <row r="5" spans="1:2" x14ac:dyDescent="0.25">
      <c r="A5" s="1" t="s">
        <v>302</v>
      </c>
      <c r="B5" s="64" t="s">
        <v>5147</v>
      </c>
    </row>
    <row r="6" spans="1:2" x14ac:dyDescent="0.25">
      <c r="A6" s="1" t="s">
        <v>19</v>
      </c>
      <c r="B6" s="64" t="s">
        <v>4899</v>
      </c>
    </row>
    <row r="7" spans="1:2" x14ac:dyDescent="0.25">
      <c r="A7" s="1" t="s">
        <v>20</v>
      </c>
      <c r="B7" s="64" t="s">
        <v>4733</v>
      </c>
    </row>
    <row r="8" spans="1:2" x14ac:dyDescent="0.25">
      <c r="A8" s="1" t="s">
        <v>514</v>
      </c>
      <c r="B8" s="64" t="s">
        <v>5166</v>
      </c>
    </row>
    <row r="9" spans="1:2" x14ac:dyDescent="0.25">
      <c r="A9" s="1" t="s">
        <v>33</v>
      </c>
      <c r="B9" s="64" t="s">
        <v>5146</v>
      </c>
    </row>
    <row r="10" spans="1:2" x14ac:dyDescent="0.25">
      <c r="A10" s="1" t="s">
        <v>37</v>
      </c>
      <c r="B10" s="64" t="s">
        <v>4904</v>
      </c>
    </row>
    <row r="11" spans="1:2" x14ac:dyDescent="0.25">
      <c r="A11" s="1" t="s">
        <v>40</v>
      </c>
      <c r="B11" s="64" t="s">
        <v>4913</v>
      </c>
    </row>
    <row r="12" spans="1:2" x14ac:dyDescent="0.25">
      <c r="A12" s="1" t="s">
        <v>516</v>
      </c>
      <c r="B12" s="64" t="s">
        <v>5167</v>
      </c>
    </row>
    <row r="13" spans="1:2" x14ac:dyDescent="0.25">
      <c r="A13" s="1" t="s">
        <v>54</v>
      </c>
      <c r="B13" s="64" t="s">
        <v>5149</v>
      </c>
    </row>
    <row r="14" spans="1:2" x14ac:dyDescent="0.25">
      <c r="A14" s="1" t="s">
        <v>83</v>
      </c>
      <c r="B14" s="64" t="s">
        <v>4906</v>
      </c>
    </row>
    <row r="15" spans="1:2" x14ac:dyDescent="0.25">
      <c r="A15" s="1" t="s">
        <v>502</v>
      </c>
      <c r="B15" s="64" t="s">
        <v>4905</v>
      </c>
    </row>
    <row r="16" spans="1:2" x14ac:dyDescent="0.25">
      <c r="A16" s="1" t="s">
        <v>85</v>
      </c>
      <c r="B16" s="64" t="s">
        <v>5148</v>
      </c>
    </row>
    <row r="17" spans="1:2" x14ac:dyDescent="0.25">
      <c r="A17" s="1" t="s">
        <v>86</v>
      </c>
      <c r="B17" s="64" t="s">
        <v>4541</v>
      </c>
    </row>
    <row r="18" spans="1:2" x14ac:dyDescent="0.25">
      <c r="A18" s="1" t="s">
        <v>499</v>
      </c>
      <c r="B18" s="64" t="s">
        <v>4296</v>
      </c>
    </row>
    <row r="19" spans="1:2" x14ac:dyDescent="0.25">
      <c r="A19" s="1" t="s">
        <v>510</v>
      </c>
      <c r="B19" s="64" t="s">
        <v>4546</v>
      </c>
    </row>
    <row r="20" spans="1:2" x14ac:dyDescent="0.25">
      <c r="A20" s="1" t="s">
        <v>503</v>
      </c>
      <c r="B20" s="64" t="s">
        <v>5153</v>
      </c>
    </row>
    <row r="21" spans="1:2" x14ac:dyDescent="0.25">
      <c r="A21" s="1" t="s">
        <v>108</v>
      </c>
      <c r="B21" s="64" t="s">
        <v>5154</v>
      </c>
    </row>
    <row r="22" spans="1:2" x14ac:dyDescent="0.25">
      <c r="A22" s="1" t="s">
        <v>111</v>
      </c>
      <c r="B22" s="64" t="s">
        <v>5152</v>
      </c>
    </row>
    <row r="23" spans="1:2" x14ac:dyDescent="0.25">
      <c r="A23" s="1" t="s">
        <v>114</v>
      </c>
      <c r="B23" s="64" t="s">
        <v>4907</v>
      </c>
    </row>
    <row r="24" spans="1:2" x14ac:dyDescent="0.25">
      <c r="A24" s="1" t="s">
        <v>115</v>
      </c>
      <c r="B24" s="64" t="s">
        <v>4908</v>
      </c>
    </row>
    <row r="25" spans="1:2" x14ac:dyDescent="0.25">
      <c r="A25" s="1" t="s">
        <v>116</v>
      </c>
      <c r="B25" s="64" t="s">
        <v>5163</v>
      </c>
    </row>
    <row r="26" spans="1:2" x14ac:dyDescent="0.25">
      <c r="A26" s="1" t="s">
        <v>507</v>
      </c>
      <c r="B26" s="64" t="s">
        <v>4544</v>
      </c>
    </row>
    <row r="27" spans="1:2" x14ac:dyDescent="0.25">
      <c r="A27" s="1" t="s">
        <v>117</v>
      </c>
      <c r="B27" s="64" t="s">
        <v>4542</v>
      </c>
    </row>
    <row r="28" spans="1:2" x14ac:dyDescent="0.25">
      <c r="A28" s="1" t="s">
        <v>504</v>
      </c>
      <c r="B28" s="64" t="s">
        <v>4459</v>
      </c>
    </row>
    <row r="29" spans="1:2" x14ac:dyDescent="0.25">
      <c r="A29" s="1" t="s">
        <v>119</v>
      </c>
      <c r="B29" s="64" t="s">
        <v>4910</v>
      </c>
    </row>
    <row r="30" spans="1:2" x14ac:dyDescent="0.25">
      <c r="A30" s="1" t="s">
        <v>511</v>
      </c>
      <c r="B30" s="64" t="s">
        <v>4297</v>
      </c>
    </row>
    <row r="31" spans="1:2" x14ac:dyDescent="0.25">
      <c r="A31" s="1" t="s">
        <v>506</v>
      </c>
      <c r="B31" s="64" t="s">
        <v>4912</v>
      </c>
    </row>
    <row r="32" spans="1:2" x14ac:dyDescent="0.25">
      <c r="A32" s="1" t="s">
        <v>134</v>
      </c>
      <c r="B32" s="64" t="s">
        <v>4901</v>
      </c>
    </row>
    <row r="33" spans="1:2" x14ac:dyDescent="0.25">
      <c r="A33" s="1" t="s">
        <v>135</v>
      </c>
      <c r="B33" s="64" t="s">
        <v>4902</v>
      </c>
    </row>
    <row r="34" spans="1:2" x14ac:dyDescent="0.25">
      <c r="A34" s="1" t="s">
        <v>136</v>
      </c>
      <c r="B34" s="64" t="s">
        <v>5150</v>
      </c>
    </row>
    <row r="35" spans="1:2" x14ac:dyDescent="0.25">
      <c r="A35" s="1" t="s">
        <v>137</v>
      </c>
      <c r="B35" s="64" t="s">
        <v>5151</v>
      </c>
    </row>
    <row r="36" spans="1:2" x14ac:dyDescent="0.25">
      <c r="A36" s="1" t="s">
        <v>156</v>
      </c>
      <c r="B36" s="64" t="s">
        <v>5157</v>
      </c>
    </row>
    <row r="37" spans="1:2" x14ac:dyDescent="0.25">
      <c r="A37" s="1" t="s">
        <v>160</v>
      </c>
      <c r="B37" s="64" t="s">
        <v>5159</v>
      </c>
    </row>
    <row r="38" spans="1:2" x14ac:dyDescent="0.25">
      <c r="A38" s="1" t="s">
        <v>161</v>
      </c>
      <c r="B38" s="64" t="s">
        <v>4520</v>
      </c>
    </row>
    <row r="39" spans="1:2" x14ac:dyDescent="0.25">
      <c r="A39" s="1" t="s">
        <v>162</v>
      </c>
      <c r="B39" s="64" t="s">
        <v>5158</v>
      </c>
    </row>
    <row r="40" spans="1:2" x14ac:dyDescent="0.25">
      <c r="A40" s="1" t="s">
        <v>509</v>
      </c>
      <c r="B40" s="64" t="s">
        <v>4383</v>
      </c>
    </row>
    <row r="41" spans="1:2" x14ac:dyDescent="0.25">
      <c r="A41" s="1" t="s">
        <v>175</v>
      </c>
      <c r="B41" s="64" t="s">
        <v>4909</v>
      </c>
    </row>
    <row r="42" spans="1:2" x14ac:dyDescent="0.25">
      <c r="A42" s="1" t="s">
        <v>178</v>
      </c>
      <c r="B42" s="64" t="s">
        <v>5160</v>
      </c>
    </row>
    <row r="43" spans="1:2" x14ac:dyDescent="0.25">
      <c r="A43" s="1" t="s">
        <v>191</v>
      </c>
      <c r="B43" s="64" t="s">
        <v>4413</v>
      </c>
    </row>
    <row r="44" spans="1:2" x14ac:dyDescent="0.25">
      <c r="A44" s="1" t="s">
        <v>501</v>
      </c>
      <c r="B44" s="64" t="s">
        <v>4537</v>
      </c>
    </row>
    <row r="45" spans="1:2" x14ac:dyDescent="0.25">
      <c r="A45" s="1" t="s">
        <v>198</v>
      </c>
      <c r="B45" s="64" t="s">
        <v>4543</v>
      </c>
    </row>
    <row r="46" spans="1:2" x14ac:dyDescent="0.25">
      <c r="A46" s="1" t="s">
        <v>505</v>
      </c>
      <c r="B46" s="64" t="s">
        <v>4402</v>
      </c>
    </row>
    <row r="47" spans="1:2" x14ac:dyDescent="0.25">
      <c r="A47" s="1" t="s">
        <v>206</v>
      </c>
      <c r="B47" s="64" t="s">
        <v>4547</v>
      </c>
    </row>
    <row r="48" spans="1:2" x14ac:dyDescent="0.25">
      <c r="A48" s="1" t="s">
        <v>211</v>
      </c>
      <c r="B48" s="64" t="s">
        <v>5162</v>
      </c>
    </row>
    <row r="49" spans="1:2" x14ac:dyDescent="0.25">
      <c r="A49" s="1" t="s">
        <v>213</v>
      </c>
      <c r="B49" s="64" t="s">
        <v>4538</v>
      </c>
    </row>
    <row r="50" spans="1:2" x14ac:dyDescent="0.25">
      <c r="A50" s="1" t="s">
        <v>512</v>
      </c>
      <c r="B50" s="64" t="s">
        <v>5161</v>
      </c>
    </row>
    <row r="51" spans="1:2" x14ac:dyDescent="0.25">
      <c r="A51" s="1" t="s">
        <v>215</v>
      </c>
      <c r="B51" s="64" t="s">
        <v>4539</v>
      </c>
    </row>
    <row r="52" spans="1:2" x14ac:dyDescent="0.25">
      <c r="A52" s="1" t="s">
        <v>225</v>
      </c>
      <c r="B52" s="64" t="s">
        <v>4914</v>
      </c>
    </row>
    <row r="53" spans="1:2" x14ac:dyDescent="0.25">
      <c r="A53" s="1" t="s">
        <v>513</v>
      </c>
      <c r="B53" s="64" t="s">
        <v>4915</v>
      </c>
    </row>
    <row r="54" spans="1:2" x14ac:dyDescent="0.25">
      <c r="A54" s="1" t="s">
        <v>226</v>
      </c>
      <c r="B54" s="64" t="s">
        <v>4916</v>
      </c>
    </row>
    <row r="55" spans="1:2" x14ac:dyDescent="0.25">
      <c r="A55" s="1" t="s">
        <v>227</v>
      </c>
      <c r="B55" s="64" t="s">
        <v>4918</v>
      </c>
    </row>
    <row r="56" spans="1:2" x14ac:dyDescent="0.25">
      <c r="A56" s="1" t="s">
        <v>228</v>
      </c>
      <c r="B56" s="64" t="s">
        <v>4348</v>
      </c>
    </row>
    <row r="57" spans="1:2" x14ac:dyDescent="0.25">
      <c r="A57" s="1" t="s">
        <v>234</v>
      </c>
      <c r="B57" s="64" t="s">
        <v>4535</v>
      </c>
    </row>
    <row r="58" spans="1:2" x14ac:dyDescent="0.25">
      <c r="A58" s="1" t="s">
        <v>237</v>
      </c>
      <c r="B58" s="64" t="s">
        <v>4565</v>
      </c>
    </row>
    <row r="59" spans="1:2" x14ac:dyDescent="0.25">
      <c r="A59" s="1" t="s">
        <v>508</v>
      </c>
      <c r="B59" s="64" t="s">
        <v>4545</v>
      </c>
    </row>
    <row r="60" spans="1:2" x14ac:dyDescent="0.25">
      <c r="A60" s="1" t="s">
        <v>248</v>
      </c>
      <c r="B60" s="64" t="s">
        <v>4911</v>
      </c>
    </row>
    <row r="61" spans="1:2" x14ac:dyDescent="0.25">
      <c r="A61" s="1" t="s">
        <v>249</v>
      </c>
      <c r="B61" s="64" t="s">
        <v>5164</v>
      </c>
    </row>
    <row r="62" spans="1:2" x14ac:dyDescent="0.25">
      <c r="A62" s="1" t="s">
        <v>253</v>
      </c>
      <c r="B62" s="64" t="s">
        <v>5156</v>
      </c>
    </row>
    <row r="63" spans="1:2" x14ac:dyDescent="0.25">
      <c r="A63" s="1" t="s">
        <v>260</v>
      </c>
      <c r="B63" s="64" t="s">
        <v>4919</v>
      </c>
    </row>
    <row r="64" spans="1:2" x14ac:dyDescent="0.25">
      <c r="A64" s="1" t="s">
        <v>290</v>
      </c>
      <c r="B64" s="64" t="s">
        <v>4903</v>
      </c>
    </row>
    <row r="65" spans="1:2" x14ac:dyDescent="0.25">
      <c r="A65" s="1" t="s">
        <v>291</v>
      </c>
      <c r="B65" s="64" t="s">
        <v>4536</v>
      </c>
    </row>
    <row r="66" spans="1:2" x14ac:dyDescent="0.25">
      <c r="A66" s="1" t="s">
        <v>299</v>
      </c>
      <c r="B66" s="64" t="s">
        <v>5165</v>
      </c>
    </row>
    <row r="67" spans="1:2" x14ac:dyDescent="0.25">
      <c r="A67" s="1" t="s">
        <v>300</v>
      </c>
      <c r="B67" s="64" t="s">
        <v>4550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40CAE-A521-4ACD-8FA7-980D25239042}">
  <sheetPr codeName="Planilha10"/>
  <dimension ref="A1:J82"/>
  <sheetViews>
    <sheetView workbookViewId="0">
      <selection activeCell="A5" sqref="A5"/>
    </sheetView>
  </sheetViews>
  <sheetFormatPr defaultRowHeight="15" x14ac:dyDescent="0.25"/>
  <cols>
    <col min="1" max="1" width="11.140625" bestFit="1" customWidth="1"/>
    <col min="2" max="2" width="12.140625" bestFit="1" customWidth="1"/>
    <col min="3" max="3" width="16.7109375" style="7" bestFit="1" customWidth="1"/>
    <col min="6" max="6" width="9.140625" customWidth="1"/>
    <col min="7" max="7" width="12.28515625" customWidth="1"/>
    <col min="9" max="9" width="15" customWidth="1"/>
    <col min="10" max="10" width="12" customWidth="1"/>
  </cols>
  <sheetData>
    <row r="1" spans="1:10" x14ac:dyDescent="0.25">
      <c r="A1" t="s">
        <v>594</v>
      </c>
      <c r="B1" t="s">
        <v>597</v>
      </c>
      <c r="C1" s="7" t="s">
        <v>598</v>
      </c>
    </row>
    <row r="2" spans="1:10" x14ac:dyDescent="0.25">
      <c r="A2" s="1" t="s">
        <v>4257</v>
      </c>
      <c r="B2" s="1" t="s">
        <v>599</v>
      </c>
      <c r="C2" s="8" t="s">
        <v>7244</v>
      </c>
    </row>
    <row r="3" spans="1:10" x14ac:dyDescent="0.25">
      <c r="A3" s="1" t="s">
        <v>520</v>
      </c>
      <c r="B3" s="1" t="s">
        <v>599</v>
      </c>
      <c r="C3" s="8" t="s">
        <v>7176</v>
      </c>
    </row>
    <row r="4" spans="1:10" x14ac:dyDescent="0.25">
      <c r="A4" s="1" t="s">
        <v>521</v>
      </c>
      <c r="B4" s="1" t="s">
        <v>599</v>
      </c>
      <c r="C4" s="8" t="s">
        <v>7250</v>
      </c>
    </row>
    <row r="5" spans="1:10" x14ac:dyDescent="0.25">
      <c r="A5" s="1" t="s">
        <v>522</v>
      </c>
      <c r="B5" s="1" t="s">
        <v>599</v>
      </c>
      <c r="C5" s="8" t="s">
        <v>7177</v>
      </c>
      <c r="G5" s="68"/>
      <c r="I5" s="68"/>
      <c r="J5" s="68"/>
    </row>
    <row r="6" spans="1:10" x14ac:dyDescent="0.25">
      <c r="A6" s="1" t="s">
        <v>525</v>
      </c>
      <c r="B6" s="1" t="s">
        <v>599</v>
      </c>
      <c r="C6" s="8" t="s">
        <v>7179</v>
      </c>
    </row>
    <row r="7" spans="1:10" x14ac:dyDescent="0.25">
      <c r="A7" s="1" t="s">
        <v>524</v>
      </c>
      <c r="B7" s="1" t="s">
        <v>599</v>
      </c>
      <c r="C7" s="8" t="s">
        <v>7178</v>
      </c>
    </row>
    <row r="8" spans="1:10" x14ac:dyDescent="0.25">
      <c r="A8" s="1" t="s">
        <v>599</v>
      </c>
      <c r="B8" s="1" t="s">
        <v>599</v>
      </c>
      <c r="C8" s="8" t="s">
        <v>4256</v>
      </c>
    </row>
    <row r="9" spans="1:10" x14ac:dyDescent="0.25">
      <c r="A9" s="1" t="s">
        <v>526</v>
      </c>
      <c r="B9" s="1" t="s">
        <v>599</v>
      </c>
      <c r="C9" s="8" t="s">
        <v>7180</v>
      </c>
    </row>
    <row r="10" spans="1:10" x14ac:dyDescent="0.25">
      <c r="A10" s="1" t="s">
        <v>529</v>
      </c>
      <c r="B10" s="1" t="s">
        <v>599</v>
      </c>
      <c r="C10" s="8" t="s">
        <v>7183</v>
      </c>
    </row>
    <row r="11" spans="1:10" x14ac:dyDescent="0.25">
      <c r="A11" s="1" t="s">
        <v>581</v>
      </c>
      <c r="B11" s="1" t="s">
        <v>599</v>
      </c>
      <c r="C11" s="8" t="s">
        <v>7236</v>
      </c>
    </row>
    <row r="12" spans="1:10" x14ac:dyDescent="0.25">
      <c r="A12" s="1" t="s">
        <v>530</v>
      </c>
      <c r="B12" s="1" t="s">
        <v>599</v>
      </c>
      <c r="C12" s="8" t="s">
        <v>7184</v>
      </c>
    </row>
    <row r="13" spans="1:10" x14ac:dyDescent="0.25">
      <c r="A13" s="1" t="s">
        <v>531</v>
      </c>
      <c r="B13" s="1" t="s">
        <v>599</v>
      </c>
      <c r="C13" s="8" t="s">
        <v>7185</v>
      </c>
    </row>
    <row r="14" spans="1:10" x14ac:dyDescent="0.25">
      <c r="A14" s="1" t="s">
        <v>532</v>
      </c>
      <c r="B14" s="1" t="s">
        <v>599</v>
      </c>
      <c r="C14" s="8" t="s">
        <v>7186</v>
      </c>
    </row>
    <row r="15" spans="1:10" x14ac:dyDescent="0.25">
      <c r="A15" s="1" t="s">
        <v>534</v>
      </c>
      <c r="B15" s="1" t="s">
        <v>599</v>
      </c>
      <c r="C15" s="8" t="s">
        <v>7188</v>
      </c>
    </row>
    <row r="16" spans="1:10" x14ac:dyDescent="0.25">
      <c r="A16" s="1" t="s">
        <v>535</v>
      </c>
      <c r="B16" s="1" t="s">
        <v>599</v>
      </c>
      <c r="C16" s="8" t="s">
        <v>7189</v>
      </c>
    </row>
    <row r="17" spans="1:3" x14ac:dyDescent="0.25">
      <c r="A17" s="1" t="s">
        <v>536</v>
      </c>
      <c r="B17" s="1" t="s">
        <v>599</v>
      </c>
      <c r="C17" s="8" t="s">
        <v>7190</v>
      </c>
    </row>
    <row r="18" spans="1:3" x14ac:dyDescent="0.25">
      <c r="A18" s="1" t="s">
        <v>519</v>
      </c>
      <c r="B18" s="1" t="s">
        <v>599</v>
      </c>
      <c r="C18" s="8" t="s">
        <v>7175</v>
      </c>
    </row>
    <row r="19" spans="1:3" x14ac:dyDescent="0.25">
      <c r="A19" s="1" t="s">
        <v>538</v>
      </c>
      <c r="B19" s="1" t="s">
        <v>599</v>
      </c>
      <c r="C19" s="8" t="s">
        <v>7192</v>
      </c>
    </row>
    <row r="20" spans="1:3" x14ac:dyDescent="0.25">
      <c r="A20" s="1" t="s">
        <v>539</v>
      </c>
      <c r="B20" s="1" t="s">
        <v>599</v>
      </c>
      <c r="C20" s="8" t="s">
        <v>7193</v>
      </c>
    </row>
    <row r="21" spans="1:3" x14ac:dyDescent="0.25">
      <c r="A21" s="1" t="s">
        <v>523</v>
      </c>
      <c r="B21" s="1" t="s">
        <v>599</v>
      </c>
      <c r="C21" s="8" t="s">
        <v>7201</v>
      </c>
    </row>
    <row r="22" spans="1:3" x14ac:dyDescent="0.25">
      <c r="A22" s="1" t="s">
        <v>523</v>
      </c>
      <c r="B22" s="1" t="s">
        <v>599</v>
      </c>
      <c r="C22" s="8" t="s">
        <v>7201</v>
      </c>
    </row>
    <row r="23" spans="1:3" x14ac:dyDescent="0.25">
      <c r="A23" s="1" t="s">
        <v>589</v>
      </c>
      <c r="B23" s="1" t="s">
        <v>599</v>
      </c>
      <c r="C23" s="8" t="s">
        <v>7245</v>
      </c>
    </row>
    <row r="24" spans="1:3" x14ac:dyDescent="0.25">
      <c r="A24" s="1" t="s">
        <v>540</v>
      </c>
      <c r="B24" s="1" t="s">
        <v>599</v>
      </c>
      <c r="C24" s="8" t="s">
        <v>7194</v>
      </c>
    </row>
    <row r="25" spans="1:3" x14ac:dyDescent="0.25">
      <c r="A25" s="1" t="s">
        <v>541</v>
      </c>
      <c r="B25" s="1" t="s">
        <v>599</v>
      </c>
      <c r="C25" s="8" t="s">
        <v>7195</v>
      </c>
    </row>
    <row r="26" spans="1:3" x14ac:dyDescent="0.25">
      <c r="A26" s="1" t="s">
        <v>542</v>
      </c>
      <c r="B26" s="1" t="s">
        <v>599</v>
      </c>
      <c r="C26" s="8" t="s">
        <v>7196</v>
      </c>
    </row>
    <row r="27" spans="1:3" x14ac:dyDescent="0.25">
      <c r="A27" s="1" t="s">
        <v>543</v>
      </c>
      <c r="B27" s="1" t="s">
        <v>599</v>
      </c>
      <c r="C27" s="8" t="s">
        <v>7197</v>
      </c>
    </row>
    <row r="28" spans="1:3" x14ac:dyDescent="0.25">
      <c r="A28" s="1" t="s">
        <v>544</v>
      </c>
      <c r="B28" s="1" t="s">
        <v>599</v>
      </c>
      <c r="C28" s="8" t="s">
        <v>7198</v>
      </c>
    </row>
    <row r="29" spans="1:3" x14ac:dyDescent="0.25">
      <c r="A29" s="1" t="s">
        <v>546</v>
      </c>
      <c r="B29" s="1" t="s">
        <v>599</v>
      </c>
      <c r="C29" s="8" t="s">
        <v>7200</v>
      </c>
    </row>
    <row r="30" spans="1:3" x14ac:dyDescent="0.25">
      <c r="A30" s="1" t="s">
        <v>547</v>
      </c>
      <c r="B30" s="1" t="s">
        <v>599</v>
      </c>
      <c r="C30" s="8" t="s">
        <v>7202</v>
      </c>
    </row>
    <row r="31" spans="1:3" x14ac:dyDescent="0.25">
      <c r="A31" s="1" t="s">
        <v>545</v>
      </c>
      <c r="B31" s="1" t="s">
        <v>599</v>
      </c>
      <c r="C31" s="8" t="s">
        <v>7199</v>
      </c>
    </row>
    <row r="32" spans="1:3" x14ac:dyDescent="0.25">
      <c r="A32" s="1" t="s">
        <v>549</v>
      </c>
      <c r="B32" s="1" t="s">
        <v>599</v>
      </c>
      <c r="C32" s="8" t="s">
        <v>7204</v>
      </c>
    </row>
    <row r="33" spans="1:3" x14ac:dyDescent="0.25">
      <c r="A33" s="1" t="s">
        <v>548</v>
      </c>
      <c r="B33" s="1" t="s">
        <v>599</v>
      </c>
      <c r="C33" s="8" t="s">
        <v>7203</v>
      </c>
    </row>
    <row r="34" spans="1:3" x14ac:dyDescent="0.25">
      <c r="A34" s="1" t="s">
        <v>551</v>
      </c>
      <c r="B34" s="1" t="s">
        <v>599</v>
      </c>
      <c r="C34" s="8" t="s">
        <v>7206</v>
      </c>
    </row>
    <row r="35" spans="1:3" x14ac:dyDescent="0.25">
      <c r="A35" s="1" t="s">
        <v>527</v>
      </c>
      <c r="B35" s="1" t="s">
        <v>599</v>
      </c>
      <c r="C35" s="8" t="s">
        <v>7181</v>
      </c>
    </row>
    <row r="36" spans="1:3" x14ac:dyDescent="0.25">
      <c r="A36" s="1" t="s">
        <v>578</v>
      </c>
      <c r="B36" s="1" t="s">
        <v>599</v>
      </c>
      <c r="C36" s="8" t="s">
        <v>7233</v>
      </c>
    </row>
    <row r="37" spans="1:3" x14ac:dyDescent="0.25">
      <c r="A37" s="1" t="s">
        <v>552</v>
      </c>
      <c r="B37" s="1" t="s">
        <v>599</v>
      </c>
      <c r="C37" s="8" t="s">
        <v>7207</v>
      </c>
    </row>
    <row r="38" spans="1:3" x14ac:dyDescent="0.25">
      <c r="A38" s="1" t="s">
        <v>550</v>
      </c>
      <c r="B38" s="1" t="s">
        <v>599</v>
      </c>
      <c r="C38" s="8" t="s">
        <v>7205</v>
      </c>
    </row>
    <row r="39" spans="1:3" x14ac:dyDescent="0.25">
      <c r="A39" s="1" t="s">
        <v>553</v>
      </c>
      <c r="B39" s="1" t="s">
        <v>599</v>
      </c>
      <c r="C39" s="8" t="s">
        <v>7208</v>
      </c>
    </row>
    <row r="40" spans="1:3" x14ac:dyDescent="0.25">
      <c r="A40" s="1" t="s">
        <v>579</v>
      </c>
      <c r="B40" s="1" t="s">
        <v>599</v>
      </c>
      <c r="C40" s="8" t="s">
        <v>7234</v>
      </c>
    </row>
    <row r="41" spans="1:3" x14ac:dyDescent="0.25">
      <c r="A41" s="1" t="s">
        <v>558</v>
      </c>
      <c r="B41" s="1" t="s">
        <v>599</v>
      </c>
      <c r="C41" s="8" t="s">
        <v>7213</v>
      </c>
    </row>
    <row r="42" spans="1:3" x14ac:dyDescent="0.25">
      <c r="A42" s="1" t="s">
        <v>554</v>
      </c>
      <c r="B42" s="1" t="s">
        <v>599</v>
      </c>
      <c r="C42" s="8" t="s">
        <v>7209</v>
      </c>
    </row>
    <row r="43" spans="1:3" x14ac:dyDescent="0.25">
      <c r="A43" s="1" t="s">
        <v>560</v>
      </c>
      <c r="B43" s="1" t="s">
        <v>599</v>
      </c>
      <c r="C43" s="8" t="s">
        <v>7215</v>
      </c>
    </row>
    <row r="44" spans="1:3" x14ac:dyDescent="0.25">
      <c r="A44" s="1" t="s">
        <v>556</v>
      </c>
      <c r="B44" s="1" t="s">
        <v>599</v>
      </c>
      <c r="C44" s="8" t="s">
        <v>7211</v>
      </c>
    </row>
    <row r="45" spans="1:3" x14ac:dyDescent="0.25">
      <c r="A45" s="1" t="s">
        <v>557</v>
      </c>
      <c r="B45" s="1" t="s">
        <v>599</v>
      </c>
      <c r="C45" s="8" t="s">
        <v>7212</v>
      </c>
    </row>
    <row r="46" spans="1:3" x14ac:dyDescent="0.25">
      <c r="A46" s="1" t="s">
        <v>555</v>
      </c>
      <c r="B46" s="1" t="s">
        <v>599</v>
      </c>
      <c r="C46" s="8" t="s">
        <v>7210</v>
      </c>
    </row>
    <row r="47" spans="1:3" x14ac:dyDescent="0.25">
      <c r="A47" s="1" t="s">
        <v>559</v>
      </c>
      <c r="B47" s="1" t="s">
        <v>599</v>
      </c>
      <c r="C47" s="8" t="s">
        <v>7214</v>
      </c>
    </row>
    <row r="48" spans="1:3" x14ac:dyDescent="0.25">
      <c r="A48" s="1" t="s">
        <v>564</v>
      </c>
      <c r="B48" s="1" t="s">
        <v>599</v>
      </c>
      <c r="C48" s="8" t="s">
        <v>7219</v>
      </c>
    </row>
    <row r="49" spans="1:3" x14ac:dyDescent="0.25">
      <c r="A49" s="1" t="s">
        <v>563</v>
      </c>
      <c r="B49" s="1" t="s">
        <v>599</v>
      </c>
      <c r="C49" s="8" t="s">
        <v>7218</v>
      </c>
    </row>
    <row r="50" spans="1:3" x14ac:dyDescent="0.25">
      <c r="A50" s="1" t="s">
        <v>565</v>
      </c>
      <c r="B50" s="1" t="s">
        <v>599</v>
      </c>
      <c r="C50" s="8" t="s">
        <v>7220</v>
      </c>
    </row>
    <row r="51" spans="1:3" x14ac:dyDescent="0.25">
      <c r="A51" s="1" t="s">
        <v>561</v>
      </c>
      <c r="B51" s="1" t="s">
        <v>599</v>
      </c>
      <c r="C51" s="8" t="s">
        <v>7216</v>
      </c>
    </row>
    <row r="52" spans="1:3" x14ac:dyDescent="0.25">
      <c r="A52" s="1" t="s">
        <v>562</v>
      </c>
      <c r="B52" s="1" t="s">
        <v>599</v>
      </c>
      <c r="C52" s="8" t="s">
        <v>7217</v>
      </c>
    </row>
    <row r="53" spans="1:3" x14ac:dyDescent="0.25">
      <c r="A53" s="1" t="s">
        <v>566</v>
      </c>
      <c r="B53" s="1" t="s">
        <v>599</v>
      </c>
      <c r="C53" s="8" t="s">
        <v>7221</v>
      </c>
    </row>
    <row r="54" spans="1:3" x14ac:dyDescent="0.25">
      <c r="A54" s="1" t="s">
        <v>568</v>
      </c>
      <c r="B54" s="1" t="s">
        <v>599</v>
      </c>
      <c r="C54" s="8" t="s">
        <v>7223</v>
      </c>
    </row>
    <row r="55" spans="1:3" x14ac:dyDescent="0.25">
      <c r="A55" s="1" t="s">
        <v>570</v>
      </c>
      <c r="B55" s="1" t="s">
        <v>599</v>
      </c>
      <c r="C55" s="8" t="s">
        <v>7225</v>
      </c>
    </row>
    <row r="56" spans="1:3" x14ac:dyDescent="0.25">
      <c r="A56" s="1" t="s">
        <v>571</v>
      </c>
      <c r="B56" s="1" t="s">
        <v>599</v>
      </c>
      <c r="C56" s="8" t="s">
        <v>7226</v>
      </c>
    </row>
    <row r="57" spans="1:3" x14ac:dyDescent="0.25">
      <c r="A57" s="1" t="s">
        <v>567</v>
      </c>
      <c r="B57" s="1" t="s">
        <v>599</v>
      </c>
      <c r="C57" s="8" t="s">
        <v>7222</v>
      </c>
    </row>
    <row r="58" spans="1:3" x14ac:dyDescent="0.25">
      <c r="A58" s="1" t="s">
        <v>572</v>
      </c>
      <c r="B58" s="1" t="s">
        <v>599</v>
      </c>
      <c r="C58" s="8" t="s">
        <v>7227</v>
      </c>
    </row>
    <row r="59" spans="1:3" x14ac:dyDescent="0.25">
      <c r="A59" s="1" t="s">
        <v>569</v>
      </c>
      <c r="B59" s="1" t="s">
        <v>599</v>
      </c>
      <c r="C59" s="8" t="s">
        <v>7224</v>
      </c>
    </row>
    <row r="60" spans="1:3" x14ac:dyDescent="0.25">
      <c r="A60" s="1" t="s">
        <v>573</v>
      </c>
      <c r="B60" s="1" t="s">
        <v>599</v>
      </c>
      <c r="C60" s="8" t="s">
        <v>7228</v>
      </c>
    </row>
    <row r="61" spans="1:3" x14ac:dyDescent="0.25">
      <c r="A61" s="1" t="s">
        <v>574</v>
      </c>
      <c r="B61" s="1" t="s">
        <v>599</v>
      </c>
      <c r="C61" s="8" t="s">
        <v>7229</v>
      </c>
    </row>
    <row r="62" spans="1:3" x14ac:dyDescent="0.25">
      <c r="A62" s="1" t="s">
        <v>575</v>
      </c>
      <c r="B62" s="1" t="s">
        <v>599</v>
      </c>
      <c r="C62" s="8" t="s">
        <v>7230</v>
      </c>
    </row>
    <row r="63" spans="1:3" x14ac:dyDescent="0.25">
      <c r="A63" s="1" t="s">
        <v>580</v>
      </c>
      <c r="B63" s="1" t="s">
        <v>599</v>
      </c>
      <c r="C63" s="8" t="s">
        <v>7235</v>
      </c>
    </row>
    <row r="64" spans="1:3" x14ac:dyDescent="0.25">
      <c r="A64" s="1" t="s">
        <v>576</v>
      </c>
      <c r="B64" s="1" t="s">
        <v>599</v>
      </c>
      <c r="C64" s="8" t="s">
        <v>7231</v>
      </c>
    </row>
    <row r="65" spans="1:3" x14ac:dyDescent="0.25">
      <c r="A65" s="1" t="s">
        <v>584</v>
      </c>
      <c r="B65" s="1" t="s">
        <v>599</v>
      </c>
      <c r="C65" s="8" t="s">
        <v>7239</v>
      </c>
    </row>
    <row r="66" spans="1:3" x14ac:dyDescent="0.25">
      <c r="A66" s="1" t="s">
        <v>585</v>
      </c>
      <c r="B66" s="1" t="s">
        <v>599</v>
      </c>
      <c r="C66" s="8" t="s">
        <v>7240</v>
      </c>
    </row>
    <row r="67" spans="1:3" x14ac:dyDescent="0.25">
      <c r="A67" s="1" t="s">
        <v>586</v>
      </c>
      <c r="B67" s="1" t="s">
        <v>599</v>
      </c>
      <c r="C67" s="8" t="s">
        <v>7241</v>
      </c>
    </row>
    <row r="68" spans="1:3" x14ac:dyDescent="0.25">
      <c r="A68" s="1" t="s">
        <v>582</v>
      </c>
      <c r="B68" s="1" t="s">
        <v>599</v>
      </c>
      <c r="C68" s="8" t="s">
        <v>7237</v>
      </c>
    </row>
    <row r="69" spans="1:3" x14ac:dyDescent="0.25">
      <c r="A69" s="1" t="s">
        <v>583</v>
      </c>
      <c r="B69" s="1" t="s">
        <v>599</v>
      </c>
      <c r="C69" s="8" t="s">
        <v>7238</v>
      </c>
    </row>
    <row r="70" spans="1:3" x14ac:dyDescent="0.25">
      <c r="A70" s="1" t="s">
        <v>588</v>
      </c>
      <c r="B70" s="1" t="s">
        <v>599</v>
      </c>
      <c r="C70" s="8" t="s">
        <v>7243</v>
      </c>
    </row>
    <row r="71" spans="1:3" x14ac:dyDescent="0.25">
      <c r="A71" s="1" t="s">
        <v>587</v>
      </c>
      <c r="B71" s="1" t="s">
        <v>599</v>
      </c>
      <c r="C71" s="8" t="s">
        <v>7242</v>
      </c>
    </row>
    <row r="72" spans="1:3" x14ac:dyDescent="0.25">
      <c r="A72" s="1" t="s">
        <v>537</v>
      </c>
      <c r="B72" s="1" t="s">
        <v>599</v>
      </c>
      <c r="C72" s="8" t="s">
        <v>7191</v>
      </c>
    </row>
    <row r="73" spans="1:3" x14ac:dyDescent="0.25">
      <c r="A73" s="1" t="s">
        <v>537</v>
      </c>
      <c r="B73" s="1" t="s">
        <v>599</v>
      </c>
      <c r="C73" s="8" t="s">
        <v>7191</v>
      </c>
    </row>
    <row r="74" spans="1:3" x14ac:dyDescent="0.25">
      <c r="A74" s="1" t="s">
        <v>537</v>
      </c>
      <c r="B74" s="1" t="s">
        <v>599</v>
      </c>
      <c r="C74" s="8" t="s">
        <v>7191</v>
      </c>
    </row>
    <row r="75" spans="1:3" x14ac:dyDescent="0.25">
      <c r="A75" s="1" t="s">
        <v>590</v>
      </c>
      <c r="B75" s="1" t="s">
        <v>599</v>
      </c>
      <c r="C75" s="8" t="s">
        <v>7246</v>
      </c>
    </row>
    <row r="76" spans="1:3" x14ac:dyDescent="0.25">
      <c r="A76" s="1" t="s">
        <v>591</v>
      </c>
      <c r="B76" s="1" t="s">
        <v>599</v>
      </c>
      <c r="C76" s="8" t="s">
        <v>7247</v>
      </c>
    </row>
    <row r="77" spans="1:3" x14ac:dyDescent="0.25">
      <c r="A77" s="1" t="s">
        <v>592</v>
      </c>
      <c r="B77" s="1" t="s">
        <v>599</v>
      </c>
      <c r="C77" s="8" t="s">
        <v>7248</v>
      </c>
    </row>
    <row r="78" spans="1:3" x14ac:dyDescent="0.25">
      <c r="A78" s="1" t="s">
        <v>528</v>
      </c>
      <c r="B78" s="1" t="s">
        <v>599</v>
      </c>
      <c r="C78" s="8" t="s">
        <v>7182</v>
      </c>
    </row>
    <row r="79" spans="1:3" x14ac:dyDescent="0.25">
      <c r="A79" s="1" t="s">
        <v>533</v>
      </c>
      <c r="B79" s="1" t="s">
        <v>599</v>
      </c>
      <c r="C79" s="8" t="s">
        <v>7187</v>
      </c>
    </row>
    <row r="80" spans="1:3" x14ac:dyDescent="0.25">
      <c r="A80" s="1" t="s">
        <v>533</v>
      </c>
      <c r="B80" s="1" t="s">
        <v>599</v>
      </c>
      <c r="C80" s="8" t="s">
        <v>7187</v>
      </c>
    </row>
    <row r="81" spans="1:3" x14ac:dyDescent="0.25">
      <c r="A81" s="1" t="s">
        <v>577</v>
      </c>
      <c r="B81" s="1" t="s">
        <v>599</v>
      </c>
      <c r="C81" s="8" t="s">
        <v>7232</v>
      </c>
    </row>
    <row r="82" spans="1:3" x14ac:dyDescent="0.25">
      <c r="A82" s="1" t="s">
        <v>593</v>
      </c>
      <c r="B82" s="1" t="s">
        <v>599</v>
      </c>
      <c r="C82" s="8" t="s">
        <v>7249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3EE3-9230-44FD-8FD3-FB24F5725108}">
  <sheetPr codeName="Planilha3"/>
  <dimension ref="A1:A301"/>
  <sheetViews>
    <sheetView workbookViewId="0">
      <selection activeCell="B6" sqref="B6"/>
    </sheetView>
  </sheetViews>
  <sheetFormatPr defaultRowHeight="15" x14ac:dyDescent="0.25"/>
  <cols>
    <col min="1" max="1" width="10.28515625" customWidth="1"/>
  </cols>
  <sheetData>
    <row r="1" spans="1:1" x14ac:dyDescent="0.25">
      <c r="A1" t="s">
        <v>900</v>
      </c>
    </row>
    <row r="2" spans="1:1" x14ac:dyDescent="0.25">
      <c r="A2" t="s">
        <v>600</v>
      </c>
    </row>
    <row r="3" spans="1:1" x14ac:dyDescent="0.25">
      <c r="A3" t="s">
        <v>601</v>
      </c>
    </row>
    <row r="4" spans="1:1" x14ac:dyDescent="0.25">
      <c r="A4" t="s">
        <v>604</v>
      </c>
    </row>
    <row r="5" spans="1:1" x14ac:dyDescent="0.25">
      <c r="A5" t="s">
        <v>605</v>
      </c>
    </row>
    <row r="6" spans="1:1" x14ac:dyDescent="0.25">
      <c r="A6" t="s">
        <v>606</v>
      </c>
    </row>
    <row r="7" spans="1:1" x14ac:dyDescent="0.25">
      <c r="A7" t="s">
        <v>607</v>
      </c>
    </row>
    <row r="8" spans="1:1" x14ac:dyDescent="0.25">
      <c r="A8" t="s">
        <v>608</v>
      </c>
    </row>
    <row r="9" spans="1:1" x14ac:dyDescent="0.25">
      <c r="A9" t="s">
        <v>602</v>
      </c>
    </row>
    <row r="10" spans="1:1" x14ac:dyDescent="0.25">
      <c r="A10" t="s">
        <v>603</v>
      </c>
    </row>
    <row r="11" spans="1:1" x14ac:dyDescent="0.25">
      <c r="A11" t="s">
        <v>609</v>
      </c>
    </row>
    <row r="12" spans="1:1" x14ac:dyDescent="0.25">
      <c r="A12" t="s">
        <v>611</v>
      </c>
    </row>
    <row r="13" spans="1:1" x14ac:dyDescent="0.25">
      <c r="A13" t="s">
        <v>612</v>
      </c>
    </row>
    <row r="14" spans="1:1" x14ac:dyDescent="0.25">
      <c r="A14" t="s">
        <v>613</v>
      </c>
    </row>
    <row r="15" spans="1:1" x14ac:dyDescent="0.25">
      <c r="A15" t="s">
        <v>614</v>
      </c>
    </row>
    <row r="16" spans="1:1" x14ac:dyDescent="0.25">
      <c r="A16" t="s">
        <v>615</v>
      </c>
    </row>
    <row r="17" spans="1:1" x14ac:dyDescent="0.25">
      <c r="A17" t="s">
        <v>616</v>
      </c>
    </row>
    <row r="18" spans="1:1" x14ac:dyDescent="0.25">
      <c r="A18" t="s">
        <v>617</v>
      </c>
    </row>
    <row r="19" spans="1:1" x14ac:dyDescent="0.25">
      <c r="A19" t="s">
        <v>618</v>
      </c>
    </row>
    <row r="20" spans="1:1" x14ac:dyDescent="0.25">
      <c r="A20" t="s">
        <v>619</v>
      </c>
    </row>
    <row r="21" spans="1:1" x14ac:dyDescent="0.25">
      <c r="A21" t="s">
        <v>620</v>
      </c>
    </row>
    <row r="22" spans="1:1" x14ac:dyDescent="0.25">
      <c r="A22" t="s">
        <v>621</v>
      </c>
    </row>
    <row r="23" spans="1:1" x14ac:dyDescent="0.25">
      <c r="A23" t="s">
        <v>622</v>
      </c>
    </row>
    <row r="24" spans="1:1" x14ac:dyDescent="0.25">
      <c r="A24" t="s">
        <v>623</v>
      </c>
    </row>
    <row r="25" spans="1:1" x14ac:dyDescent="0.25">
      <c r="A25" t="s">
        <v>624</v>
      </c>
    </row>
    <row r="26" spans="1:1" x14ac:dyDescent="0.25">
      <c r="A26" t="s">
        <v>625</v>
      </c>
    </row>
    <row r="27" spans="1:1" x14ac:dyDescent="0.25">
      <c r="A27" t="s">
        <v>626</v>
      </c>
    </row>
    <row r="28" spans="1:1" x14ac:dyDescent="0.25">
      <c r="A28" t="s">
        <v>627</v>
      </c>
    </row>
    <row r="29" spans="1:1" x14ac:dyDescent="0.25">
      <c r="A29" t="s">
        <v>628</v>
      </c>
    </row>
    <row r="30" spans="1:1" x14ac:dyDescent="0.25">
      <c r="A30" t="s">
        <v>629</v>
      </c>
    </row>
    <row r="31" spans="1:1" x14ac:dyDescent="0.25">
      <c r="A31" t="s">
        <v>630</v>
      </c>
    </row>
    <row r="32" spans="1:1" x14ac:dyDescent="0.25">
      <c r="A32" t="s">
        <v>631</v>
      </c>
    </row>
    <row r="33" spans="1:1" x14ac:dyDescent="0.25">
      <c r="A33" t="s">
        <v>632</v>
      </c>
    </row>
    <row r="34" spans="1:1" x14ac:dyDescent="0.25">
      <c r="A34" t="s">
        <v>633</v>
      </c>
    </row>
    <row r="35" spans="1:1" x14ac:dyDescent="0.25">
      <c r="A35" t="s">
        <v>634</v>
      </c>
    </row>
    <row r="36" spans="1:1" x14ac:dyDescent="0.25">
      <c r="A36" t="s">
        <v>635</v>
      </c>
    </row>
    <row r="37" spans="1:1" x14ac:dyDescent="0.25">
      <c r="A37" t="s">
        <v>636</v>
      </c>
    </row>
    <row r="38" spans="1:1" x14ac:dyDescent="0.25">
      <c r="A38" t="s">
        <v>637</v>
      </c>
    </row>
    <row r="39" spans="1:1" x14ac:dyDescent="0.25">
      <c r="A39" t="s">
        <v>638</v>
      </c>
    </row>
    <row r="40" spans="1:1" x14ac:dyDescent="0.25">
      <c r="A40" t="s">
        <v>639</v>
      </c>
    </row>
    <row r="41" spans="1:1" x14ac:dyDescent="0.25">
      <c r="A41" t="s">
        <v>640</v>
      </c>
    </row>
    <row r="42" spans="1:1" x14ac:dyDescent="0.25">
      <c r="A42" t="s">
        <v>641</v>
      </c>
    </row>
    <row r="43" spans="1:1" x14ac:dyDescent="0.25">
      <c r="A43" t="s">
        <v>642</v>
      </c>
    </row>
    <row r="44" spans="1:1" x14ac:dyDescent="0.25">
      <c r="A44" t="s">
        <v>643</v>
      </c>
    </row>
    <row r="45" spans="1:1" x14ac:dyDescent="0.25">
      <c r="A45" t="s">
        <v>644</v>
      </c>
    </row>
    <row r="46" spans="1:1" x14ac:dyDescent="0.25">
      <c r="A46" t="s">
        <v>645</v>
      </c>
    </row>
    <row r="47" spans="1:1" x14ac:dyDescent="0.25">
      <c r="A47" t="s">
        <v>646</v>
      </c>
    </row>
    <row r="48" spans="1:1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650</v>
      </c>
    </row>
    <row r="52" spans="1:1" x14ac:dyDescent="0.25">
      <c r="A52" t="s">
        <v>651</v>
      </c>
    </row>
    <row r="53" spans="1:1" x14ac:dyDescent="0.25">
      <c r="A53" t="s">
        <v>652</v>
      </c>
    </row>
    <row r="54" spans="1:1" x14ac:dyDescent="0.25">
      <c r="A54" t="s">
        <v>653</v>
      </c>
    </row>
    <row r="55" spans="1:1" x14ac:dyDescent="0.25">
      <c r="A55" t="s">
        <v>654</v>
      </c>
    </row>
    <row r="56" spans="1:1" x14ac:dyDescent="0.25">
      <c r="A56" t="s">
        <v>655</v>
      </c>
    </row>
    <row r="57" spans="1:1" x14ac:dyDescent="0.25">
      <c r="A57" t="s">
        <v>656</v>
      </c>
    </row>
    <row r="58" spans="1:1" x14ac:dyDescent="0.25">
      <c r="A58" t="s">
        <v>657</v>
      </c>
    </row>
    <row r="59" spans="1:1" x14ac:dyDescent="0.25">
      <c r="A59" t="s">
        <v>658</v>
      </c>
    </row>
    <row r="60" spans="1:1" x14ac:dyDescent="0.25">
      <c r="A60" t="s">
        <v>659</v>
      </c>
    </row>
    <row r="61" spans="1:1" x14ac:dyDescent="0.25">
      <c r="A61" t="s">
        <v>660</v>
      </c>
    </row>
    <row r="62" spans="1:1" x14ac:dyDescent="0.25">
      <c r="A62" t="s">
        <v>661</v>
      </c>
    </row>
    <row r="63" spans="1:1" x14ac:dyDescent="0.25">
      <c r="A63" t="s">
        <v>662</v>
      </c>
    </row>
    <row r="64" spans="1:1" x14ac:dyDescent="0.25">
      <c r="A64" t="s">
        <v>663</v>
      </c>
    </row>
    <row r="65" spans="1:1" x14ac:dyDescent="0.25">
      <c r="A65" t="s">
        <v>664</v>
      </c>
    </row>
    <row r="66" spans="1:1" x14ac:dyDescent="0.25">
      <c r="A66" t="s">
        <v>665</v>
      </c>
    </row>
    <row r="67" spans="1:1" x14ac:dyDescent="0.25">
      <c r="A67" t="s">
        <v>666</v>
      </c>
    </row>
    <row r="68" spans="1:1" x14ac:dyDescent="0.25">
      <c r="A68" t="s">
        <v>667</v>
      </c>
    </row>
    <row r="69" spans="1:1" x14ac:dyDescent="0.25">
      <c r="A69" t="s">
        <v>668</v>
      </c>
    </row>
    <row r="70" spans="1:1" x14ac:dyDescent="0.25">
      <c r="A70" t="s">
        <v>669</v>
      </c>
    </row>
    <row r="71" spans="1:1" x14ac:dyDescent="0.25">
      <c r="A71" t="s">
        <v>670</v>
      </c>
    </row>
    <row r="72" spans="1:1" x14ac:dyDescent="0.25">
      <c r="A72" t="s">
        <v>671</v>
      </c>
    </row>
    <row r="73" spans="1:1" x14ac:dyDescent="0.25">
      <c r="A73" t="s">
        <v>672</v>
      </c>
    </row>
    <row r="74" spans="1:1" x14ac:dyDescent="0.25">
      <c r="A74" t="s">
        <v>673</v>
      </c>
    </row>
    <row r="75" spans="1:1" x14ac:dyDescent="0.25">
      <c r="A75" t="s">
        <v>674</v>
      </c>
    </row>
    <row r="76" spans="1:1" x14ac:dyDescent="0.25">
      <c r="A76" t="s">
        <v>675</v>
      </c>
    </row>
    <row r="77" spans="1:1" x14ac:dyDescent="0.25">
      <c r="A77" t="s">
        <v>676</v>
      </c>
    </row>
    <row r="78" spans="1:1" x14ac:dyDescent="0.25">
      <c r="A78" t="s">
        <v>677</v>
      </c>
    </row>
    <row r="79" spans="1:1" x14ac:dyDescent="0.25">
      <c r="A79" t="s">
        <v>678</v>
      </c>
    </row>
    <row r="80" spans="1:1" x14ac:dyDescent="0.25">
      <c r="A80" t="s">
        <v>679</v>
      </c>
    </row>
    <row r="81" spans="1:1" x14ac:dyDescent="0.25">
      <c r="A81" t="s">
        <v>680</v>
      </c>
    </row>
    <row r="82" spans="1:1" x14ac:dyDescent="0.25">
      <c r="A82" t="s">
        <v>681</v>
      </c>
    </row>
    <row r="83" spans="1:1" x14ac:dyDescent="0.25">
      <c r="A83" t="s">
        <v>682</v>
      </c>
    </row>
    <row r="84" spans="1:1" x14ac:dyDescent="0.25">
      <c r="A84" t="s">
        <v>683</v>
      </c>
    </row>
    <row r="85" spans="1:1" x14ac:dyDescent="0.25">
      <c r="A85" t="s">
        <v>684</v>
      </c>
    </row>
    <row r="86" spans="1:1" x14ac:dyDescent="0.25">
      <c r="A86" t="s">
        <v>685</v>
      </c>
    </row>
    <row r="87" spans="1:1" x14ac:dyDescent="0.25">
      <c r="A87" t="s">
        <v>686</v>
      </c>
    </row>
    <row r="88" spans="1:1" x14ac:dyDescent="0.25">
      <c r="A88" t="s">
        <v>687</v>
      </c>
    </row>
    <row r="89" spans="1:1" x14ac:dyDescent="0.25">
      <c r="A89" t="s">
        <v>688</v>
      </c>
    </row>
    <row r="90" spans="1:1" x14ac:dyDescent="0.25">
      <c r="A90" t="s">
        <v>689</v>
      </c>
    </row>
    <row r="91" spans="1:1" x14ac:dyDescent="0.25">
      <c r="A91" t="s">
        <v>690</v>
      </c>
    </row>
    <row r="92" spans="1:1" x14ac:dyDescent="0.25">
      <c r="A92" t="s">
        <v>691</v>
      </c>
    </row>
    <row r="93" spans="1:1" x14ac:dyDescent="0.25">
      <c r="A93" t="s">
        <v>692</v>
      </c>
    </row>
    <row r="94" spans="1:1" x14ac:dyDescent="0.25">
      <c r="A94" t="s">
        <v>693</v>
      </c>
    </row>
    <row r="95" spans="1:1" x14ac:dyDescent="0.25">
      <c r="A95" t="s">
        <v>694</v>
      </c>
    </row>
    <row r="96" spans="1:1" x14ac:dyDescent="0.25">
      <c r="A96" t="s">
        <v>695</v>
      </c>
    </row>
    <row r="97" spans="1:1" x14ac:dyDescent="0.25">
      <c r="A97" t="s">
        <v>696</v>
      </c>
    </row>
    <row r="98" spans="1:1" x14ac:dyDescent="0.25">
      <c r="A98" t="s">
        <v>697</v>
      </c>
    </row>
    <row r="99" spans="1:1" x14ac:dyDescent="0.25">
      <c r="A99" t="s">
        <v>698</v>
      </c>
    </row>
    <row r="100" spans="1:1" x14ac:dyDescent="0.25">
      <c r="A100" t="s">
        <v>699</v>
      </c>
    </row>
    <row r="101" spans="1:1" x14ac:dyDescent="0.25">
      <c r="A101" t="s">
        <v>700</v>
      </c>
    </row>
    <row r="102" spans="1:1" x14ac:dyDescent="0.25">
      <c r="A102" t="s">
        <v>701</v>
      </c>
    </row>
    <row r="103" spans="1:1" x14ac:dyDescent="0.25">
      <c r="A103" t="s">
        <v>702</v>
      </c>
    </row>
    <row r="104" spans="1:1" x14ac:dyDescent="0.25">
      <c r="A104" t="s">
        <v>703</v>
      </c>
    </row>
    <row r="105" spans="1:1" x14ac:dyDescent="0.25">
      <c r="A105" t="s">
        <v>704</v>
      </c>
    </row>
    <row r="106" spans="1:1" x14ac:dyDescent="0.25">
      <c r="A106" t="s">
        <v>705</v>
      </c>
    </row>
    <row r="107" spans="1:1" x14ac:dyDescent="0.25">
      <c r="A107" t="s">
        <v>706</v>
      </c>
    </row>
    <row r="108" spans="1:1" x14ac:dyDescent="0.25">
      <c r="A108" t="s">
        <v>707</v>
      </c>
    </row>
    <row r="109" spans="1:1" x14ac:dyDescent="0.25">
      <c r="A109" t="s">
        <v>708</v>
      </c>
    </row>
    <row r="110" spans="1:1" x14ac:dyDescent="0.25">
      <c r="A110" t="s">
        <v>709</v>
      </c>
    </row>
    <row r="111" spans="1:1" x14ac:dyDescent="0.25">
      <c r="A111" t="s">
        <v>710</v>
      </c>
    </row>
    <row r="112" spans="1:1" x14ac:dyDescent="0.25">
      <c r="A112" t="s">
        <v>711</v>
      </c>
    </row>
    <row r="113" spans="1:1" x14ac:dyDescent="0.25">
      <c r="A113" t="s">
        <v>712</v>
      </c>
    </row>
    <row r="114" spans="1:1" x14ac:dyDescent="0.25">
      <c r="A114" t="s">
        <v>713</v>
      </c>
    </row>
    <row r="115" spans="1:1" x14ac:dyDescent="0.25">
      <c r="A115" t="s">
        <v>714</v>
      </c>
    </row>
    <row r="116" spans="1:1" x14ac:dyDescent="0.25">
      <c r="A116" t="s">
        <v>715</v>
      </c>
    </row>
    <row r="117" spans="1:1" x14ac:dyDescent="0.25">
      <c r="A117" t="s">
        <v>716</v>
      </c>
    </row>
    <row r="118" spans="1:1" x14ac:dyDescent="0.25">
      <c r="A118" t="s">
        <v>717</v>
      </c>
    </row>
    <row r="119" spans="1:1" x14ac:dyDescent="0.25">
      <c r="A119" t="s">
        <v>718</v>
      </c>
    </row>
    <row r="120" spans="1:1" x14ac:dyDescent="0.25">
      <c r="A120" t="s">
        <v>719</v>
      </c>
    </row>
    <row r="121" spans="1:1" x14ac:dyDescent="0.25">
      <c r="A121" t="s">
        <v>720</v>
      </c>
    </row>
    <row r="122" spans="1:1" x14ac:dyDescent="0.25">
      <c r="A122" t="s">
        <v>721</v>
      </c>
    </row>
    <row r="123" spans="1:1" x14ac:dyDescent="0.25">
      <c r="A123" t="s">
        <v>722</v>
      </c>
    </row>
    <row r="124" spans="1:1" x14ac:dyDescent="0.25">
      <c r="A124" t="s">
        <v>723</v>
      </c>
    </row>
    <row r="125" spans="1:1" x14ac:dyDescent="0.25">
      <c r="A125" t="s">
        <v>724</v>
      </c>
    </row>
    <row r="126" spans="1:1" x14ac:dyDescent="0.25">
      <c r="A126" t="s">
        <v>725</v>
      </c>
    </row>
    <row r="127" spans="1:1" x14ac:dyDescent="0.25">
      <c r="A127" t="s">
        <v>726</v>
      </c>
    </row>
    <row r="128" spans="1:1" x14ac:dyDescent="0.25">
      <c r="A128" t="s">
        <v>727</v>
      </c>
    </row>
    <row r="129" spans="1:1" x14ac:dyDescent="0.25">
      <c r="A129" t="s">
        <v>728</v>
      </c>
    </row>
    <row r="130" spans="1:1" x14ac:dyDescent="0.25">
      <c r="A130" t="s">
        <v>729</v>
      </c>
    </row>
    <row r="131" spans="1:1" x14ac:dyDescent="0.25">
      <c r="A131" t="s">
        <v>730</v>
      </c>
    </row>
    <row r="132" spans="1:1" x14ac:dyDescent="0.25">
      <c r="A132" t="s">
        <v>731</v>
      </c>
    </row>
    <row r="133" spans="1:1" x14ac:dyDescent="0.25">
      <c r="A133" t="s">
        <v>732</v>
      </c>
    </row>
    <row r="134" spans="1:1" x14ac:dyDescent="0.25">
      <c r="A134" t="s">
        <v>733</v>
      </c>
    </row>
    <row r="135" spans="1:1" x14ac:dyDescent="0.25">
      <c r="A135" t="s">
        <v>734</v>
      </c>
    </row>
    <row r="136" spans="1:1" x14ac:dyDescent="0.25">
      <c r="A136" t="s">
        <v>735</v>
      </c>
    </row>
    <row r="137" spans="1:1" x14ac:dyDescent="0.25">
      <c r="A137" t="s">
        <v>736</v>
      </c>
    </row>
    <row r="138" spans="1:1" x14ac:dyDescent="0.25">
      <c r="A138" t="s">
        <v>737</v>
      </c>
    </row>
    <row r="139" spans="1:1" x14ac:dyDescent="0.25">
      <c r="A139" t="s">
        <v>738</v>
      </c>
    </row>
    <row r="140" spans="1:1" x14ac:dyDescent="0.25">
      <c r="A140" t="s">
        <v>739</v>
      </c>
    </row>
    <row r="141" spans="1:1" x14ac:dyDescent="0.25">
      <c r="A141" t="s">
        <v>740</v>
      </c>
    </row>
    <row r="142" spans="1:1" x14ac:dyDescent="0.25">
      <c r="A142" t="s">
        <v>741</v>
      </c>
    </row>
    <row r="143" spans="1:1" x14ac:dyDescent="0.25">
      <c r="A143" t="s">
        <v>742</v>
      </c>
    </row>
    <row r="144" spans="1:1" x14ac:dyDescent="0.25">
      <c r="A144" t="s">
        <v>743</v>
      </c>
    </row>
    <row r="145" spans="1:1" x14ac:dyDescent="0.25">
      <c r="A145" t="s">
        <v>744</v>
      </c>
    </row>
    <row r="146" spans="1:1" x14ac:dyDescent="0.25">
      <c r="A146" t="s">
        <v>745</v>
      </c>
    </row>
    <row r="147" spans="1:1" x14ac:dyDescent="0.25">
      <c r="A147" t="s">
        <v>746</v>
      </c>
    </row>
    <row r="148" spans="1:1" x14ac:dyDescent="0.25">
      <c r="A148" t="s">
        <v>747</v>
      </c>
    </row>
    <row r="149" spans="1:1" x14ac:dyDescent="0.25">
      <c r="A149" t="s">
        <v>748</v>
      </c>
    </row>
    <row r="150" spans="1:1" x14ac:dyDescent="0.25">
      <c r="A150" t="s">
        <v>749</v>
      </c>
    </row>
    <row r="151" spans="1:1" x14ac:dyDescent="0.25">
      <c r="A151" t="s">
        <v>750</v>
      </c>
    </row>
    <row r="152" spans="1:1" x14ac:dyDescent="0.25">
      <c r="A152" t="s">
        <v>751</v>
      </c>
    </row>
    <row r="153" spans="1:1" x14ac:dyDescent="0.25">
      <c r="A153" t="s">
        <v>752</v>
      </c>
    </row>
    <row r="154" spans="1:1" x14ac:dyDescent="0.25">
      <c r="A154" t="s">
        <v>753</v>
      </c>
    </row>
    <row r="155" spans="1:1" x14ac:dyDescent="0.25">
      <c r="A155" t="s">
        <v>754</v>
      </c>
    </row>
    <row r="156" spans="1:1" x14ac:dyDescent="0.25">
      <c r="A156" t="s">
        <v>755</v>
      </c>
    </row>
    <row r="157" spans="1:1" x14ac:dyDescent="0.25">
      <c r="A157" t="s">
        <v>756</v>
      </c>
    </row>
    <row r="158" spans="1:1" x14ac:dyDescent="0.25">
      <c r="A158" t="s">
        <v>757</v>
      </c>
    </row>
    <row r="159" spans="1:1" x14ac:dyDescent="0.25">
      <c r="A159" t="s">
        <v>758</v>
      </c>
    </row>
    <row r="160" spans="1:1" x14ac:dyDescent="0.25">
      <c r="A160" t="s">
        <v>759</v>
      </c>
    </row>
    <row r="161" spans="1:1" x14ac:dyDescent="0.25">
      <c r="A161" t="s">
        <v>760</v>
      </c>
    </row>
    <row r="162" spans="1:1" x14ac:dyDescent="0.25">
      <c r="A162" t="s">
        <v>761</v>
      </c>
    </row>
    <row r="163" spans="1:1" x14ac:dyDescent="0.25">
      <c r="A163" t="s">
        <v>762</v>
      </c>
    </row>
    <row r="164" spans="1:1" x14ac:dyDescent="0.25">
      <c r="A164" t="s">
        <v>763</v>
      </c>
    </row>
    <row r="165" spans="1:1" x14ac:dyDescent="0.25">
      <c r="A165" t="s">
        <v>764</v>
      </c>
    </row>
    <row r="166" spans="1:1" x14ac:dyDescent="0.25">
      <c r="A166" t="s">
        <v>765</v>
      </c>
    </row>
    <row r="167" spans="1:1" x14ac:dyDescent="0.25">
      <c r="A167" t="s">
        <v>766</v>
      </c>
    </row>
    <row r="168" spans="1:1" x14ac:dyDescent="0.25">
      <c r="A168" t="s">
        <v>767</v>
      </c>
    </row>
    <row r="169" spans="1:1" x14ac:dyDescent="0.25">
      <c r="A169" t="s">
        <v>768</v>
      </c>
    </row>
    <row r="170" spans="1:1" x14ac:dyDescent="0.25">
      <c r="A170" t="s">
        <v>769</v>
      </c>
    </row>
    <row r="171" spans="1:1" x14ac:dyDescent="0.25">
      <c r="A171" t="s">
        <v>770</v>
      </c>
    </row>
    <row r="172" spans="1:1" x14ac:dyDescent="0.25">
      <c r="A172" t="s">
        <v>771</v>
      </c>
    </row>
    <row r="173" spans="1:1" x14ac:dyDescent="0.25">
      <c r="A173" t="s">
        <v>772</v>
      </c>
    </row>
    <row r="174" spans="1:1" x14ac:dyDescent="0.25">
      <c r="A174" t="s">
        <v>773</v>
      </c>
    </row>
    <row r="175" spans="1:1" x14ac:dyDescent="0.25">
      <c r="A175" t="s">
        <v>774</v>
      </c>
    </row>
    <row r="176" spans="1:1" x14ac:dyDescent="0.25">
      <c r="A176" t="s">
        <v>775</v>
      </c>
    </row>
    <row r="177" spans="1:1" x14ac:dyDescent="0.25">
      <c r="A177" t="s">
        <v>776</v>
      </c>
    </row>
    <row r="178" spans="1:1" x14ac:dyDescent="0.25">
      <c r="A178" t="s">
        <v>777</v>
      </c>
    </row>
    <row r="179" spans="1:1" x14ac:dyDescent="0.25">
      <c r="A179" t="s">
        <v>778</v>
      </c>
    </row>
    <row r="180" spans="1:1" x14ac:dyDescent="0.25">
      <c r="A180" t="s">
        <v>779</v>
      </c>
    </row>
    <row r="181" spans="1:1" x14ac:dyDescent="0.25">
      <c r="A181" t="s">
        <v>780</v>
      </c>
    </row>
    <row r="182" spans="1:1" x14ac:dyDescent="0.25">
      <c r="A182" t="s">
        <v>781</v>
      </c>
    </row>
    <row r="183" spans="1:1" x14ac:dyDescent="0.25">
      <c r="A183" t="s">
        <v>782</v>
      </c>
    </row>
    <row r="184" spans="1:1" x14ac:dyDescent="0.25">
      <c r="A184" t="s">
        <v>783</v>
      </c>
    </row>
    <row r="185" spans="1:1" x14ac:dyDescent="0.25">
      <c r="A185" t="s">
        <v>784</v>
      </c>
    </row>
    <row r="186" spans="1:1" x14ac:dyDescent="0.25">
      <c r="A186" t="s">
        <v>785</v>
      </c>
    </row>
    <row r="187" spans="1:1" x14ac:dyDescent="0.25">
      <c r="A187" t="s">
        <v>786</v>
      </c>
    </row>
    <row r="188" spans="1:1" x14ac:dyDescent="0.25">
      <c r="A188" t="s">
        <v>787</v>
      </c>
    </row>
    <row r="189" spans="1:1" x14ac:dyDescent="0.25">
      <c r="A189" t="s">
        <v>788</v>
      </c>
    </row>
    <row r="190" spans="1:1" x14ac:dyDescent="0.25">
      <c r="A190" t="s">
        <v>789</v>
      </c>
    </row>
    <row r="191" spans="1:1" x14ac:dyDescent="0.25">
      <c r="A191" t="s">
        <v>790</v>
      </c>
    </row>
    <row r="192" spans="1:1" x14ac:dyDescent="0.25">
      <c r="A192" t="s">
        <v>791</v>
      </c>
    </row>
    <row r="193" spans="1:1" x14ac:dyDescent="0.25">
      <c r="A193" t="s">
        <v>792</v>
      </c>
    </row>
    <row r="194" spans="1:1" x14ac:dyDescent="0.25">
      <c r="A194" t="s">
        <v>793</v>
      </c>
    </row>
    <row r="195" spans="1:1" x14ac:dyDescent="0.25">
      <c r="A195" t="s">
        <v>794</v>
      </c>
    </row>
    <row r="196" spans="1:1" x14ac:dyDescent="0.25">
      <c r="A196" t="s">
        <v>795</v>
      </c>
    </row>
    <row r="197" spans="1:1" x14ac:dyDescent="0.25">
      <c r="A197" t="s">
        <v>796</v>
      </c>
    </row>
    <row r="198" spans="1:1" x14ac:dyDescent="0.25">
      <c r="A198" t="s">
        <v>797</v>
      </c>
    </row>
    <row r="199" spans="1:1" x14ac:dyDescent="0.25">
      <c r="A199" t="s">
        <v>798</v>
      </c>
    </row>
    <row r="200" spans="1:1" x14ac:dyDescent="0.25">
      <c r="A200" t="s">
        <v>799</v>
      </c>
    </row>
    <row r="201" spans="1:1" x14ac:dyDescent="0.25">
      <c r="A201" t="s">
        <v>800</v>
      </c>
    </row>
    <row r="202" spans="1:1" x14ac:dyDescent="0.25">
      <c r="A202" t="s">
        <v>801</v>
      </c>
    </row>
    <row r="203" spans="1:1" x14ac:dyDescent="0.25">
      <c r="A203" t="s">
        <v>802</v>
      </c>
    </row>
    <row r="204" spans="1:1" x14ac:dyDescent="0.25">
      <c r="A204" t="s">
        <v>803</v>
      </c>
    </row>
    <row r="205" spans="1:1" x14ac:dyDescent="0.25">
      <c r="A205" t="s">
        <v>804</v>
      </c>
    </row>
    <row r="206" spans="1:1" x14ac:dyDescent="0.25">
      <c r="A206" t="s">
        <v>805</v>
      </c>
    </row>
    <row r="207" spans="1:1" x14ac:dyDescent="0.25">
      <c r="A207" t="s">
        <v>806</v>
      </c>
    </row>
    <row r="208" spans="1:1" x14ac:dyDescent="0.25">
      <c r="A208" t="s">
        <v>807</v>
      </c>
    </row>
    <row r="209" spans="1:1" x14ac:dyDescent="0.25">
      <c r="A209" t="s">
        <v>808</v>
      </c>
    </row>
    <row r="210" spans="1:1" x14ac:dyDescent="0.25">
      <c r="A210" t="s">
        <v>809</v>
      </c>
    </row>
    <row r="211" spans="1:1" x14ac:dyDescent="0.25">
      <c r="A211" t="s">
        <v>810</v>
      </c>
    </row>
    <row r="212" spans="1:1" x14ac:dyDescent="0.25">
      <c r="A212" t="s">
        <v>811</v>
      </c>
    </row>
    <row r="213" spans="1:1" x14ac:dyDescent="0.25">
      <c r="A213" t="s">
        <v>812</v>
      </c>
    </row>
    <row r="214" spans="1:1" x14ac:dyDescent="0.25">
      <c r="A214" t="s">
        <v>813</v>
      </c>
    </row>
    <row r="215" spans="1:1" x14ac:dyDescent="0.25">
      <c r="A215" t="s">
        <v>814</v>
      </c>
    </row>
    <row r="216" spans="1:1" x14ac:dyDescent="0.25">
      <c r="A216" t="s">
        <v>815</v>
      </c>
    </row>
    <row r="217" spans="1:1" x14ac:dyDescent="0.25">
      <c r="A217" t="s">
        <v>816</v>
      </c>
    </row>
    <row r="218" spans="1:1" x14ac:dyDescent="0.25">
      <c r="A218" t="s">
        <v>817</v>
      </c>
    </row>
    <row r="219" spans="1:1" x14ac:dyDescent="0.25">
      <c r="A219" t="s">
        <v>818</v>
      </c>
    </row>
    <row r="220" spans="1:1" x14ac:dyDescent="0.25">
      <c r="A220" t="s">
        <v>819</v>
      </c>
    </row>
    <row r="221" spans="1:1" x14ac:dyDescent="0.25">
      <c r="A221" t="s">
        <v>820</v>
      </c>
    </row>
    <row r="222" spans="1:1" x14ac:dyDescent="0.25">
      <c r="A222" t="s">
        <v>821</v>
      </c>
    </row>
    <row r="223" spans="1:1" x14ac:dyDescent="0.25">
      <c r="A223" t="s">
        <v>822</v>
      </c>
    </row>
    <row r="224" spans="1:1" x14ac:dyDescent="0.25">
      <c r="A224" t="s">
        <v>823</v>
      </c>
    </row>
    <row r="225" spans="1:1" x14ac:dyDescent="0.25">
      <c r="A225" t="s">
        <v>824</v>
      </c>
    </row>
    <row r="226" spans="1:1" x14ac:dyDescent="0.25">
      <c r="A226" t="s">
        <v>825</v>
      </c>
    </row>
    <row r="227" spans="1:1" x14ac:dyDescent="0.25">
      <c r="A227" t="s">
        <v>722</v>
      </c>
    </row>
    <row r="228" spans="1:1" x14ac:dyDescent="0.25">
      <c r="A228" t="s">
        <v>826</v>
      </c>
    </row>
    <row r="229" spans="1:1" x14ac:dyDescent="0.25">
      <c r="A229" t="s">
        <v>827</v>
      </c>
    </row>
    <row r="230" spans="1:1" x14ac:dyDescent="0.25">
      <c r="A230" t="s">
        <v>828</v>
      </c>
    </row>
    <row r="231" spans="1:1" x14ac:dyDescent="0.25">
      <c r="A231" t="s">
        <v>829</v>
      </c>
    </row>
    <row r="232" spans="1:1" x14ac:dyDescent="0.25">
      <c r="A232" t="s">
        <v>830</v>
      </c>
    </row>
    <row r="233" spans="1:1" x14ac:dyDescent="0.25">
      <c r="A233" t="s">
        <v>831</v>
      </c>
    </row>
    <row r="234" spans="1:1" x14ac:dyDescent="0.25">
      <c r="A234" t="s">
        <v>832</v>
      </c>
    </row>
    <row r="235" spans="1:1" x14ac:dyDescent="0.25">
      <c r="A235" t="s">
        <v>833</v>
      </c>
    </row>
    <row r="236" spans="1:1" x14ac:dyDescent="0.25">
      <c r="A236" t="s">
        <v>834</v>
      </c>
    </row>
    <row r="237" spans="1:1" x14ac:dyDescent="0.25">
      <c r="A237" t="s">
        <v>835</v>
      </c>
    </row>
    <row r="238" spans="1:1" x14ac:dyDescent="0.25">
      <c r="A238" t="s">
        <v>836</v>
      </c>
    </row>
    <row r="239" spans="1:1" x14ac:dyDescent="0.25">
      <c r="A239" t="s">
        <v>837</v>
      </c>
    </row>
    <row r="240" spans="1:1" x14ac:dyDescent="0.25">
      <c r="A240" t="s">
        <v>838</v>
      </c>
    </row>
    <row r="241" spans="1:1" x14ac:dyDescent="0.25">
      <c r="A241" t="s">
        <v>839</v>
      </c>
    </row>
    <row r="242" spans="1:1" x14ac:dyDescent="0.25">
      <c r="A242" t="s">
        <v>840</v>
      </c>
    </row>
    <row r="243" spans="1:1" x14ac:dyDescent="0.25">
      <c r="A243" t="s">
        <v>841</v>
      </c>
    </row>
    <row r="244" spans="1:1" x14ac:dyDescent="0.25">
      <c r="A244" t="s">
        <v>842</v>
      </c>
    </row>
    <row r="245" spans="1:1" x14ac:dyDescent="0.25">
      <c r="A245" t="s">
        <v>843</v>
      </c>
    </row>
    <row r="246" spans="1:1" x14ac:dyDescent="0.25">
      <c r="A246" t="s">
        <v>844</v>
      </c>
    </row>
    <row r="247" spans="1:1" x14ac:dyDescent="0.25">
      <c r="A247" t="s">
        <v>845</v>
      </c>
    </row>
    <row r="248" spans="1:1" x14ac:dyDescent="0.25">
      <c r="A248" t="s">
        <v>846</v>
      </c>
    </row>
    <row r="249" spans="1:1" x14ac:dyDescent="0.25">
      <c r="A249" t="s">
        <v>847</v>
      </c>
    </row>
    <row r="250" spans="1:1" x14ac:dyDescent="0.25">
      <c r="A250" t="s">
        <v>848</v>
      </c>
    </row>
    <row r="251" spans="1:1" x14ac:dyDescent="0.25">
      <c r="A251" t="s">
        <v>849</v>
      </c>
    </row>
    <row r="252" spans="1:1" x14ac:dyDescent="0.25">
      <c r="A252" t="s">
        <v>850</v>
      </c>
    </row>
    <row r="253" spans="1:1" x14ac:dyDescent="0.25">
      <c r="A253" t="s">
        <v>851</v>
      </c>
    </row>
    <row r="254" spans="1:1" x14ac:dyDescent="0.25">
      <c r="A254" t="s">
        <v>852</v>
      </c>
    </row>
    <row r="255" spans="1:1" x14ac:dyDescent="0.25">
      <c r="A255" t="s">
        <v>853</v>
      </c>
    </row>
    <row r="256" spans="1:1" x14ac:dyDescent="0.25">
      <c r="A256" t="s">
        <v>854</v>
      </c>
    </row>
    <row r="257" spans="1:1" x14ac:dyDescent="0.25">
      <c r="A257" t="s">
        <v>855</v>
      </c>
    </row>
    <row r="258" spans="1:1" x14ac:dyDescent="0.25">
      <c r="A258" t="s">
        <v>856</v>
      </c>
    </row>
    <row r="259" spans="1:1" x14ac:dyDescent="0.25">
      <c r="A259" t="s">
        <v>857</v>
      </c>
    </row>
    <row r="260" spans="1:1" x14ac:dyDescent="0.25">
      <c r="A260" t="s">
        <v>858</v>
      </c>
    </row>
    <row r="261" spans="1:1" x14ac:dyDescent="0.25">
      <c r="A261" t="s">
        <v>859</v>
      </c>
    </row>
    <row r="262" spans="1:1" x14ac:dyDescent="0.25">
      <c r="A262" t="s">
        <v>860</v>
      </c>
    </row>
    <row r="263" spans="1:1" x14ac:dyDescent="0.25">
      <c r="A263" t="s">
        <v>861</v>
      </c>
    </row>
    <row r="264" spans="1:1" x14ac:dyDescent="0.25">
      <c r="A264" t="s">
        <v>862</v>
      </c>
    </row>
    <row r="265" spans="1:1" x14ac:dyDescent="0.25">
      <c r="A265" t="s">
        <v>863</v>
      </c>
    </row>
    <row r="266" spans="1:1" x14ac:dyDescent="0.25">
      <c r="A266" t="s">
        <v>864</v>
      </c>
    </row>
    <row r="267" spans="1:1" x14ac:dyDescent="0.25">
      <c r="A267" t="s">
        <v>865</v>
      </c>
    </row>
    <row r="268" spans="1:1" x14ac:dyDescent="0.25">
      <c r="A268" t="s">
        <v>866</v>
      </c>
    </row>
    <row r="269" spans="1:1" x14ac:dyDescent="0.25">
      <c r="A269" t="s">
        <v>867</v>
      </c>
    </row>
    <row r="270" spans="1:1" x14ac:dyDescent="0.25">
      <c r="A270" t="s">
        <v>868</v>
      </c>
    </row>
    <row r="271" spans="1:1" x14ac:dyDescent="0.25">
      <c r="A271" t="s">
        <v>869</v>
      </c>
    </row>
    <row r="272" spans="1:1" x14ac:dyDescent="0.25">
      <c r="A272" t="s">
        <v>870</v>
      </c>
    </row>
    <row r="273" spans="1:1" x14ac:dyDescent="0.25">
      <c r="A273" t="s">
        <v>871</v>
      </c>
    </row>
    <row r="274" spans="1:1" x14ac:dyDescent="0.25">
      <c r="A274" t="s">
        <v>872</v>
      </c>
    </row>
    <row r="275" spans="1:1" x14ac:dyDescent="0.25">
      <c r="A275" t="s">
        <v>873</v>
      </c>
    </row>
    <row r="276" spans="1:1" x14ac:dyDescent="0.25">
      <c r="A276" t="s">
        <v>874</v>
      </c>
    </row>
    <row r="277" spans="1:1" x14ac:dyDescent="0.25">
      <c r="A277" t="s">
        <v>875</v>
      </c>
    </row>
    <row r="278" spans="1:1" x14ac:dyDescent="0.25">
      <c r="A278" t="s">
        <v>876</v>
      </c>
    </row>
    <row r="279" spans="1:1" x14ac:dyDescent="0.25">
      <c r="A279" t="s">
        <v>877</v>
      </c>
    </row>
    <row r="280" spans="1:1" x14ac:dyDescent="0.25">
      <c r="A280" t="s">
        <v>878</v>
      </c>
    </row>
    <row r="281" spans="1:1" x14ac:dyDescent="0.25">
      <c r="A281" t="s">
        <v>879</v>
      </c>
    </row>
    <row r="282" spans="1:1" x14ac:dyDescent="0.25">
      <c r="A282" t="s">
        <v>880</v>
      </c>
    </row>
    <row r="283" spans="1:1" x14ac:dyDescent="0.25">
      <c r="A283" t="s">
        <v>881</v>
      </c>
    </row>
    <row r="284" spans="1:1" x14ac:dyDescent="0.25">
      <c r="A284" t="s">
        <v>882</v>
      </c>
    </row>
    <row r="285" spans="1:1" x14ac:dyDescent="0.25">
      <c r="A285" t="s">
        <v>883</v>
      </c>
    </row>
    <row r="286" spans="1:1" x14ac:dyDescent="0.25">
      <c r="A286" t="s">
        <v>884</v>
      </c>
    </row>
    <row r="287" spans="1:1" x14ac:dyDescent="0.25">
      <c r="A287" t="s">
        <v>885</v>
      </c>
    </row>
    <row r="288" spans="1:1" x14ac:dyDescent="0.25">
      <c r="A288" t="s">
        <v>886</v>
      </c>
    </row>
    <row r="289" spans="1:1" x14ac:dyDescent="0.25">
      <c r="A289" t="s">
        <v>887</v>
      </c>
    </row>
    <row r="290" spans="1:1" x14ac:dyDescent="0.25">
      <c r="A290" t="s">
        <v>888</v>
      </c>
    </row>
    <row r="291" spans="1:1" x14ac:dyDescent="0.25">
      <c r="A291" t="s">
        <v>889</v>
      </c>
    </row>
    <row r="292" spans="1:1" x14ac:dyDescent="0.25">
      <c r="A292" t="s">
        <v>890</v>
      </c>
    </row>
    <row r="293" spans="1:1" x14ac:dyDescent="0.25">
      <c r="A293" t="s">
        <v>891</v>
      </c>
    </row>
    <row r="294" spans="1:1" x14ac:dyDescent="0.25">
      <c r="A294" t="s">
        <v>892</v>
      </c>
    </row>
    <row r="295" spans="1:1" x14ac:dyDescent="0.25">
      <c r="A295" t="s">
        <v>893</v>
      </c>
    </row>
    <row r="296" spans="1:1" x14ac:dyDescent="0.25">
      <c r="A296" t="s">
        <v>894</v>
      </c>
    </row>
    <row r="297" spans="1:1" x14ac:dyDescent="0.25">
      <c r="A297" t="s">
        <v>895</v>
      </c>
    </row>
    <row r="298" spans="1:1" x14ac:dyDescent="0.25">
      <c r="A298" t="s">
        <v>896</v>
      </c>
    </row>
    <row r="299" spans="1:1" x14ac:dyDescent="0.25">
      <c r="A299" t="s">
        <v>897</v>
      </c>
    </row>
    <row r="300" spans="1:1" x14ac:dyDescent="0.25">
      <c r="A300" t="s">
        <v>898</v>
      </c>
    </row>
    <row r="301" spans="1:1" x14ac:dyDescent="0.25">
      <c r="A301" t="s">
        <v>899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8B2D98-B48A-4CEF-87D8-C60366F0B0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Inicio</vt:lpstr>
      <vt:lpstr>Acao</vt:lpstr>
      <vt:lpstr>Fundos</vt:lpstr>
      <vt:lpstr>Tesouro Direto</vt:lpstr>
      <vt:lpstr>Cryptomoedas</vt:lpstr>
      <vt:lpstr>Caixa</vt:lpstr>
      <vt:lpstr>Graficos</vt:lpstr>
      <vt:lpstr>BDD_Acoes_EUA</vt:lpstr>
      <vt:lpstr>BDD_Acoes</vt:lpstr>
      <vt:lpstr>BDD_Fundos</vt:lpstr>
      <vt:lpstr>BDD_Moedas</vt:lpstr>
      <vt:lpstr>BDD_Crypto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Henriques</dc:creator>
  <cp:lastModifiedBy>Fernando Henriques</cp:lastModifiedBy>
  <dcterms:created xsi:type="dcterms:W3CDTF">2021-01-11T16:35:46Z</dcterms:created>
  <dcterms:modified xsi:type="dcterms:W3CDTF">2021-06-12T16:56:42Z</dcterms:modified>
</cp:coreProperties>
</file>