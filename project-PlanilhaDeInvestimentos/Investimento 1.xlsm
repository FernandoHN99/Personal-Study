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271680c3315931e/Arquivos/Programas/Programas Excel/"/>
    </mc:Choice>
  </mc:AlternateContent>
  <xr:revisionPtr revIDLastSave="501" documentId="13_ncr:1_{DAD04312-D94E-4192-9734-94C640E004E7}" xr6:coauthVersionLast="46" xr6:coauthVersionMax="46" xr10:uidLastSave="{171A308E-F8E2-4CC3-A7C7-62790F1AE1D3}"/>
  <bookViews>
    <workbookView xWindow="-120" yWindow="-120" windowWidth="20730" windowHeight="11160" xr2:uid="{27E0B0E7-E381-481B-9D9D-F6C1E9E9EA6D}"/>
  </bookViews>
  <sheets>
    <sheet name="Home" sheetId="9" r:id="rId1"/>
    <sheet name="Table" sheetId="4" r:id="rId2"/>
    <sheet name="Grapic" sheetId="7" r:id="rId3"/>
    <sheet name="TUDO" sheetId="1" r:id="rId4"/>
    <sheet name="teste" sheetId="10" r:id="rId5"/>
    <sheet name="Din em caixa" sheetId="13" r:id="rId6"/>
    <sheet name="Fundos" sheetId="14" r:id="rId7"/>
    <sheet name="Crypt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1" l="1"/>
  <c r="D18" i="1"/>
  <c r="C18" i="4" s="1"/>
  <c r="D18" i="4"/>
  <c r="B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D17" i="1"/>
  <c r="E17" i="1"/>
  <c r="D16" i="1"/>
  <c r="F16" i="1" s="1"/>
  <c r="E15" i="1"/>
  <c r="D15" i="1"/>
  <c r="E14" i="1"/>
  <c r="F14" i="1" s="1"/>
  <c r="F17" i="1"/>
  <c r="F19" i="1"/>
  <c r="F20" i="1"/>
  <c r="F21" i="1"/>
  <c r="F22" i="1"/>
  <c r="F23" i="1"/>
  <c r="F24" i="1"/>
  <c r="F25" i="1"/>
  <c r="D14" i="1"/>
  <c r="K17" i="1"/>
  <c r="K16" i="1"/>
  <c r="J16" i="1"/>
  <c r="H14" i="4"/>
  <c r="H15" i="4"/>
  <c r="T14" i="1"/>
  <c r="S14" i="1"/>
  <c r="D16" i="4"/>
  <c r="F18" i="1" l="1"/>
  <c r="E18" i="4" s="1"/>
  <c r="F15" i="1"/>
  <c r="Q100" i="15"/>
  <c r="P100" i="15"/>
  <c r="O100" i="15"/>
  <c r="N100" i="15"/>
  <c r="L100" i="15"/>
  <c r="K100" i="15"/>
  <c r="J100" i="15"/>
  <c r="I100" i="15"/>
  <c r="H100" i="15"/>
  <c r="G100" i="15"/>
  <c r="F100" i="15"/>
  <c r="E100" i="15"/>
  <c r="D100" i="15"/>
  <c r="C100" i="15"/>
  <c r="B100" i="15"/>
  <c r="Q100" i="14"/>
  <c r="P100" i="14"/>
  <c r="O100" i="14"/>
  <c r="N100" i="14"/>
  <c r="L100" i="14"/>
  <c r="K100" i="14"/>
  <c r="J100" i="14"/>
  <c r="I100" i="14"/>
  <c r="H100" i="14"/>
  <c r="G100" i="14"/>
  <c r="F100" i="14"/>
  <c r="E100" i="14"/>
  <c r="D100" i="14"/>
  <c r="C100" i="14"/>
  <c r="B100" i="14"/>
  <c r="Q100" i="13"/>
  <c r="P100" i="13"/>
  <c r="O100" i="13"/>
  <c r="N100" i="13"/>
  <c r="L100" i="13"/>
  <c r="K100" i="13"/>
  <c r="J100" i="13"/>
  <c r="I100" i="13"/>
  <c r="H100" i="13"/>
  <c r="G100" i="13"/>
  <c r="F100" i="13"/>
  <c r="E100" i="13"/>
  <c r="D100" i="13"/>
  <c r="C100" i="13"/>
  <c r="B100" i="13"/>
  <c r="K20" i="1" l="1"/>
  <c r="P20" i="1"/>
  <c r="K21" i="1"/>
  <c r="P21" i="1"/>
  <c r="K22" i="1"/>
  <c r="P22" i="1"/>
  <c r="K23" i="1"/>
  <c r="P23" i="1"/>
  <c r="K24" i="1"/>
  <c r="P24" i="1"/>
  <c r="K25" i="1"/>
  <c r="P25" i="1"/>
  <c r="F26" i="1"/>
  <c r="K26" i="1"/>
  <c r="P26" i="1"/>
  <c r="F27" i="1"/>
  <c r="K27" i="1"/>
  <c r="P27" i="1"/>
  <c r="F28" i="1"/>
  <c r="K28" i="1"/>
  <c r="F29" i="1"/>
  <c r="K29" i="1"/>
  <c r="F30" i="1"/>
  <c r="K30" i="1"/>
  <c r="F31" i="1"/>
  <c r="K31" i="1"/>
  <c r="F32" i="1"/>
  <c r="K32" i="1"/>
  <c r="F33" i="1"/>
  <c r="K33" i="1"/>
  <c r="F34" i="1"/>
  <c r="K34" i="1"/>
  <c r="F35" i="1"/>
  <c r="K35" i="1"/>
  <c r="F36" i="1"/>
  <c r="K36" i="1"/>
  <c r="B19" i="4" l="1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R100" i="10" l="1"/>
  <c r="Q100" i="10"/>
  <c r="P100" i="10"/>
  <c r="O100" i="10"/>
  <c r="H100" i="10"/>
  <c r="G100" i="10"/>
  <c r="F100" i="10"/>
  <c r="E100" i="10"/>
  <c r="D100" i="10"/>
  <c r="B100" i="10"/>
  <c r="B26" i="4" l="1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C14" i="4" l="1"/>
  <c r="G16" i="4"/>
  <c r="H16" i="4"/>
  <c r="C15" i="4" l="1"/>
  <c r="C16" i="4"/>
  <c r="Q100" i="9"/>
  <c r="P100" i="9"/>
  <c r="O100" i="9"/>
  <c r="N100" i="9"/>
  <c r="L100" i="9"/>
  <c r="K100" i="9"/>
  <c r="J100" i="9"/>
  <c r="I100" i="9"/>
  <c r="H100" i="9"/>
  <c r="G100" i="9"/>
  <c r="F100" i="9"/>
  <c r="E100" i="9"/>
  <c r="D100" i="9"/>
  <c r="C100" i="9"/>
  <c r="C17" i="4"/>
  <c r="A100" i="9" l="1"/>
  <c r="B15" i="4"/>
  <c r="B16" i="4"/>
  <c r="B17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4" i="4"/>
  <c r="M20" i="4" l="1"/>
  <c r="M21" i="4"/>
  <c r="M22" i="4"/>
  <c r="M23" i="4"/>
  <c r="M24" i="4"/>
  <c r="M25" i="4"/>
  <c r="M26" i="4"/>
  <c r="M27" i="4"/>
  <c r="Q100" i="7"/>
  <c r="P100" i="7"/>
  <c r="O100" i="7"/>
  <c r="N100" i="7"/>
  <c r="L100" i="7"/>
  <c r="K100" i="7"/>
  <c r="J100" i="7"/>
  <c r="I100" i="7"/>
  <c r="H100" i="7"/>
  <c r="G100" i="7"/>
  <c r="F100" i="7"/>
  <c r="E100" i="7"/>
  <c r="D100" i="7"/>
  <c r="C100" i="7"/>
  <c r="Q100" i="4" l="1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G15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D15" i="4"/>
  <c r="D17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P14" i="4"/>
  <c r="O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4" i="4"/>
  <c r="L14" i="4"/>
  <c r="K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4" i="4"/>
  <c r="G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4" i="4"/>
  <c r="D14" i="4"/>
  <c r="J14" i="7" l="1"/>
  <c r="J17" i="7"/>
  <c r="J16" i="7"/>
  <c r="J15" i="7"/>
  <c r="A100" i="15" l="1"/>
  <c r="A100" i="13"/>
  <c r="A100" i="14"/>
  <c r="A100" i="10"/>
  <c r="K15" i="7"/>
  <c r="K14" i="7"/>
  <c r="J18" i="7"/>
  <c r="K16" i="7"/>
  <c r="K17" i="7"/>
  <c r="E15" i="4"/>
  <c r="A100" i="4"/>
  <c r="A100" i="7"/>
  <c r="A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93" i="10" l="1"/>
  <c r="F97" i="10"/>
  <c r="F94" i="10"/>
  <c r="F98" i="10"/>
  <c r="F95" i="10"/>
  <c r="F99" i="10"/>
  <c r="F96" i="10"/>
  <c r="E17" i="4"/>
  <c r="E16" i="4"/>
  <c r="E16" i="9"/>
  <c r="E17" i="9" s="1"/>
  <c r="E18" i="9" s="1"/>
  <c r="E14" i="4"/>
  <c r="U99" i="1"/>
  <c r="Q99" i="4" s="1"/>
  <c r="U98" i="1"/>
  <c r="Q98" i="4" s="1"/>
  <c r="U97" i="1"/>
  <c r="Q97" i="4" s="1"/>
  <c r="U96" i="1"/>
  <c r="Q96" i="4" s="1"/>
  <c r="U95" i="1"/>
  <c r="Q95" i="4" s="1"/>
  <c r="U94" i="1"/>
  <c r="Q94" i="4" s="1"/>
  <c r="U93" i="1"/>
  <c r="Q93" i="4" s="1"/>
  <c r="U92" i="1"/>
  <c r="Q92" i="4" s="1"/>
  <c r="U91" i="1"/>
  <c r="Q91" i="4" s="1"/>
  <c r="U90" i="1"/>
  <c r="Q90" i="4" s="1"/>
  <c r="U89" i="1"/>
  <c r="Q89" i="4" s="1"/>
  <c r="U88" i="1"/>
  <c r="Q88" i="4" s="1"/>
  <c r="U87" i="1"/>
  <c r="Q87" i="4" s="1"/>
  <c r="U86" i="1"/>
  <c r="Q86" i="4" s="1"/>
  <c r="U85" i="1"/>
  <c r="Q85" i="4" s="1"/>
  <c r="U84" i="1"/>
  <c r="Q84" i="4" s="1"/>
  <c r="U83" i="1"/>
  <c r="Q83" i="4" s="1"/>
  <c r="U82" i="1"/>
  <c r="Q82" i="4" s="1"/>
  <c r="U81" i="1"/>
  <c r="Q81" i="4" s="1"/>
  <c r="U80" i="1"/>
  <c r="Q80" i="4" s="1"/>
  <c r="U79" i="1"/>
  <c r="Q79" i="4" s="1"/>
  <c r="U78" i="1"/>
  <c r="Q78" i="4" s="1"/>
  <c r="U77" i="1"/>
  <c r="Q77" i="4" s="1"/>
  <c r="U76" i="1"/>
  <c r="Q76" i="4" s="1"/>
  <c r="U75" i="1"/>
  <c r="Q75" i="4" s="1"/>
  <c r="U74" i="1"/>
  <c r="Q74" i="4" s="1"/>
  <c r="U73" i="1"/>
  <c r="Q73" i="4" s="1"/>
  <c r="U72" i="1"/>
  <c r="Q72" i="4" s="1"/>
  <c r="U71" i="1"/>
  <c r="Q71" i="4" s="1"/>
  <c r="U70" i="1"/>
  <c r="Q70" i="4" s="1"/>
  <c r="U69" i="1"/>
  <c r="Q69" i="4" s="1"/>
  <c r="U68" i="1"/>
  <c r="Q68" i="4" s="1"/>
  <c r="U67" i="1"/>
  <c r="Q67" i="4" s="1"/>
  <c r="U66" i="1"/>
  <c r="Q66" i="4" s="1"/>
  <c r="U65" i="1"/>
  <c r="Q65" i="4" s="1"/>
  <c r="U64" i="1"/>
  <c r="Q64" i="4" s="1"/>
  <c r="U63" i="1"/>
  <c r="Q63" i="4" s="1"/>
  <c r="U62" i="1"/>
  <c r="Q62" i="4" s="1"/>
  <c r="U61" i="1"/>
  <c r="Q61" i="4" s="1"/>
  <c r="U60" i="1"/>
  <c r="Q60" i="4" s="1"/>
  <c r="U59" i="1"/>
  <c r="Q59" i="4" s="1"/>
  <c r="U58" i="1"/>
  <c r="Q58" i="4" s="1"/>
  <c r="U57" i="1"/>
  <c r="Q57" i="4" s="1"/>
  <c r="U56" i="1"/>
  <c r="Q56" i="4" s="1"/>
  <c r="U55" i="1"/>
  <c r="Q55" i="4" s="1"/>
  <c r="U54" i="1"/>
  <c r="Q54" i="4" s="1"/>
  <c r="U53" i="1"/>
  <c r="Q53" i="4" s="1"/>
  <c r="U52" i="1"/>
  <c r="Q52" i="4" s="1"/>
  <c r="U51" i="1"/>
  <c r="Q51" i="4" s="1"/>
  <c r="U50" i="1"/>
  <c r="Q50" i="4" s="1"/>
  <c r="U49" i="1"/>
  <c r="Q49" i="4" s="1"/>
  <c r="U48" i="1"/>
  <c r="Q48" i="4" s="1"/>
  <c r="U47" i="1"/>
  <c r="Q47" i="4" s="1"/>
  <c r="U46" i="1"/>
  <c r="Q46" i="4" s="1"/>
  <c r="U45" i="1"/>
  <c r="Q45" i="4" s="1"/>
  <c r="U44" i="1"/>
  <c r="Q44" i="4" s="1"/>
  <c r="U43" i="1"/>
  <c r="Q43" i="4" s="1"/>
  <c r="U42" i="1"/>
  <c r="Q42" i="4" s="1"/>
  <c r="U41" i="1"/>
  <c r="Q41" i="4" s="1"/>
  <c r="U40" i="1"/>
  <c r="Q40" i="4" s="1"/>
  <c r="U39" i="1"/>
  <c r="Q39" i="4" s="1"/>
  <c r="U38" i="1"/>
  <c r="Q38" i="4" s="1"/>
  <c r="U37" i="1"/>
  <c r="Q37" i="4" s="1"/>
  <c r="U36" i="1"/>
  <c r="Q36" i="4" s="1"/>
  <c r="U35" i="1"/>
  <c r="Q35" i="4" s="1"/>
  <c r="U34" i="1"/>
  <c r="Q34" i="4" s="1"/>
  <c r="U33" i="1"/>
  <c r="Q33" i="4" s="1"/>
  <c r="U32" i="1"/>
  <c r="Q32" i="4" s="1"/>
  <c r="U31" i="1"/>
  <c r="Q31" i="4" s="1"/>
  <c r="U30" i="1"/>
  <c r="Q30" i="4" s="1"/>
  <c r="U29" i="1"/>
  <c r="Q29" i="4" s="1"/>
  <c r="U28" i="1"/>
  <c r="Q28" i="4" s="1"/>
  <c r="U27" i="1"/>
  <c r="Q27" i="4" s="1"/>
  <c r="U26" i="1"/>
  <c r="Q26" i="4" s="1"/>
  <c r="U25" i="1"/>
  <c r="Q25" i="4" s="1"/>
  <c r="U24" i="1"/>
  <c r="Q24" i="4" s="1"/>
  <c r="U23" i="1"/>
  <c r="Q23" i="4" s="1"/>
  <c r="U22" i="1"/>
  <c r="Q22" i="4" s="1"/>
  <c r="U21" i="1"/>
  <c r="Q21" i="4" s="1"/>
  <c r="U20" i="1"/>
  <c r="Q20" i="4" s="1"/>
  <c r="U19" i="1"/>
  <c r="Q19" i="4" s="1"/>
  <c r="U18" i="1"/>
  <c r="Q18" i="4" s="1"/>
  <c r="U17" i="1"/>
  <c r="Q17" i="4" s="1"/>
  <c r="U16" i="1"/>
  <c r="Q16" i="4" s="1"/>
  <c r="U15" i="1"/>
  <c r="Q15" i="4" s="1"/>
  <c r="U14" i="1"/>
  <c r="P99" i="1"/>
  <c r="M99" i="4" s="1"/>
  <c r="P98" i="1"/>
  <c r="M98" i="4" s="1"/>
  <c r="P97" i="1"/>
  <c r="M97" i="4" s="1"/>
  <c r="P96" i="1"/>
  <c r="M96" i="4" s="1"/>
  <c r="P95" i="1"/>
  <c r="M95" i="4" s="1"/>
  <c r="P94" i="1"/>
  <c r="M94" i="4" s="1"/>
  <c r="P93" i="1"/>
  <c r="M93" i="4" s="1"/>
  <c r="P92" i="1"/>
  <c r="M92" i="4" s="1"/>
  <c r="P91" i="1"/>
  <c r="M91" i="4" s="1"/>
  <c r="P90" i="1"/>
  <c r="M90" i="4" s="1"/>
  <c r="P89" i="1"/>
  <c r="M89" i="4" s="1"/>
  <c r="P88" i="1"/>
  <c r="M88" i="4" s="1"/>
  <c r="P87" i="1"/>
  <c r="M87" i="4" s="1"/>
  <c r="P86" i="1"/>
  <c r="M86" i="4" s="1"/>
  <c r="P85" i="1"/>
  <c r="M85" i="4" s="1"/>
  <c r="P84" i="1"/>
  <c r="M84" i="4" s="1"/>
  <c r="P83" i="1"/>
  <c r="M83" i="4" s="1"/>
  <c r="P82" i="1"/>
  <c r="M82" i="4" s="1"/>
  <c r="P81" i="1"/>
  <c r="M81" i="4" s="1"/>
  <c r="P80" i="1"/>
  <c r="M80" i="4" s="1"/>
  <c r="P79" i="1"/>
  <c r="M79" i="4" s="1"/>
  <c r="P78" i="1"/>
  <c r="M78" i="4" s="1"/>
  <c r="P77" i="1"/>
  <c r="M77" i="4" s="1"/>
  <c r="P76" i="1"/>
  <c r="M76" i="4" s="1"/>
  <c r="P75" i="1"/>
  <c r="M75" i="4" s="1"/>
  <c r="P74" i="1"/>
  <c r="M74" i="4" s="1"/>
  <c r="P73" i="1"/>
  <c r="M73" i="4" s="1"/>
  <c r="P72" i="1"/>
  <c r="M72" i="4" s="1"/>
  <c r="P71" i="1"/>
  <c r="M71" i="4" s="1"/>
  <c r="P70" i="1"/>
  <c r="M70" i="4" s="1"/>
  <c r="P69" i="1"/>
  <c r="M69" i="4" s="1"/>
  <c r="P68" i="1"/>
  <c r="M68" i="4" s="1"/>
  <c r="P67" i="1"/>
  <c r="M67" i="4" s="1"/>
  <c r="P66" i="1"/>
  <c r="M66" i="4" s="1"/>
  <c r="P65" i="1"/>
  <c r="M65" i="4" s="1"/>
  <c r="P64" i="1"/>
  <c r="M64" i="4" s="1"/>
  <c r="P63" i="1"/>
  <c r="M63" i="4" s="1"/>
  <c r="P62" i="1"/>
  <c r="M62" i="4" s="1"/>
  <c r="P61" i="1"/>
  <c r="M61" i="4" s="1"/>
  <c r="P60" i="1"/>
  <c r="M60" i="4" s="1"/>
  <c r="P59" i="1"/>
  <c r="M59" i="4" s="1"/>
  <c r="P58" i="1"/>
  <c r="M58" i="4" s="1"/>
  <c r="P57" i="1"/>
  <c r="M57" i="4" s="1"/>
  <c r="P56" i="1"/>
  <c r="M56" i="4" s="1"/>
  <c r="P55" i="1"/>
  <c r="M55" i="4" s="1"/>
  <c r="P54" i="1"/>
  <c r="M54" i="4" s="1"/>
  <c r="P53" i="1"/>
  <c r="M53" i="4" s="1"/>
  <c r="P52" i="1"/>
  <c r="M52" i="4" s="1"/>
  <c r="P51" i="1"/>
  <c r="M51" i="4" s="1"/>
  <c r="P50" i="1"/>
  <c r="M50" i="4" s="1"/>
  <c r="P49" i="1"/>
  <c r="M49" i="4" s="1"/>
  <c r="P48" i="1"/>
  <c r="M48" i="4" s="1"/>
  <c r="P47" i="1"/>
  <c r="M47" i="4" s="1"/>
  <c r="P46" i="1"/>
  <c r="M46" i="4" s="1"/>
  <c r="P45" i="1"/>
  <c r="M45" i="4" s="1"/>
  <c r="P44" i="1"/>
  <c r="M44" i="4" s="1"/>
  <c r="P43" i="1"/>
  <c r="M43" i="4" s="1"/>
  <c r="P42" i="1"/>
  <c r="M42" i="4" s="1"/>
  <c r="P41" i="1"/>
  <c r="M41" i="4" s="1"/>
  <c r="P40" i="1"/>
  <c r="M40" i="4" s="1"/>
  <c r="P39" i="1"/>
  <c r="M39" i="4" s="1"/>
  <c r="P38" i="1"/>
  <c r="M38" i="4" s="1"/>
  <c r="P37" i="1"/>
  <c r="M37" i="4" s="1"/>
  <c r="P36" i="1"/>
  <c r="M36" i="4" s="1"/>
  <c r="P35" i="1"/>
  <c r="M35" i="4" s="1"/>
  <c r="P34" i="1"/>
  <c r="M34" i="4" s="1"/>
  <c r="P33" i="1"/>
  <c r="M33" i="4" s="1"/>
  <c r="P32" i="1"/>
  <c r="M32" i="4" s="1"/>
  <c r="P31" i="1"/>
  <c r="M31" i="4" s="1"/>
  <c r="P30" i="1"/>
  <c r="M30" i="4" s="1"/>
  <c r="P29" i="1"/>
  <c r="M29" i="4" s="1"/>
  <c r="P28" i="1"/>
  <c r="M28" i="4" s="1"/>
  <c r="P19" i="1"/>
  <c r="M19" i="4" s="1"/>
  <c r="P18" i="1"/>
  <c r="M18" i="4" s="1"/>
  <c r="P17" i="1"/>
  <c r="M17" i="4" s="1"/>
  <c r="P16" i="1"/>
  <c r="M16" i="4" s="1"/>
  <c r="P15" i="1"/>
  <c r="M15" i="4" s="1"/>
  <c r="P14" i="1"/>
  <c r="G16" i="9" s="1"/>
  <c r="G17" i="9" s="1"/>
  <c r="G18" i="9" s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19" i="1"/>
  <c r="I19" i="4" s="1"/>
  <c r="K18" i="1"/>
  <c r="I18" i="4" s="1"/>
  <c r="I17" i="4"/>
  <c r="I16" i="4"/>
  <c r="K15" i="1"/>
  <c r="I15" i="4" s="1"/>
  <c r="K14" i="1"/>
  <c r="H16" i="9" l="1"/>
  <c r="H17" i="9" s="1"/>
  <c r="H18" i="9" s="1"/>
  <c r="F16" i="9"/>
  <c r="F17" i="9" s="1"/>
  <c r="F18" i="9" s="1"/>
  <c r="Q14" i="4"/>
  <c r="M14" i="4"/>
  <c r="I14" i="4"/>
</calcChain>
</file>

<file path=xl/sharedStrings.xml><?xml version="1.0" encoding="utf-8"?>
<sst xmlns="http://schemas.openxmlformats.org/spreadsheetml/2006/main" count="601" uniqueCount="89">
  <si>
    <t xml:space="preserve"> </t>
  </si>
  <si>
    <t>Name</t>
  </si>
  <si>
    <t>Vencimento</t>
  </si>
  <si>
    <t>ação</t>
  </si>
  <si>
    <t>Tesouro Direto</t>
  </si>
  <si>
    <t>Cryptomoedas</t>
  </si>
  <si>
    <t>Fundos Imobiliários</t>
  </si>
  <si>
    <t>Ações</t>
  </si>
  <si>
    <t>Distribuição da Carteira</t>
  </si>
  <si>
    <t>Montante</t>
  </si>
  <si>
    <t>Porcentagem</t>
  </si>
  <si>
    <t>Segmento</t>
  </si>
  <si>
    <t>Total</t>
  </si>
  <si>
    <t>Imóveis</t>
  </si>
  <si>
    <t>Código</t>
  </si>
  <si>
    <t>Investido</t>
  </si>
  <si>
    <t>Atual</t>
  </si>
  <si>
    <t>Rendimento</t>
  </si>
  <si>
    <t>Nome</t>
  </si>
  <si>
    <t>Data</t>
  </si>
  <si>
    <t>Caixa / Tesouro Direto</t>
  </si>
  <si>
    <t>Dinheiro em Caixa</t>
  </si>
  <si>
    <t>CYRELA REALT</t>
  </si>
  <si>
    <t>Dinheiro em caixa</t>
  </si>
  <si>
    <t>Lucro</t>
  </si>
  <si>
    <r>
      <rPr>
        <sz val="55"/>
        <color rgb="FF00B050"/>
        <rFont val="Calibri"/>
        <family val="2"/>
        <scheme val="minor"/>
      </rPr>
      <t>Redimento Real</t>
    </r>
    <r>
      <rPr>
        <sz val="24"/>
        <color rgb="FF00B050"/>
        <rFont val="Calibri"/>
        <family val="2"/>
        <scheme val="minor"/>
      </rPr>
      <t xml:space="preserve"> inflação dos últimos 12 meses</t>
    </r>
  </si>
  <si>
    <t>Visão Geral de Sua Carteira</t>
  </si>
  <si>
    <t xml:space="preserve">Tesouro IPCA+ 2035 </t>
  </si>
  <si>
    <t xml:space="preserve">Tesouro Prefixado 2025 </t>
  </si>
  <si>
    <t>FII DEA CARE</t>
  </si>
  <si>
    <t xml:space="preserve">CARE11 </t>
  </si>
  <si>
    <t xml:space="preserve">15/05/2035 </t>
  </si>
  <si>
    <t xml:space="preserve">13/01/2020 </t>
  </si>
  <si>
    <t xml:space="preserve">15/06/2020 </t>
  </si>
  <si>
    <t xml:space="preserve">BPAN4F </t>
  </si>
  <si>
    <t xml:space="preserve">C </t>
  </si>
  <si>
    <t xml:space="preserve">CNTO3F </t>
  </si>
  <si>
    <t xml:space="preserve">12/11/2019 a 13/01/2020 </t>
  </si>
  <si>
    <t xml:space="preserve">VIVA3F </t>
  </si>
  <si>
    <t xml:space="preserve">VVAR3F </t>
  </si>
  <si>
    <t xml:space="preserve">27/09/2019 </t>
  </si>
  <si>
    <t xml:space="preserve">21/10/2019 </t>
  </si>
  <si>
    <t xml:space="preserve">V </t>
  </si>
  <si>
    <t xml:space="preserve">23/10/2019 </t>
  </si>
  <si>
    <t xml:space="preserve">23/10/2019 a 04/11/2019 </t>
  </si>
  <si>
    <t xml:space="preserve">CYRE3F </t>
  </si>
  <si>
    <t xml:space="preserve">ENEV3F </t>
  </si>
  <si>
    <t xml:space="preserve">05/09/2019 a 07/11/2019 </t>
  </si>
  <si>
    <t xml:space="preserve">HGLG11 </t>
  </si>
  <si>
    <t xml:space="preserve">27/09/2019 a 21/10/2019 </t>
  </si>
  <si>
    <t xml:space="preserve">OIBR3F </t>
  </si>
  <si>
    <t xml:space="preserve">27/09/2019 a 08/11/2019 </t>
  </si>
  <si>
    <t xml:space="preserve">Data do Negócio </t>
  </si>
  <si>
    <t xml:space="preserve">Compra/Venda </t>
  </si>
  <si>
    <t xml:space="preserve">Código Negociação </t>
  </si>
  <si>
    <t xml:space="preserve">Quantidade </t>
  </si>
  <si>
    <t xml:space="preserve">Preço (R$) </t>
  </si>
  <si>
    <t xml:space="preserve">Valor Total(R$) </t>
  </si>
  <si>
    <t xml:space="preserve">Cód. </t>
  </si>
  <si>
    <t xml:space="preserve">Período </t>
  </si>
  <si>
    <t xml:space="preserve">Qtde.Compra </t>
  </si>
  <si>
    <t xml:space="preserve">Qtde. Venda </t>
  </si>
  <si>
    <t xml:space="preserve">Preço Médio Compra </t>
  </si>
  <si>
    <t xml:space="preserve">Preço Médio Venda </t>
  </si>
  <si>
    <t>Período</t>
  </si>
  <si>
    <t>Preço Médio de compra</t>
  </si>
  <si>
    <t xml:space="preserve">Clear Investimentos </t>
  </si>
  <si>
    <t>Ativo</t>
  </si>
  <si>
    <t>Rentabilidade</t>
  </si>
  <si>
    <t>Quantidade</t>
  </si>
  <si>
    <t xml:space="preserve">  </t>
  </si>
  <si>
    <t xml:space="preserve">13/01/2020 a 22/07/2020 </t>
  </si>
  <si>
    <t xml:space="preserve">22/07/2020 </t>
  </si>
  <si>
    <t>Reserva de Emergência</t>
  </si>
  <si>
    <t>Centauro</t>
  </si>
  <si>
    <t>CNTO3</t>
  </si>
  <si>
    <t>VIVA3</t>
  </si>
  <si>
    <t>Vivara</t>
  </si>
  <si>
    <t>Via Varejo</t>
  </si>
  <si>
    <t>VVAR3</t>
  </si>
  <si>
    <t>Cyrela</t>
  </si>
  <si>
    <t>CYRE3</t>
  </si>
  <si>
    <t>Donanfe@004843</t>
  </si>
  <si>
    <t>Bitcoin</t>
  </si>
  <si>
    <t/>
  </si>
  <si>
    <t xml:space="preserve">CENTAURO </t>
  </si>
  <si>
    <t xml:space="preserve">VIAVAREJO </t>
  </si>
  <si>
    <t xml:space="preserve">VIVARA S.A. </t>
  </si>
  <si>
    <t xml:space="preserve">12/11/2019 a 19/11/2020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</si>
</sst>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0.0%"/>
    <numFmt numFmtId="166" formatCode="_-&quot;R$&quot;\ * #,##0.000_-;\-&quot;R$&quot;\ * #,##0.000_-;_-&quot;R$&quot;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22"/>
      <color rgb="FF00B050"/>
      <name val="Calibri"/>
      <family val="2"/>
      <scheme val="minor"/>
    </font>
    <font>
      <b/>
      <i/>
      <sz val="72"/>
      <color rgb="FF00B050"/>
      <name val="Calibri"/>
      <family val="2"/>
      <scheme val="minor"/>
    </font>
    <font>
      <b/>
      <i/>
      <sz val="29"/>
      <color rgb="FF00B050"/>
      <name val="Calibri"/>
      <family val="2"/>
      <scheme val="minor"/>
    </font>
    <font>
      <sz val="24"/>
      <color rgb="FF00B050"/>
      <name val="Calibri"/>
      <family val="2"/>
      <scheme val="minor"/>
    </font>
    <font>
      <sz val="48"/>
      <color rgb="FF00B050"/>
      <name val="Calibri"/>
      <family val="2"/>
      <scheme val="minor"/>
    </font>
    <font>
      <sz val="48"/>
      <color theme="0"/>
      <name val="Calibri"/>
      <family val="2"/>
      <scheme val="minor"/>
    </font>
    <font>
      <b/>
      <i/>
      <sz val="48"/>
      <color rgb="FF00B050"/>
      <name val="Calibri"/>
      <family val="2"/>
      <scheme val="minor"/>
    </font>
    <font>
      <sz val="55"/>
      <color rgb="FF00B050"/>
      <name val="Calibri"/>
      <family val="2"/>
      <scheme val="minor"/>
    </font>
    <font>
      <sz val="18"/>
      <color rgb="FF00B050"/>
      <name val="Calibri"/>
      <family val="2"/>
      <scheme val="minor"/>
    </font>
    <font>
      <sz val="26"/>
      <color rgb="FF00B050"/>
      <name val="Calibri"/>
      <family val="2"/>
      <scheme val="minor"/>
    </font>
    <font>
      <b/>
      <i/>
      <sz val="30"/>
      <color rgb="FF00B050"/>
      <name val="Calibri"/>
      <family val="2"/>
      <scheme val="minor"/>
    </font>
    <font>
      <b/>
      <sz val="26"/>
      <color rgb="FF00B050"/>
      <name val="Calibri"/>
      <family val="2"/>
      <scheme val="minor"/>
    </font>
    <font>
      <b/>
      <i/>
      <sz val="100"/>
      <color rgb="FF00B050"/>
      <name val="Calibri"/>
      <family val="2"/>
      <scheme val="minor"/>
    </font>
    <font>
      <b/>
      <i/>
      <sz val="72"/>
      <name val="Calibri"/>
      <family val="2"/>
      <scheme val="minor"/>
    </font>
    <font>
      <b/>
      <i/>
      <u/>
      <sz val="72"/>
      <color rgb="FF00B050"/>
      <name val="Calibri"/>
      <family val="2"/>
      <scheme val="minor"/>
    </font>
    <font>
      <i/>
      <sz val="36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rgb="FF00B050"/>
      </left>
      <right style="medium">
        <color rgb="FF00B050"/>
      </right>
      <top/>
      <bottom/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 style="thin">
        <color rgb="FF00B050"/>
      </right>
      <top style="medium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rgb="FF00B050"/>
      </right>
      <top style="medium">
        <color rgb="FF00B050"/>
      </top>
      <bottom style="thin">
        <color rgb="FF00B050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/>
      <bottom style="medium">
        <color rgb="FF00B050"/>
      </bottom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medium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medium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B050"/>
      </left>
      <right style="thin">
        <color rgb="FF00B050"/>
      </right>
      <top/>
      <bottom style="thin">
        <color rgb="FF00B050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medium">
        <color rgb="FF00B050"/>
      </top>
      <bottom style="medium">
        <color rgb="FF00B050"/>
      </bottom>
      <diagonal/>
    </border>
    <border>
      <left style="thin">
        <color indexed="64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thin">
        <color indexed="64"/>
      </right>
      <top/>
      <bottom style="medium">
        <color rgb="FF00B050"/>
      </bottom>
      <diagonal/>
    </border>
    <border>
      <left style="thin">
        <color indexed="64"/>
      </left>
      <right style="thin">
        <color indexed="64"/>
      </right>
      <top/>
      <bottom style="medium">
        <color rgb="FF00B050"/>
      </bottom>
      <diagonal/>
    </border>
    <border>
      <left style="thin">
        <color indexed="64"/>
      </left>
      <right style="medium">
        <color rgb="FF00B050"/>
      </right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rgb="FF00B050"/>
      </left>
      <right/>
      <top style="medium">
        <color rgb="FF00B050"/>
      </top>
      <bottom style="medium">
        <color rgb="FF00B050"/>
      </bottom>
      <diagonal/>
    </border>
    <border>
      <left style="thin">
        <color rgb="FF00B050"/>
      </left>
      <right/>
      <top/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thin">
        <color rgb="FF00B050"/>
      </bottom>
      <diagonal/>
    </border>
    <border>
      <left style="medium">
        <color rgb="FF00B050"/>
      </left>
      <right style="medium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rgb="FF00B050"/>
      </left>
      <right style="medium">
        <color rgb="FF00B050"/>
      </right>
      <top style="thin">
        <color rgb="FF00B050"/>
      </top>
      <bottom style="medium">
        <color rgb="FF00B05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/>
      <bottom style="medium">
        <color rgb="FF00B05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6">
    <xf numFmtId="0" fontId="0" fillId="0" borderId="0" xfId="0"/>
    <xf numFmtId="0" fontId="0" fillId="2" borderId="0" xfId="0" applyFill="1" applyAlignment="1">
      <alignment wrapText="1"/>
    </xf>
    <xf numFmtId="0" fontId="0" fillId="2" borderId="0" xfId="0" applyFill="1"/>
    <xf numFmtId="0" fontId="3" fillId="2" borderId="1" xfId="0" applyFont="1" applyFill="1" applyBorder="1"/>
    <xf numFmtId="0" fontId="0" fillId="2" borderId="2" xfId="0" applyFill="1" applyBorder="1"/>
    <xf numFmtId="0" fontId="2" fillId="2" borderId="2" xfId="0" applyFont="1" applyFill="1" applyBorder="1"/>
    <xf numFmtId="0" fontId="3" fillId="2" borderId="2" xfId="0" applyFont="1" applyFill="1" applyBorder="1"/>
    <xf numFmtId="0" fontId="3" fillId="2" borderId="0" xfId="0" applyFont="1" applyFill="1"/>
    <xf numFmtId="14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65" fontId="7" fillId="2" borderId="13" xfId="2" applyNumberFormat="1" applyFont="1" applyFill="1" applyBorder="1"/>
    <xf numFmtId="165" fontId="4" fillId="2" borderId="13" xfId="2" applyNumberFormat="1" applyFont="1" applyFill="1" applyBorder="1" applyAlignment="1" applyProtection="1">
      <alignment horizontal="center"/>
      <protection hidden="1"/>
    </xf>
    <xf numFmtId="0" fontId="6" fillId="2" borderId="8" xfId="0" applyFont="1" applyFill="1" applyBorder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horizontal="center"/>
      <protection locked="0"/>
    </xf>
    <xf numFmtId="0" fontId="6" fillId="2" borderId="10" xfId="0" applyFont="1" applyFill="1" applyBorder="1" applyAlignment="1" applyProtection="1">
      <alignment horizontal="center"/>
      <protection locked="0"/>
    </xf>
    <xf numFmtId="14" fontId="4" fillId="2" borderId="11" xfId="0" applyNumberFormat="1" applyFont="1" applyFill="1" applyBorder="1" applyAlignment="1" applyProtection="1">
      <alignment horizontal="center"/>
      <protection locked="0"/>
    </xf>
    <xf numFmtId="164" fontId="4" fillId="2" borderId="12" xfId="0" applyNumberFormat="1" applyFont="1" applyFill="1" applyBorder="1" applyAlignment="1" applyProtection="1">
      <alignment horizontal="center" vertical="center"/>
      <protection locked="0"/>
    </xf>
    <xf numFmtId="0" fontId="4" fillId="2" borderId="11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/>
      <protection locked="0"/>
    </xf>
    <xf numFmtId="44" fontId="4" fillId="2" borderId="14" xfId="1" applyFont="1" applyFill="1" applyBorder="1" applyAlignment="1" applyProtection="1">
      <alignment horizontal="center"/>
      <protection locked="0"/>
    </xf>
    <xf numFmtId="14" fontId="4" fillId="2" borderId="11" xfId="0" applyNumberFormat="1" applyFont="1" applyFill="1" applyBorder="1" applyAlignment="1" applyProtection="1">
      <alignment horizontal="center" vertical="center"/>
      <protection locked="0"/>
    </xf>
    <xf numFmtId="14" fontId="4" fillId="2" borderId="12" xfId="0" applyNumberFormat="1" applyFont="1" applyFill="1" applyBorder="1" applyAlignment="1" applyProtection="1">
      <alignment horizontal="center"/>
      <protection locked="0"/>
    </xf>
    <xf numFmtId="44" fontId="4" fillId="2" borderId="14" xfId="1" quotePrefix="1" applyFont="1" applyFill="1" applyBorder="1" applyAlignment="1" applyProtection="1">
      <alignment horizontal="center"/>
      <protection locked="0"/>
    </xf>
    <xf numFmtId="0" fontId="4" fillId="2" borderId="11" xfId="0" applyFont="1" applyFill="1" applyBorder="1" applyAlignment="1" applyProtection="1">
      <alignment horizont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9" fontId="3" fillId="2" borderId="0" xfId="2" applyFont="1" applyFill="1"/>
    <xf numFmtId="165" fontId="3" fillId="2" borderId="0" xfId="2" applyNumberFormat="1" applyFont="1" applyFill="1"/>
    <xf numFmtId="165" fontId="4" fillId="2" borderId="2" xfId="2" applyNumberFormat="1" applyFont="1" applyFill="1" applyBorder="1" applyAlignment="1" applyProtection="1">
      <alignment horizontal="center"/>
      <protection hidden="1"/>
    </xf>
    <xf numFmtId="165" fontId="15" fillId="2" borderId="13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wrapText="1"/>
      <protection hidden="1"/>
    </xf>
    <xf numFmtId="0" fontId="0" fillId="2" borderId="0" xfId="0" applyFill="1" applyProtection="1">
      <protection hidden="1"/>
    </xf>
    <xf numFmtId="0" fontId="3" fillId="2" borderId="1" xfId="0" applyFont="1" applyFill="1" applyBorder="1" applyProtection="1">
      <protection hidden="1"/>
    </xf>
    <xf numFmtId="0" fontId="0" fillId="0" borderId="0" xfId="0" applyProtection="1">
      <protection hidden="1"/>
    </xf>
    <xf numFmtId="0" fontId="0" fillId="2" borderId="2" xfId="0" applyFill="1" applyBorder="1" applyProtection="1">
      <protection hidden="1"/>
    </xf>
    <xf numFmtId="0" fontId="2" fillId="2" borderId="2" xfId="0" applyFont="1" applyFill="1" applyBorder="1" applyProtection="1">
      <protection hidden="1"/>
    </xf>
    <xf numFmtId="0" fontId="3" fillId="2" borderId="2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14" fontId="4" fillId="2" borderId="2" xfId="0" applyNumberFormat="1" applyFont="1" applyFill="1" applyBorder="1" applyAlignment="1" applyProtection="1">
      <alignment horizontal="center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2" borderId="1" xfId="0" applyFont="1" applyFill="1" applyBorder="1" applyAlignment="1" applyProtection="1">
      <alignment horizontal="center"/>
      <protection hidden="1"/>
    </xf>
    <xf numFmtId="0" fontId="4" fillId="2" borderId="25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14" fontId="4" fillId="2" borderId="1" xfId="0" applyNumberFormat="1" applyFont="1" applyFill="1" applyBorder="1" applyAlignment="1" applyProtection="1">
      <alignment horizontal="center"/>
      <protection hidden="1"/>
    </xf>
    <xf numFmtId="0" fontId="5" fillId="2" borderId="2" xfId="0" applyFont="1" applyFill="1" applyBorder="1" applyAlignment="1" applyProtection="1">
      <protection hidden="1"/>
    </xf>
    <xf numFmtId="0" fontId="4" fillId="2" borderId="26" xfId="0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Alignment="1" applyProtection="1">
      <alignment horizontal="center"/>
      <protection hidden="1"/>
    </xf>
    <xf numFmtId="0" fontId="5" fillId="2" borderId="0" xfId="0" applyFont="1" applyFill="1" applyBorder="1" applyAlignment="1" applyProtection="1">
      <protection hidden="1"/>
    </xf>
    <xf numFmtId="0" fontId="4" fillId="2" borderId="16" xfId="0" applyFont="1" applyFill="1" applyBorder="1" applyAlignment="1" applyProtection="1">
      <alignment horizontal="center"/>
      <protection hidden="1"/>
    </xf>
    <xf numFmtId="165" fontId="3" fillId="2" borderId="0" xfId="2" applyNumberFormat="1" applyFont="1" applyFill="1" applyProtection="1">
      <protection hidden="1"/>
    </xf>
    <xf numFmtId="0" fontId="5" fillId="2" borderId="15" xfId="0" applyFont="1" applyFill="1" applyBorder="1" applyAlignment="1" applyProtection="1">
      <protection hidden="1"/>
    </xf>
    <xf numFmtId="0" fontId="6" fillId="2" borderId="2" xfId="0" applyFont="1" applyFill="1" applyBorder="1" applyAlignment="1" applyProtection="1">
      <alignment horizontal="center"/>
      <protection hidden="1"/>
    </xf>
    <xf numFmtId="0" fontId="6" fillId="2" borderId="3" xfId="0" applyFont="1" applyFill="1" applyBorder="1" applyAlignment="1" applyProtection="1">
      <alignment horizontal="center"/>
      <protection hidden="1"/>
    </xf>
    <xf numFmtId="0" fontId="6" fillId="2" borderId="15" xfId="0" applyFont="1" applyFill="1" applyBorder="1" applyAlignment="1" applyProtection="1">
      <alignment horizontal="center"/>
      <protection hidden="1"/>
    </xf>
    <xf numFmtId="9" fontId="3" fillId="2" borderId="0" xfId="2" applyFont="1" applyFill="1" applyProtection="1">
      <protection hidden="1"/>
    </xf>
    <xf numFmtId="0" fontId="4" fillId="2" borderId="2" xfId="0" applyNumberFormat="1" applyFont="1" applyFill="1" applyBorder="1" applyAlignment="1" applyProtection="1">
      <alignment horizontal="center"/>
      <protection hidden="1"/>
    </xf>
    <xf numFmtId="44" fontId="4" fillId="2" borderId="2" xfId="1" applyFont="1" applyFill="1" applyBorder="1" applyAlignment="1" applyProtection="1">
      <alignment horizontal="center"/>
      <protection hidden="1"/>
    </xf>
    <xf numFmtId="44" fontId="4" fillId="2" borderId="3" xfId="1" applyFont="1" applyFill="1" applyBorder="1" applyAlignment="1" applyProtection="1">
      <alignment horizontal="center"/>
      <protection hidden="1"/>
    </xf>
    <xf numFmtId="165" fontId="9" fillId="2" borderId="2" xfId="2" applyNumberFormat="1" applyFont="1" applyFill="1" applyBorder="1" applyAlignment="1" applyProtection="1">
      <alignment horizontal="center" vertical="center"/>
      <protection hidden="1"/>
    </xf>
    <xf numFmtId="44" fontId="4" fillId="2" borderId="15" xfId="1" applyFont="1" applyFill="1" applyBorder="1" applyAlignment="1" applyProtection="1">
      <alignment horizontal="center"/>
      <protection hidden="1"/>
    </xf>
    <xf numFmtId="9" fontId="4" fillId="2" borderId="2" xfId="2" applyFont="1" applyFill="1" applyBorder="1" applyAlignment="1" applyProtection="1">
      <alignment horizontal="center"/>
      <protection hidden="1"/>
    </xf>
    <xf numFmtId="44" fontId="10" fillId="2" borderId="2" xfId="1" applyFont="1" applyFill="1" applyBorder="1" applyAlignment="1" applyProtection="1">
      <alignment vertical="center"/>
      <protection hidden="1"/>
    </xf>
    <xf numFmtId="0" fontId="12" fillId="2" borderId="2" xfId="0" applyNumberFormat="1" applyFont="1" applyFill="1" applyBorder="1" applyAlignment="1" applyProtection="1">
      <alignment horizontal="center"/>
      <protection hidden="1"/>
    </xf>
    <xf numFmtId="49" fontId="4" fillId="2" borderId="27" xfId="0" applyNumberFormat="1" applyFont="1" applyFill="1" applyBorder="1" applyAlignment="1" applyProtection="1">
      <alignment horizontal="center"/>
      <protection hidden="1"/>
    </xf>
    <xf numFmtId="44" fontId="4" fillId="2" borderId="27" xfId="1" applyFont="1" applyFill="1" applyBorder="1" applyAlignment="1" applyProtection="1">
      <alignment horizontal="center"/>
      <protection hidden="1"/>
    </xf>
    <xf numFmtId="0" fontId="4" fillId="2" borderId="27" xfId="0" applyNumberFormat="1" applyFont="1" applyFill="1" applyBorder="1" applyAlignment="1" applyProtection="1">
      <alignment horizontal="center"/>
      <protection hidden="1"/>
    </xf>
    <xf numFmtId="165" fontId="4" fillId="2" borderId="27" xfId="2" applyNumberFormat="1" applyFont="1" applyFill="1" applyBorder="1" applyAlignment="1" applyProtection="1">
      <alignment horizontal="center"/>
      <protection hidden="1"/>
    </xf>
    <xf numFmtId="9" fontId="4" fillId="2" borderId="27" xfId="2" applyFont="1" applyFill="1" applyBorder="1" applyAlignment="1" applyProtection="1">
      <alignment horizontal="center"/>
      <protection hidden="1"/>
    </xf>
    <xf numFmtId="0" fontId="14" fillId="2" borderId="8" xfId="0" applyFont="1" applyFill="1" applyBorder="1" applyAlignment="1" applyProtection="1">
      <alignment horizontal="center"/>
      <protection hidden="1"/>
    </xf>
    <xf numFmtId="0" fontId="14" fillId="2" borderId="9" xfId="0" applyFont="1" applyFill="1" applyBorder="1" applyAlignment="1" applyProtection="1">
      <alignment horizontal="center"/>
      <protection hidden="1"/>
    </xf>
    <xf numFmtId="0" fontId="14" fillId="2" borderId="10" xfId="0" applyFont="1" applyFill="1" applyBorder="1" applyAlignment="1" applyProtection="1">
      <alignment horizontal="center"/>
      <protection hidden="1"/>
    </xf>
    <xf numFmtId="0" fontId="13" fillId="2" borderId="11" xfId="0" applyNumberFormat="1" applyFont="1" applyFill="1" applyBorder="1" applyAlignment="1" applyProtection="1">
      <alignment horizontal="center"/>
      <protection hidden="1"/>
    </xf>
    <xf numFmtId="44" fontId="13" fillId="2" borderId="11" xfId="1" applyFont="1" applyFill="1" applyBorder="1" applyAlignment="1" applyProtection="1">
      <alignment horizontal="center"/>
      <protection hidden="1"/>
    </xf>
    <xf numFmtId="165" fontId="15" fillId="2" borderId="11" xfId="2" applyNumberFormat="1" applyFont="1" applyFill="1" applyBorder="1" applyAlignment="1" applyProtection="1">
      <alignment horizontal="center"/>
      <protection hidden="1"/>
    </xf>
    <xf numFmtId="9" fontId="15" fillId="2" borderId="11" xfId="2" applyFont="1" applyFill="1" applyBorder="1" applyAlignment="1" applyProtection="1">
      <alignment horizontal="center"/>
      <protection hidden="1"/>
    </xf>
    <xf numFmtId="0" fontId="4" fillId="2" borderId="11" xfId="0" applyNumberFormat="1" applyFont="1" applyFill="1" applyBorder="1" applyAlignment="1" applyProtection="1">
      <alignment horizontal="center"/>
      <protection hidden="1"/>
    </xf>
    <xf numFmtId="44" fontId="4" fillId="2" borderId="11" xfId="1" applyFont="1" applyFill="1" applyBorder="1" applyAlignment="1" applyProtection="1">
      <alignment horizontal="center"/>
      <protection hidden="1"/>
    </xf>
    <xf numFmtId="165" fontId="4" fillId="2" borderId="11" xfId="2" applyNumberFormat="1" applyFont="1" applyFill="1" applyBorder="1" applyAlignment="1" applyProtection="1">
      <alignment horizontal="center"/>
      <protection hidden="1"/>
    </xf>
    <xf numFmtId="9" fontId="4" fillId="2" borderId="11" xfId="2" applyFont="1" applyFill="1" applyBorder="1" applyAlignment="1" applyProtection="1">
      <alignment horizontal="center"/>
      <protection hidden="1"/>
    </xf>
    <xf numFmtId="165" fontId="8" fillId="2" borderId="11" xfId="2" applyNumberFormat="1" applyFont="1" applyFill="1" applyBorder="1" applyAlignment="1" applyProtection="1">
      <alignment horizontal="center" vertical="center"/>
      <protection hidden="1"/>
    </xf>
    <xf numFmtId="165" fontId="8" fillId="2" borderId="14" xfId="2" applyNumberFormat="1" applyFont="1" applyFill="1" applyBorder="1" applyAlignment="1" applyProtection="1">
      <alignment horizontal="center" vertical="center"/>
      <protection hidden="1"/>
    </xf>
    <xf numFmtId="165" fontId="8" fillId="2" borderId="13" xfId="2" applyNumberFormat="1" applyFont="1" applyFill="1" applyBorder="1" applyAlignment="1" applyProtection="1">
      <alignment horizontal="center" vertical="center"/>
      <protection hidden="1"/>
    </xf>
    <xf numFmtId="165" fontId="8" fillId="2" borderId="11" xfId="2" applyNumberFormat="1" applyFont="1" applyFill="1" applyBorder="1" applyAlignment="1" applyProtection="1">
      <alignment vertical="center"/>
      <protection hidden="1"/>
    </xf>
    <xf numFmtId="164" fontId="8" fillId="2" borderId="14" xfId="0" applyNumberFormat="1" applyFont="1" applyFill="1" applyBorder="1" applyAlignment="1" applyProtection="1">
      <alignment vertical="center"/>
      <protection hidden="1"/>
    </xf>
    <xf numFmtId="165" fontId="9" fillId="2" borderId="13" xfId="2" applyNumberFormat="1" applyFont="1" applyFill="1" applyBorder="1" applyAlignment="1" applyProtection="1">
      <alignment horizontal="center" vertical="center"/>
      <protection hidden="1"/>
    </xf>
    <xf numFmtId="165" fontId="8" fillId="2" borderId="22" xfId="2" applyNumberFormat="1" applyFont="1" applyFill="1" applyBorder="1" applyAlignment="1" applyProtection="1">
      <alignment vertical="center"/>
      <protection hidden="1"/>
    </xf>
    <xf numFmtId="164" fontId="8" fillId="2" borderId="23" xfId="0" applyNumberFormat="1" applyFont="1" applyFill="1" applyBorder="1" applyAlignment="1" applyProtection="1">
      <alignment vertical="center"/>
      <protection hidden="1"/>
    </xf>
    <xf numFmtId="165" fontId="9" fillId="2" borderId="24" xfId="2" applyNumberFormat="1" applyFont="1" applyFill="1" applyBorder="1" applyAlignment="1" applyProtection="1">
      <alignment horizontal="center" vertical="center"/>
      <protection hidden="1"/>
    </xf>
    <xf numFmtId="165" fontId="10" fillId="2" borderId="20" xfId="2" applyNumberFormat="1" applyFont="1" applyFill="1" applyBorder="1" applyAlignment="1" applyProtection="1">
      <alignment vertical="center"/>
      <protection hidden="1"/>
    </xf>
    <xf numFmtId="44" fontId="10" fillId="2" borderId="21" xfId="1" applyFont="1" applyFill="1" applyBorder="1" applyAlignment="1" applyProtection="1">
      <alignment vertical="center"/>
      <protection hidden="1"/>
    </xf>
    <xf numFmtId="44" fontId="10" fillId="2" borderId="0" xfId="1" applyFont="1" applyFill="1" applyBorder="1" applyAlignment="1" applyProtection="1">
      <alignment vertical="center"/>
      <protection hidden="1"/>
    </xf>
    <xf numFmtId="164" fontId="8" fillId="2" borderId="15" xfId="0" applyNumberFormat="1" applyFont="1" applyFill="1" applyBorder="1" applyAlignment="1" applyProtection="1">
      <alignment vertical="center"/>
      <protection hidden="1"/>
    </xf>
    <xf numFmtId="44" fontId="10" fillId="2" borderId="15" xfId="1" applyFont="1" applyFill="1" applyBorder="1" applyAlignment="1" applyProtection="1">
      <alignment vertical="center"/>
      <protection hidden="1"/>
    </xf>
    <xf numFmtId="0" fontId="4" fillId="2" borderId="4" xfId="0" applyNumberFormat="1" applyFont="1" applyFill="1" applyBorder="1" applyAlignment="1" applyProtection="1">
      <alignment horizontal="center"/>
      <protection hidden="1"/>
    </xf>
    <xf numFmtId="165" fontId="11" fillId="2" borderId="29" xfId="2" applyNumberFormat="1" applyFont="1" applyFill="1" applyBorder="1" applyAlignment="1" applyProtection="1">
      <alignment horizontal="center" vertical="center"/>
      <protection hidden="1"/>
    </xf>
    <xf numFmtId="165" fontId="11" fillId="2" borderId="30" xfId="2" applyNumberFormat="1" applyFont="1" applyFill="1" applyBorder="1" applyAlignment="1" applyProtection="1">
      <alignment horizontal="center" vertical="center"/>
      <protection hidden="1"/>
    </xf>
    <xf numFmtId="7" fontId="11" fillId="2" borderId="32" xfId="1" applyNumberFormat="1" applyFont="1" applyFill="1" applyBorder="1" applyAlignment="1" applyProtection="1">
      <alignment horizontal="center" vertical="center"/>
      <protection hidden="1"/>
    </xf>
    <xf numFmtId="7" fontId="11" fillId="2" borderId="33" xfId="1" applyNumberFormat="1" applyFont="1" applyFill="1" applyBorder="1" applyAlignment="1" applyProtection="1">
      <alignment horizontal="center" vertical="center"/>
      <protection hidden="1"/>
    </xf>
    <xf numFmtId="165" fontId="8" fillId="2" borderId="28" xfId="2" applyNumberFormat="1" applyFont="1" applyFill="1" applyBorder="1" applyAlignment="1" applyProtection="1">
      <alignment horizontal="center" vertical="center" wrapText="1"/>
      <protection hidden="1"/>
    </xf>
    <xf numFmtId="165" fontId="11" fillId="2" borderId="32" xfId="2" applyNumberFormat="1" applyFont="1" applyFill="1" applyBorder="1" applyAlignment="1" applyProtection="1">
      <alignment horizontal="center" vertical="center"/>
      <protection hidden="1"/>
    </xf>
    <xf numFmtId="165" fontId="11" fillId="2" borderId="6" xfId="2" applyNumberFormat="1" applyFont="1" applyFill="1" applyBorder="1" applyAlignment="1" applyProtection="1">
      <alignment horizontal="center" vertical="center"/>
      <protection hidden="1"/>
    </xf>
    <xf numFmtId="165" fontId="11" fillId="2" borderId="7" xfId="2" applyNumberFormat="1" applyFont="1" applyFill="1" applyBorder="1" applyAlignment="1" applyProtection="1">
      <alignment horizontal="center" vertical="center"/>
      <protection hidden="1"/>
    </xf>
    <xf numFmtId="165" fontId="11" fillId="2" borderId="31" xfId="2" applyNumberFormat="1" applyFont="1" applyFill="1" applyBorder="1" applyAlignment="1" applyProtection="1">
      <alignment horizontal="center" vertical="center"/>
      <protection hidden="1"/>
    </xf>
    <xf numFmtId="0" fontId="5" fillId="2" borderId="15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protection hidden="1"/>
    </xf>
    <xf numFmtId="0" fontId="5" fillId="2" borderId="26" xfId="0" applyFont="1" applyFill="1" applyBorder="1" applyAlignment="1" applyProtection="1">
      <protection hidden="1"/>
    </xf>
    <xf numFmtId="9" fontId="10" fillId="2" borderId="5" xfId="2" applyFont="1" applyFill="1" applyBorder="1" applyAlignment="1" applyProtection="1">
      <alignment horizontal="center" vertical="center"/>
      <protection hidden="1"/>
    </xf>
    <xf numFmtId="44" fontId="4" fillId="2" borderId="0" xfId="1" applyFont="1" applyFill="1" applyBorder="1" applyAlignment="1" applyProtection="1">
      <alignment horizontal="center"/>
      <protection hidden="1"/>
    </xf>
    <xf numFmtId="165" fontId="9" fillId="2" borderId="4" xfId="2" applyNumberFormat="1" applyFont="1" applyFill="1" applyBorder="1" applyAlignment="1" applyProtection="1">
      <alignment horizontal="center" vertical="center"/>
      <protection hidden="1"/>
    </xf>
    <xf numFmtId="165" fontId="8" fillId="2" borderId="0" xfId="2" applyNumberFormat="1" applyFont="1" applyFill="1" applyBorder="1" applyAlignment="1" applyProtection="1">
      <alignment horizontal="center" vertical="center"/>
      <protection hidden="1"/>
    </xf>
    <xf numFmtId="164" fontId="8" fillId="2" borderId="35" xfId="0" applyNumberFormat="1" applyFont="1" applyFill="1" applyBorder="1" applyAlignment="1" applyProtection="1">
      <alignment vertical="center"/>
      <protection hidden="1"/>
    </xf>
    <xf numFmtId="0" fontId="5" fillId="2" borderId="35" xfId="0" applyFont="1" applyFill="1" applyBorder="1" applyAlignment="1" applyProtection="1">
      <alignment horizontal="center"/>
      <protection hidden="1"/>
    </xf>
    <xf numFmtId="165" fontId="8" fillId="2" borderId="0" xfId="2" applyNumberFormat="1" applyFont="1" applyFill="1" applyBorder="1" applyAlignment="1" applyProtection="1">
      <alignment vertical="center"/>
      <protection hidden="1"/>
    </xf>
    <xf numFmtId="44" fontId="11" fillId="2" borderId="35" xfId="1" applyNumberFormat="1" applyFont="1" applyFill="1" applyBorder="1" applyAlignment="1" applyProtection="1">
      <alignment horizontal="center" vertical="center"/>
      <protection hidden="1"/>
    </xf>
    <xf numFmtId="44" fontId="4" fillId="2" borderId="4" xfId="1" applyFont="1" applyFill="1" applyBorder="1" applyAlignment="1" applyProtection="1">
      <alignment horizontal="center"/>
      <protection hidden="1"/>
    </xf>
    <xf numFmtId="9" fontId="4" fillId="2" borderId="4" xfId="2" applyFont="1" applyFill="1" applyBorder="1" applyAlignment="1" applyProtection="1">
      <alignment horizontal="center"/>
      <protection hidden="1"/>
    </xf>
    <xf numFmtId="7" fontId="8" fillId="2" borderId="15" xfId="1" applyNumberFormat="1" applyFont="1" applyFill="1" applyBorder="1" applyAlignment="1" applyProtection="1">
      <alignment horizontal="center" vertical="center"/>
      <protection hidden="1"/>
    </xf>
    <xf numFmtId="44" fontId="4" fillId="2" borderId="4" xfId="1" applyFont="1" applyFill="1" applyBorder="1" applyAlignment="1" applyProtection="1">
      <alignment horizontal="left"/>
      <protection hidden="1"/>
    </xf>
    <xf numFmtId="44" fontId="4" fillId="2" borderId="36" xfId="1" applyFont="1" applyFill="1" applyBorder="1" applyAlignment="1" applyProtection="1">
      <alignment horizontal="center"/>
      <protection hidden="1"/>
    </xf>
    <xf numFmtId="0" fontId="4" fillId="2" borderId="0" xfId="0" applyNumberFormat="1" applyFont="1" applyFill="1" applyBorder="1" applyAlignment="1" applyProtection="1">
      <alignment horizontal="center"/>
      <protection hidden="1"/>
    </xf>
    <xf numFmtId="7" fontId="11" fillId="2" borderId="0" xfId="1" applyNumberFormat="1" applyFont="1" applyFill="1" applyBorder="1" applyAlignment="1" applyProtection="1">
      <alignment horizontal="center" vertical="center"/>
      <protection hidden="1"/>
    </xf>
    <xf numFmtId="44" fontId="11" fillId="2" borderId="0" xfId="1" applyNumberFormat="1" applyFont="1" applyFill="1" applyBorder="1" applyAlignment="1" applyProtection="1">
      <alignment horizontal="center" vertical="center"/>
      <protection hidden="1"/>
    </xf>
    <xf numFmtId="9" fontId="4" fillId="2" borderId="0" xfId="2" applyFont="1" applyFill="1" applyBorder="1" applyAlignment="1" applyProtection="1">
      <alignment horizontal="center"/>
      <protection hidden="1"/>
    </xf>
    <xf numFmtId="7" fontId="8" fillId="2" borderId="0" xfId="1" applyNumberFormat="1" applyFont="1" applyFill="1" applyBorder="1" applyAlignment="1" applyProtection="1">
      <alignment horizontal="center" vertical="center"/>
      <protection hidden="1"/>
    </xf>
    <xf numFmtId="9" fontId="0" fillId="2" borderId="0" xfId="2" applyFont="1" applyFill="1" applyProtection="1">
      <protection hidden="1"/>
    </xf>
    <xf numFmtId="0" fontId="14" fillId="2" borderId="2" xfId="0" applyFont="1" applyFill="1" applyBorder="1" applyAlignment="1" applyProtection="1">
      <alignment horizontal="center"/>
      <protection hidden="1"/>
    </xf>
    <xf numFmtId="0" fontId="13" fillId="2" borderId="2" xfId="0" applyNumberFormat="1" applyFont="1" applyFill="1" applyBorder="1" applyAlignment="1" applyProtection="1">
      <alignment horizontal="center"/>
      <protection hidden="1"/>
    </xf>
    <xf numFmtId="44" fontId="13" fillId="2" borderId="2" xfId="1" applyFont="1" applyFill="1" applyBorder="1" applyAlignment="1" applyProtection="1">
      <alignment horizontal="center"/>
      <protection hidden="1"/>
    </xf>
    <xf numFmtId="165" fontId="15" fillId="2" borderId="2" xfId="2" applyNumberFormat="1" applyFont="1" applyFill="1" applyBorder="1" applyAlignment="1" applyProtection="1">
      <alignment horizontal="center"/>
      <protection hidden="1"/>
    </xf>
    <xf numFmtId="9" fontId="15" fillId="2" borderId="2" xfId="2" applyFont="1" applyFill="1" applyBorder="1" applyAlignment="1" applyProtection="1">
      <alignment horizontal="center"/>
      <protection hidden="1"/>
    </xf>
    <xf numFmtId="0" fontId="14" fillId="2" borderId="38" xfId="0" applyFont="1" applyFill="1" applyBorder="1" applyAlignment="1" applyProtection="1">
      <alignment horizontal="center"/>
      <protection hidden="1"/>
    </xf>
    <xf numFmtId="0" fontId="17" fillId="2" borderId="0" xfId="0" applyFont="1" applyFill="1" applyBorder="1" applyAlignment="1" applyProtection="1">
      <protection hidden="1"/>
    </xf>
    <xf numFmtId="0" fontId="13" fillId="2" borderId="14" xfId="0" applyNumberFormat="1" applyFont="1" applyFill="1" applyBorder="1" applyAlignment="1" applyProtection="1">
      <alignment horizontal="center"/>
      <protection hidden="1"/>
    </xf>
    <xf numFmtId="44" fontId="13" fillId="2" borderId="14" xfId="1" applyFont="1" applyFill="1" applyBorder="1" applyAlignment="1" applyProtection="1">
      <alignment horizontal="center"/>
      <protection hidden="1"/>
    </xf>
    <xf numFmtId="0" fontId="13" fillId="2" borderId="22" xfId="0" applyNumberFormat="1" applyFont="1" applyFill="1" applyBorder="1" applyAlignment="1" applyProtection="1">
      <alignment horizontal="center"/>
      <protection hidden="1"/>
    </xf>
    <xf numFmtId="0" fontId="13" fillId="2" borderId="23" xfId="0" applyNumberFormat="1" applyFont="1" applyFill="1" applyBorder="1" applyAlignment="1" applyProtection="1">
      <alignment horizontal="center"/>
      <protection hidden="1"/>
    </xf>
    <xf numFmtId="44" fontId="13" fillId="2" borderId="23" xfId="1" applyFont="1" applyFill="1" applyBorder="1" applyAlignment="1" applyProtection="1">
      <alignment horizontal="center"/>
      <protection hidden="1"/>
    </xf>
    <xf numFmtId="0" fontId="13" fillId="2" borderId="39" xfId="0" applyNumberFormat="1" applyFont="1" applyFill="1" applyBorder="1" applyAlignment="1" applyProtection="1">
      <alignment horizontal="center"/>
      <protection hidden="1"/>
    </xf>
    <xf numFmtId="44" fontId="13" fillId="2" borderId="39" xfId="1" applyFont="1" applyFill="1" applyBorder="1" applyAlignment="1" applyProtection="1">
      <alignment horizontal="center"/>
      <protection hidden="1"/>
    </xf>
    <xf numFmtId="0" fontId="14" fillId="2" borderId="40" xfId="0" applyFont="1" applyFill="1" applyBorder="1" applyAlignment="1" applyProtection="1">
      <alignment horizontal="center"/>
      <protection hidden="1"/>
    </xf>
    <xf numFmtId="0" fontId="14" fillId="2" borderId="41" xfId="0" applyFont="1" applyFill="1" applyBorder="1" applyAlignment="1" applyProtection="1">
      <alignment horizontal="center"/>
      <protection hidden="1"/>
    </xf>
    <xf numFmtId="44" fontId="13" fillId="2" borderId="15" xfId="1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45" xfId="0" applyFont="1" applyFill="1" applyBorder="1" applyAlignment="1" applyProtection="1">
      <alignment horizontal="center"/>
      <protection hidden="1"/>
    </xf>
    <xf numFmtId="0" fontId="13" fillId="2" borderId="46" xfId="0" applyNumberFormat="1" applyFont="1" applyFill="1" applyBorder="1" applyAlignment="1" applyProtection="1">
      <alignment horizontal="center"/>
      <protection hidden="1"/>
    </xf>
    <xf numFmtId="0" fontId="13" fillId="2" borderId="47" xfId="0" applyNumberFormat="1" applyFont="1" applyFill="1" applyBorder="1" applyAlignment="1" applyProtection="1">
      <alignment horizontal="center"/>
      <protection hidden="1"/>
    </xf>
    <xf numFmtId="14" fontId="13" fillId="2" borderId="27" xfId="0" applyNumberFormat="1" applyFont="1" applyFill="1" applyBorder="1" applyAlignment="1" applyProtection="1">
      <alignment horizontal="center"/>
      <protection hidden="1"/>
    </xf>
    <xf numFmtId="14" fontId="13" fillId="2" borderId="11" xfId="0" applyNumberFormat="1" applyFont="1" applyFill="1" applyBorder="1" applyAlignment="1" applyProtection="1">
      <alignment horizontal="center"/>
      <protection hidden="1"/>
    </xf>
    <xf numFmtId="44" fontId="15" fillId="2" borderId="43" xfId="1" applyFont="1" applyFill="1" applyBorder="1" applyAlignment="1" applyProtection="1">
      <alignment horizontal="center"/>
      <protection hidden="1"/>
    </xf>
    <xf numFmtId="44" fontId="15" fillId="2" borderId="37" xfId="1" applyFont="1" applyFill="1" applyBorder="1" applyAlignment="1" applyProtection="1">
      <alignment horizontal="center"/>
      <protection hidden="1"/>
    </xf>
    <xf numFmtId="44" fontId="15" fillId="2" borderId="44" xfId="1" applyFont="1" applyFill="1" applyBorder="1" applyAlignment="1" applyProtection="1">
      <alignment horizontal="center"/>
      <protection hidden="1"/>
    </xf>
    <xf numFmtId="1" fontId="13" fillId="2" borderId="39" xfId="3" applyNumberFormat="1" applyFont="1" applyFill="1" applyBorder="1" applyAlignment="1" applyProtection="1">
      <alignment horizontal="center" vertical="center"/>
      <protection hidden="1"/>
    </xf>
    <xf numFmtId="1" fontId="13" fillId="2" borderId="14" xfId="1" applyNumberFormat="1" applyFont="1" applyFill="1" applyBorder="1" applyAlignment="1" applyProtection="1">
      <alignment horizontal="center"/>
      <protection hidden="1"/>
    </xf>
    <xf numFmtId="1" fontId="13" fillId="2" borderId="23" xfId="1" applyNumberFormat="1" applyFont="1" applyFill="1" applyBorder="1" applyAlignment="1" applyProtection="1">
      <alignment horizontal="center"/>
      <protection hidden="1"/>
    </xf>
    <xf numFmtId="14" fontId="13" fillId="2" borderId="2" xfId="1" applyNumberFormat="1" applyFont="1" applyFill="1" applyBorder="1" applyAlignment="1" applyProtection="1">
      <alignment horizontal="center"/>
      <protection hidden="1"/>
    </xf>
    <xf numFmtId="14" fontId="13" fillId="2" borderId="46" xfId="0" applyNumberFormat="1" applyFont="1" applyFill="1" applyBorder="1" applyAlignment="1" applyProtection="1">
      <alignment horizontal="center"/>
      <protection hidden="1"/>
    </xf>
    <xf numFmtId="44" fontId="15" fillId="2" borderId="2" xfId="1" applyFont="1" applyFill="1" applyBorder="1" applyAlignment="1" applyProtection="1">
      <alignment horizontal="center"/>
      <protection hidden="1"/>
    </xf>
    <xf numFmtId="14" fontId="15" fillId="2" borderId="2" xfId="1" applyNumberFormat="1" applyFont="1" applyFill="1" applyBorder="1" applyAlignment="1" applyProtection="1">
      <alignment horizontal="center"/>
      <protection hidden="1"/>
    </xf>
    <xf numFmtId="165" fontId="3" fillId="2" borderId="0" xfId="2" applyNumberFormat="1" applyFont="1" applyFill="1" applyBorder="1" applyProtection="1">
      <protection hidden="1"/>
    </xf>
    <xf numFmtId="1" fontId="13" fillId="2" borderId="2" xfId="1" applyNumberFormat="1" applyFont="1" applyFill="1" applyBorder="1" applyAlignment="1" applyProtection="1">
      <alignment horizontal="center"/>
      <protection hidden="1"/>
    </xf>
    <xf numFmtId="44" fontId="13" fillId="2" borderId="49" xfId="1" applyFont="1" applyFill="1" applyBorder="1" applyAlignment="1" applyProtection="1">
      <alignment horizontal="center"/>
      <protection hidden="1"/>
    </xf>
    <xf numFmtId="0" fontId="13" fillId="2" borderId="15" xfId="0" applyNumberFormat="1" applyFont="1" applyFill="1" applyBorder="1" applyAlignment="1" applyProtection="1">
      <alignment horizontal="center"/>
      <protection hidden="1"/>
    </xf>
    <xf numFmtId="44" fontId="13" fillId="2" borderId="4" xfId="1" applyFont="1" applyFill="1" applyBorder="1" applyAlignment="1" applyProtection="1">
      <alignment horizontal="center"/>
      <protection hidden="1"/>
    </xf>
    <xf numFmtId="44" fontId="15" fillId="2" borderId="14" xfId="1" applyFont="1" applyFill="1" applyBorder="1" applyAlignment="1" applyProtection="1">
      <alignment horizontal="center"/>
      <protection hidden="1"/>
    </xf>
    <xf numFmtId="165" fontId="15" fillId="2" borderId="14" xfId="2" applyNumberFormat="1" applyFont="1" applyFill="1" applyBorder="1" applyAlignment="1" applyProtection="1">
      <alignment horizontal="center"/>
      <protection hidden="1"/>
    </xf>
    <xf numFmtId="14" fontId="15" fillId="2" borderId="14" xfId="1" applyNumberFormat="1" applyFont="1" applyFill="1" applyBorder="1" applyAlignment="1" applyProtection="1">
      <alignment horizontal="center"/>
      <protection hidden="1"/>
    </xf>
    <xf numFmtId="0" fontId="14" fillId="2" borderId="15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15" fillId="2" borderId="37" xfId="1" applyNumberFormat="1" applyFont="1" applyFill="1" applyBorder="1" applyAlignment="1" applyProtection="1">
      <alignment horizontal="center"/>
      <protection hidden="1"/>
    </xf>
    <xf numFmtId="44" fontId="15" fillId="2" borderId="2" xfId="1" applyFont="1" applyFill="1" applyBorder="1" applyAlignment="1" applyProtection="1">
      <protection hidden="1"/>
    </xf>
    <xf numFmtId="166" fontId="13" fillId="2" borderId="2" xfId="1" applyNumberFormat="1" applyFont="1" applyFill="1" applyBorder="1" applyAlignment="1" applyProtection="1">
      <alignment horizontal="center"/>
      <protection hidden="1"/>
    </xf>
    <xf numFmtId="0" fontId="13" fillId="3" borderId="14" xfId="0" applyNumberFormat="1" applyFont="1" applyFill="1" applyBorder="1" applyAlignment="1" applyProtection="1">
      <alignment horizontal="center"/>
      <protection hidden="1"/>
    </xf>
    <xf numFmtId="1" fontId="13" fillId="3" borderId="14" xfId="1" applyNumberFormat="1" applyFont="1" applyFill="1" applyBorder="1" applyAlignment="1" applyProtection="1">
      <alignment horizontal="center"/>
      <protection hidden="1"/>
    </xf>
    <xf numFmtId="44" fontId="15" fillId="3" borderId="37" xfId="1" applyFont="1" applyFill="1" applyBorder="1" applyAlignment="1" applyProtection="1">
      <alignment horizontal="center"/>
      <protection hidden="1"/>
    </xf>
    <xf numFmtId="0" fontId="14" fillId="2" borderId="0" xfId="0" applyFont="1" applyFill="1" applyBorder="1" applyAlignment="1" applyProtection="1">
      <alignment horizontal="center"/>
      <protection hidden="1"/>
    </xf>
    <xf numFmtId="0" fontId="13" fillId="2" borderId="0" xfId="0" applyNumberFormat="1" applyFont="1" applyFill="1" applyBorder="1" applyAlignment="1" applyProtection="1">
      <alignment horizontal="center"/>
      <protection hidden="1"/>
    </xf>
    <xf numFmtId="44" fontId="13" fillId="2" borderId="0" xfId="1" applyFont="1" applyFill="1" applyBorder="1" applyAlignment="1" applyProtection="1">
      <alignment horizontal="center"/>
      <protection hidden="1"/>
    </xf>
    <xf numFmtId="165" fontId="15" fillId="2" borderId="0" xfId="2" applyNumberFormat="1" applyFont="1" applyFill="1" applyBorder="1" applyAlignment="1" applyProtection="1">
      <alignment horizontal="center"/>
      <protection hidden="1"/>
    </xf>
    <xf numFmtId="9" fontId="15" fillId="2" borderId="0" xfId="2" applyFont="1" applyFill="1" applyBorder="1" applyAlignment="1" applyProtection="1">
      <alignment horizontal="center"/>
      <protection hidden="1"/>
    </xf>
    <xf numFmtId="0" fontId="18" fillId="2" borderId="0" xfId="0" applyFont="1" applyFill="1" applyBorder="1" applyAlignment="1" applyProtection="1">
      <alignment horizontal="center"/>
      <protection hidden="1"/>
    </xf>
    <xf numFmtId="0" fontId="15" fillId="2" borderId="0" xfId="0" applyNumberFormat="1" applyFont="1" applyFill="1" applyBorder="1" applyAlignment="1" applyProtection="1">
      <alignment horizontal="center"/>
      <protection hidden="1"/>
    </xf>
    <xf numFmtId="44" fontId="13" fillId="2" borderId="51" xfId="1" applyFont="1" applyFill="1" applyBorder="1" applyAlignment="1" applyProtection="1">
      <alignment horizontal="center"/>
      <protection hidden="1"/>
    </xf>
    <xf numFmtId="9" fontId="15" fillId="2" borderId="51" xfId="2" applyFont="1" applyFill="1" applyBorder="1" applyAlignment="1" applyProtection="1">
      <alignment horizontal="center"/>
      <protection hidden="1"/>
    </xf>
    <xf numFmtId="0" fontId="13" fillId="2" borderId="51" xfId="0" applyNumberFormat="1" applyFont="1" applyFill="1" applyBorder="1" applyAlignment="1" applyProtection="1">
      <alignment horizontal="center"/>
      <protection hidden="1"/>
    </xf>
    <xf numFmtId="165" fontId="15" fillId="2" borderId="51" xfId="2" applyNumberFormat="1" applyFont="1" applyFill="1" applyBorder="1" applyAlignment="1" applyProtection="1">
      <alignment horizontal="center"/>
      <protection hidden="1"/>
    </xf>
    <xf numFmtId="165" fontId="15" fillId="2" borderId="52" xfId="2" applyNumberFormat="1" applyFont="1" applyFill="1" applyBorder="1" applyAlignment="1" applyProtection="1">
      <alignment horizontal="center"/>
      <protection hidden="1"/>
    </xf>
    <xf numFmtId="44" fontId="13" fillId="2" borderId="34" xfId="1" applyFont="1" applyFill="1" applyBorder="1" applyAlignment="1" applyProtection="1">
      <alignment horizontal="center"/>
      <protection hidden="1"/>
    </xf>
    <xf numFmtId="9" fontId="15" fillId="2" borderId="34" xfId="2" applyFont="1" applyFill="1" applyBorder="1" applyAlignment="1" applyProtection="1">
      <alignment horizontal="center"/>
      <protection hidden="1"/>
    </xf>
    <xf numFmtId="0" fontId="13" fillId="2" borderId="34" xfId="0" applyNumberFormat="1" applyFont="1" applyFill="1" applyBorder="1" applyAlignment="1" applyProtection="1">
      <alignment horizontal="center"/>
      <protection hidden="1"/>
    </xf>
    <xf numFmtId="165" fontId="15" fillId="2" borderId="34" xfId="2" applyNumberFormat="1" applyFont="1" applyFill="1" applyBorder="1" applyAlignment="1" applyProtection="1">
      <alignment horizontal="center"/>
      <protection hidden="1"/>
    </xf>
    <xf numFmtId="165" fontId="15" fillId="2" borderId="53" xfId="2" applyNumberFormat="1" applyFont="1" applyFill="1" applyBorder="1" applyAlignment="1" applyProtection="1">
      <alignment horizontal="center"/>
      <protection hidden="1"/>
    </xf>
    <xf numFmtId="44" fontId="13" fillId="2" borderId="6" xfId="1" applyFont="1" applyFill="1" applyBorder="1" applyAlignment="1" applyProtection="1">
      <alignment horizontal="center"/>
      <protection hidden="1"/>
    </xf>
    <xf numFmtId="9" fontId="15" fillId="2" borderId="6" xfId="2" applyFont="1" applyFill="1" applyBorder="1" applyAlignment="1" applyProtection="1">
      <alignment horizontal="center"/>
      <protection hidden="1"/>
    </xf>
    <xf numFmtId="0" fontId="13" fillId="2" borderId="6" xfId="0" applyNumberFormat="1" applyFont="1" applyFill="1" applyBorder="1" applyAlignment="1" applyProtection="1">
      <alignment horizontal="center"/>
      <protection hidden="1"/>
    </xf>
    <xf numFmtId="165" fontId="15" fillId="2" borderId="6" xfId="2" applyNumberFormat="1" applyFont="1" applyFill="1" applyBorder="1" applyAlignment="1" applyProtection="1">
      <alignment horizontal="center"/>
      <protection hidden="1"/>
    </xf>
    <xf numFmtId="165" fontId="15" fillId="2" borderId="7" xfId="2" applyNumberFormat="1" applyFont="1" applyFill="1" applyBorder="1" applyAlignment="1" applyProtection="1">
      <alignment horizontal="center"/>
      <protection hidden="1"/>
    </xf>
    <xf numFmtId="0" fontId="19" fillId="2" borderId="50" xfId="0" applyNumberFormat="1" applyFont="1" applyFill="1" applyBorder="1" applyAlignment="1" applyProtection="1">
      <alignment horizontal="left" vertical="center"/>
      <protection hidden="1"/>
    </xf>
    <xf numFmtId="0" fontId="19" fillId="2" borderId="5" xfId="0" applyNumberFormat="1" applyFont="1" applyFill="1" applyBorder="1" applyAlignment="1" applyProtection="1">
      <alignment horizontal="left" vertical="center"/>
      <protection hidden="1"/>
    </xf>
    <xf numFmtId="0" fontId="19" fillId="2" borderId="20" xfId="0" applyNumberFormat="1" applyFont="1" applyFill="1" applyBorder="1" applyAlignment="1" applyProtection="1">
      <alignment horizontal="left" vertical="center"/>
      <protection hidden="1"/>
    </xf>
    <xf numFmtId="0" fontId="8" fillId="2" borderId="0" xfId="0" applyNumberFormat="1" applyFont="1" applyFill="1" applyBorder="1" applyAlignment="1" applyProtection="1">
      <alignment horizontal="center"/>
      <protection hidden="1"/>
    </xf>
    <xf numFmtId="14" fontId="13" fillId="2" borderId="14" xfId="1" applyNumberFormat="1" applyFont="1" applyFill="1" applyBorder="1" applyAlignment="1" applyProtection="1">
      <alignment horizontal="center"/>
      <protection hidden="1"/>
    </xf>
    <xf numFmtId="14" fontId="13" fillId="2" borderId="14" xfId="0" applyNumberFormat="1" applyFont="1" applyFill="1" applyBorder="1" applyAlignment="1" applyProtection="1">
      <alignment horizontal="center"/>
      <protection hidden="1"/>
    </xf>
    <xf numFmtId="14" fontId="13" fillId="3" borderId="14" xfId="0" applyNumberFormat="1" applyFont="1" applyFill="1" applyBorder="1" applyAlignment="1" applyProtection="1">
      <alignment horizontal="center"/>
      <protection hidden="1"/>
    </xf>
    <xf numFmtId="44" fontId="13" fillId="2" borderId="46" xfId="1" applyFont="1" applyFill="1" applyBorder="1" applyAlignment="1" applyProtection="1">
      <alignment horizontal="center"/>
      <protection hidden="1"/>
    </xf>
    <xf numFmtId="44" fontId="13" fillId="3" borderId="46" xfId="1" applyFont="1" applyFill="1" applyBorder="1" applyAlignment="1" applyProtection="1">
      <alignment horizontal="center"/>
      <protection hidden="1"/>
    </xf>
    <xf numFmtId="0" fontId="4" fillId="2" borderId="26" xfId="0" quotePrefix="1" applyFont="1" applyFill="1" applyBorder="1" applyAlignment="1" applyProtection="1">
      <alignment horizontal="center"/>
      <protection hidden="1"/>
    </xf>
    <xf numFmtId="14" fontId="4" fillId="2" borderId="27" xfId="1" applyNumberFormat="1" applyFont="1" applyFill="1" applyBorder="1" applyAlignment="1" applyProtection="1">
      <alignment horizontal="center"/>
      <protection hidden="1"/>
    </xf>
    <xf numFmtId="0" fontId="16" fillId="2" borderId="0" xfId="0" applyFont="1" applyFill="1" applyBorder="1" applyAlignment="1" applyProtection="1">
      <alignment horizontal="center" vertical="center"/>
      <protection hidden="1"/>
    </xf>
    <xf numFmtId="0" fontId="16" fillId="2" borderId="34" xfId="0" applyFont="1" applyFill="1" applyBorder="1" applyAlignment="1" applyProtection="1">
      <alignment horizontal="center" vertical="center"/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0" fontId="5" fillId="2" borderId="5" xfId="0" applyFont="1" applyFill="1" applyBorder="1" applyAlignment="1" applyProtection="1">
      <alignment horizontal="center"/>
      <protection hidden="1"/>
    </xf>
    <xf numFmtId="0" fontId="5" fillId="2" borderId="6" xfId="0" applyFont="1" applyFill="1" applyBorder="1" applyAlignment="1" applyProtection="1">
      <alignment horizontal="center"/>
      <protection hidden="1"/>
    </xf>
    <xf numFmtId="0" fontId="5" fillId="2" borderId="7" xfId="0" applyFont="1" applyFill="1" applyBorder="1" applyAlignment="1" applyProtection="1">
      <alignment horizontal="center"/>
      <protection hidden="1"/>
    </xf>
    <xf numFmtId="0" fontId="5" fillId="2" borderId="17" xfId="0" applyFont="1" applyFill="1" applyBorder="1" applyAlignment="1" applyProtection="1">
      <alignment horizontal="center"/>
      <protection hidden="1"/>
    </xf>
    <xf numFmtId="0" fontId="5" fillId="2" borderId="18" xfId="0" applyFont="1" applyFill="1" applyBorder="1" applyAlignment="1" applyProtection="1">
      <alignment horizontal="center"/>
      <protection hidden="1"/>
    </xf>
    <xf numFmtId="0" fontId="5" fillId="2" borderId="19" xfId="0" applyFont="1" applyFill="1" applyBorder="1" applyAlignment="1" applyProtection="1">
      <alignment horizontal="center"/>
      <protection hidden="1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  <xf numFmtId="0" fontId="5" fillId="2" borderId="7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hidden="1"/>
    </xf>
    <xf numFmtId="0" fontId="5" fillId="2" borderId="48" xfId="0" applyFont="1" applyFill="1" applyBorder="1" applyAlignment="1" applyProtection="1">
      <alignment horizontal="center"/>
      <protection hidden="1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7">
    <dxf>
      <font>
        <color theme="0"/>
      </font>
      <fill>
        <patternFill>
          <bgColor rgb="FFFF0000"/>
        </patternFill>
      </fill>
      <border>
        <left/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color theme="0"/>
      </font>
      <fill>
        <patternFill patternType="solid">
          <fgColor theme="0"/>
          <bgColor rgb="FF00B050"/>
        </patternFill>
      </fill>
      <border>
        <left/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/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952380841374421E-2"/>
          <c:y val="0.13719643555368621"/>
          <c:w val="0.9605011008110671"/>
          <c:h val="0.72856465002509507"/>
        </c:manualLayout>
      </c:layout>
      <c:pie3DChart>
        <c:varyColors val="1"/>
        <c:ser>
          <c:idx val="0"/>
          <c:order val="0"/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rgbClr val="00206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1D-454C-91AF-B6C08E8E502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1D-454C-91AF-B6C08E8E502A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1D-454C-91AF-B6C08E8E502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81D-454C-91AF-B6C08E8E502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54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1D-454C-91AF-B6C08E8E502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54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1D-454C-91AF-B6C08E8E502A}"/>
                </c:ext>
              </c:extLst>
            </c:dLbl>
            <c:dLbl>
              <c:idx val="2"/>
              <c:layout>
                <c:manualLayout>
                  <c:x val="-8.6144830185323679E-2"/>
                  <c:y val="6.731431605028860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54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1D-454C-91AF-B6C08E8E502A}"/>
                </c:ext>
              </c:extLst>
            </c:dLbl>
            <c:dLbl>
              <c:idx val="3"/>
              <c:layout>
                <c:manualLayout>
                  <c:x val="0.22113378352448429"/>
                  <c:y val="3.028855043677173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54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18925240362802"/>
                      <c:h val="9.136054177083557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1D-454C-91AF-B6C08E8E5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Grapic!$I$14:$I$17</c:f>
              <c:strCache>
                <c:ptCount val="4"/>
                <c:pt idx="0">
                  <c:v>Ações</c:v>
                </c:pt>
                <c:pt idx="1">
                  <c:v>Tesouro Direto</c:v>
                </c:pt>
                <c:pt idx="2">
                  <c:v>Cryptomoedas</c:v>
                </c:pt>
                <c:pt idx="3">
                  <c:v>Fundos Imobiliários</c:v>
                </c:pt>
              </c:strCache>
            </c:strRef>
          </c:cat>
          <c:val>
            <c:numRef>
              <c:f>Grapic!$K$14:$K$17</c:f>
              <c:numCache>
                <c:formatCode>0.0%</c:formatCode>
                <c:ptCount val="4"/>
                <c:pt idx="0">
                  <c:v>0.22222359806212946</c:v>
                </c:pt>
                <c:pt idx="1">
                  <c:v>0.65467828563468355</c:v>
                </c:pt>
                <c:pt idx="2">
                  <c:v>9.7512653427647145E-2</c:v>
                </c:pt>
                <c:pt idx="3">
                  <c:v>2.55854628755398E-2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1D-454C-91AF-B6C08E8E50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3471259778527351"/>
          <c:w val="1"/>
          <c:h val="0.131667593073943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Table!A1"/><Relationship Id="rId1" Type="http://schemas.openxmlformats.org/officeDocument/2006/relationships/hyperlink" Target="#Grapic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hyperlink" Target="#Grapic!A1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6.svg"/><Relationship Id="rId2" Type="http://schemas.openxmlformats.org/officeDocument/2006/relationships/hyperlink" Target="#Table!A1"/><Relationship Id="rId1" Type="http://schemas.openxmlformats.org/officeDocument/2006/relationships/hyperlink" Target="#Home!A1"/><Relationship Id="rId6" Type="http://schemas.openxmlformats.org/officeDocument/2006/relationships/image" Target="../media/image5.png"/><Relationship Id="rId5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hyperlink" Target="#Grapic!A1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hyperlink" Target="#Grapic!A1"/><Relationship Id="rId4" Type="http://schemas.openxmlformats.org/officeDocument/2006/relationships/image" Target="../media/image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hyperlink" Target="#'Din em caixa (3)'!A1"/><Relationship Id="rId2" Type="http://schemas.openxmlformats.org/officeDocument/2006/relationships/hyperlink" Target="#Home!A1"/><Relationship Id="rId1" Type="http://schemas.openxmlformats.org/officeDocument/2006/relationships/hyperlink" Target="#Grapic!A1"/><Relationship Id="rId6" Type="http://schemas.openxmlformats.org/officeDocument/2006/relationships/hyperlink" Target="#Fundos!A1"/><Relationship Id="rId5" Type="http://schemas.openxmlformats.org/officeDocument/2006/relationships/hyperlink" Target="#acao!A1"/><Relationship Id="rId4" Type="http://schemas.openxmlformats.org/officeDocument/2006/relationships/image" Target="../media/image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hyperlink" Target="#Crypt!A1"/><Relationship Id="rId2" Type="http://schemas.openxmlformats.org/officeDocument/2006/relationships/hyperlink" Target="#Home!A1"/><Relationship Id="rId1" Type="http://schemas.openxmlformats.org/officeDocument/2006/relationships/hyperlink" Target="#Grapic!A1"/><Relationship Id="rId6" Type="http://schemas.openxmlformats.org/officeDocument/2006/relationships/hyperlink" Target="#'Din em caixa'!A1"/><Relationship Id="rId5" Type="http://schemas.openxmlformats.org/officeDocument/2006/relationships/hyperlink" Target="#acao!A1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hyperlink" Target="#'Din em caixa'!A1"/><Relationship Id="rId2" Type="http://schemas.openxmlformats.org/officeDocument/2006/relationships/hyperlink" Target="#Home!A1"/><Relationship Id="rId1" Type="http://schemas.openxmlformats.org/officeDocument/2006/relationships/hyperlink" Target="#Grapic!A1"/><Relationship Id="rId6" Type="http://schemas.openxmlformats.org/officeDocument/2006/relationships/hyperlink" Target="#Fundos!A1"/><Relationship Id="rId5" Type="http://schemas.openxmlformats.org/officeDocument/2006/relationships/hyperlink" Target="#acao!A1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4234579</xdr:colOff>
      <xdr:row>2</xdr:row>
      <xdr:rowOff>100638</xdr:rowOff>
    </xdr:from>
    <xdr:to>
      <xdr:col>6</xdr:col>
      <xdr:colOff>4009499</xdr:colOff>
      <xdr:row>10</xdr:row>
      <xdr:rowOff>542178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234CF-CC8A-4219-98B5-DE851E0693D7}"/>
            </a:ext>
          </a:extLst>
        </xdr:cNvPr>
        <xdr:cNvSpPr/>
      </xdr:nvSpPr>
      <xdr:spPr>
        <a:xfrm>
          <a:off x="18687926" y="481638"/>
          <a:ext cx="6181884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3</xdr:col>
      <xdr:colOff>364191</xdr:colOff>
      <xdr:row>2</xdr:row>
      <xdr:rowOff>73760</xdr:rowOff>
    </xdr:from>
    <xdr:to>
      <xdr:col>3</xdr:col>
      <xdr:colOff>5126691</xdr:colOff>
      <xdr:row>10</xdr:row>
      <xdr:rowOff>252132</xdr:rowOff>
    </xdr:to>
    <xdr:sp macro="" textlink="">
      <xdr:nvSpPr>
        <xdr:cNvPr id="3" name="Rectangle 7">
          <a:extLst>
            <a:ext uri="{FF2B5EF4-FFF2-40B4-BE49-F238E27FC236}">
              <a16:creationId xmlns:a16="http://schemas.microsoft.com/office/drawing/2014/main" id="{6231FB71-054A-47A6-8156-F2EBFB5B76D3}"/>
            </a:ext>
          </a:extLst>
        </xdr:cNvPr>
        <xdr:cNvSpPr/>
      </xdr:nvSpPr>
      <xdr:spPr>
        <a:xfrm>
          <a:off x="3249706" y="465966"/>
          <a:ext cx="4762500" cy="2083372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u="sng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4</xdr:col>
      <xdr:colOff>2554008</xdr:colOff>
      <xdr:row>2</xdr:row>
      <xdr:rowOff>67484</xdr:rowOff>
    </xdr:from>
    <xdr:to>
      <xdr:col>5</xdr:col>
      <xdr:colOff>1770869</xdr:colOff>
      <xdr:row>10</xdr:row>
      <xdr:rowOff>509024</xdr:rowOff>
    </xdr:to>
    <xdr:sp macro="" textlink="">
      <xdr:nvSpPr>
        <xdr:cNvPr id="4" name="Rectangl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E139BE-6A23-4660-91A5-5360AF4C5087}"/>
            </a:ext>
          </a:extLst>
        </xdr:cNvPr>
        <xdr:cNvSpPr/>
      </xdr:nvSpPr>
      <xdr:spPr>
        <a:xfrm>
          <a:off x="10713571" y="448484"/>
          <a:ext cx="5518489" cy="2308440"/>
        </a:xfrm>
        <a:prstGeom prst="rect">
          <a:avLst/>
        </a:prstGeom>
        <a:noFill/>
        <a:ln>
          <a:noFill/>
        </a:ln>
      </xdr:spPr>
      <xdr:txBody>
        <a:bodyPr wrap="square" lIns="90000" tIns="45720" rIns="91440" bIns="45720">
          <a:spAutoFit/>
        </a:bodyPr>
        <a:lstStyle/>
        <a:p>
          <a:pPr algn="ctr"/>
          <a:r>
            <a:rPr lang="en-US" sz="144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1039091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E61532E9-9464-4E42-BCE6-582509431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15391" cy="1636219"/>
        </a:xfrm>
        <a:prstGeom prst="rect">
          <a:avLst/>
        </a:prstGeom>
      </xdr:spPr>
    </xdr:pic>
    <xdr:clientData/>
  </xdr:twoCellAnchor>
  <xdr:twoCellAnchor editAs="absolute">
    <xdr:from>
      <xdr:col>7</xdr:col>
      <xdr:colOff>28014</xdr:colOff>
      <xdr:row>3</xdr:row>
      <xdr:rowOff>140073</xdr:rowOff>
    </xdr:from>
    <xdr:to>
      <xdr:col>8</xdr:col>
      <xdr:colOff>2173895</xdr:colOff>
      <xdr:row>10</xdr:row>
      <xdr:rowOff>844486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5849B5C-CE27-4B1E-BEC0-B45CA3AF71E8}"/>
            </a:ext>
          </a:extLst>
        </xdr:cNvPr>
        <xdr:cNvGrpSpPr/>
      </xdr:nvGrpSpPr>
      <xdr:grpSpPr>
        <a:xfrm>
          <a:off x="27538455" y="728382"/>
          <a:ext cx="9233602" cy="2413310"/>
          <a:chOff x="27678529" y="896471"/>
          <a:chExt cx="9233602" cy="2413310"/>
        </a:xfrm>
      </xdr:grpSpPr>
      <xdr:sp macro="" textlink="">
        <xdr:nvSpPr>
          <xdr:cNvPr id="18" name="Seta: Divisa 17">
            <a:extLst>
              <a:ext uri="{FF2B5EF4-FFF2-40B4-BE49-F238E27FC236}">
                <a16:creationId xmlns:a16="http://schemas.microsoft.com/office/drawing/2014/main" id="{1D6A3F01-06E7-4292-88AB-FBA95416F68A}"/>
              </a:ext>
            </a:extLst>
          </xdr:cNvPr>
          <xdr:cNvSpPr/>
        </xdr:nvSpPr>
        <xdr:spPr>
          <a:xfrm>
            <a:off x="27678529" y="896471"/>
            <a:ext cx="9233602" cy="2413310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cessAccount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3A4F6D87-E122-4245-B4DA-1A70C4D1D1F7}"/>
              </a:ext>
            </a:extLst>
          </xdr:cNvPr>
          <xdr:cNvSpPr/>
        </xdr:nvSpPr>
        <xdr:spPr>
          <a:xfrm>
            <a:off x="27678529" y="896471"/>
            <a:ext cx="9140574" cy="2158668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6600" b="1" i="1" u="sng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Atualizar</a:t>
            </a:r>
            <a:r>
              <a:rPr lang="pt-BR" sz="6600" b="1" i="1" u="sng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Minha</a:t>
            </a:r>
            <a:endParaRPr lang="pt-BR" sz="6600" b="1" i="1" u="sng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  <a:p>
            <a:pPr algn="ctr"/>
            <a:r>
              <a:rPr lang="pt-BR" sz="6600" b="1" i="1" u="sng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Carteira</a:t>
            </a:r>
            <a:endParaRPr lang="pt-BR" sz="6600" b="1" i="1" u="sng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2</xdr:col>
      <xdr:colOff>0</xdr:colOff>
      <xdr:row>10</xdr:row>
      <xdr:rowOff>693300</xdr:rowOff>
    </xdr:from>
    <xdr:to>
      <xdr:col>4</xdr:col>
      <xdr:colOff>3389779</xdr:colOff>
      <xdr:row>12</xdr:row>
      <xdr:rowOff>196102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DA96F60C-6510-42A4-8A8A-F63A4A702760}"/>
            </a:ext>
          </a:extLst>
        </xdr:cNvPr>
        <xdr:cNvSpPr/>
      </xdr:nvSpPr>
      <xdr:spPr>
        <a:xfrm>
          <a:off x="2073088" y="2990506"/>
          <a:ext cx="9496985" cy="2640449"/>
        </a:xfrm>
        <a:prstGeom prst="rect">
          <a:avLst/>
        </a:prstGeom>
        <a:noFill/>
        <a:ln w="76200"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3800" b="1" i="1" u="none" cap="none" spc="0">
              <a:ln w="0">
                <a:solidFill>
                  <a:schemeClr val="tx1"/>
                </a:solidFill>
              </a:ln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Bem</a:t>
          </a:r>
          <a:r>
            <a:rPr lang="pt-BR" sz="13800" b="1" i="1" u="none" cap="none" spc="0" baseline="0">
              <a:ln w="0">
                <a:solidFill>
                  <a:schemeClr val="tx1"/>
                </a:solidFill>
              </a:ln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Vindo!</a:t>
          </a:r>
          <a:endParaRPr lang="pt-BR" sz="13800" b="1" i="1" u="none" cap="none" spc="0">
            <a:ln w="0">
              <a:solidFill>
                <a:schemeClr val="tx1"/>
              </a:solidFill>
            </a:ln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4</xdr:col>
      <xdr:colOff>980514</xdr:colOff>
      <xdr:row>12</xdr:row>
      <xdr:rowOff>351248</xdr:rowOff>
    </xdr:from>
    <xdr:to>
      <xdr:col>4</xdr:col>
      <xdr:colOff>2427353</xdr:colOff>
      <xdr:row>13</xdr:row>
      <xdr:rowOff>494178</xdr:rowOff>
    </xdr:to>
    <xdr:pic>
      <xdr:nvPicPr>
        <xdr:cNvPr id="59" name="Gráfico 58" descr="Lupa">
          <a:extLst>
            <a:ext uri="{FF2B5EF4-FFF2-40B4-BE49-F238E27FC236}">
              <a16:creationId xmlns:a16="http://schemas.microsoft.com/office/drawing/2014/main" id="{35731BBB-0D64-43AD-A29E-8F6F349A9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328896" y="5786101"/>
          <a:ext cx="1446839" cy="140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1545165</xdr:colOff>
      <xdr:row>2</xdr:row>
      <xdr:rowOff>100638</xdr:rowOff>
    </xdr:from>
    <xdr:to>
      <xdr:col>11</xdr:col>
      <xdr:colOff>1267452</xdr:colOff>
      <xdr:row>10</xdr:row>
      <xdr:rowOff>542178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09FC2D-52C8-49C3-A74B-E9FFBAEBF77C}"/>
            </a:ext>
          </a:extLst>
        </xdr:cNvPr>
        <xdr:cNvSpPr/>
      </xdr:nvSpPr>
      <xdr:spPr>
        <a:xfrm>
          <a:off x="19123120" y="504729"/>
          <a:ext cx="6305743" cy="23465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2</xdr:col>
      <xdr:colOff>0</xdr:colOff>
      <xdr:row>2</xdr:row>
      <xdr:rowOff>73760</xdr:rowOff>
    </xdr:from>
    <xdr:to>
      <xdr:col>4</xdr:col>
      <xdr:colOff>784412</xdr:colOff>
      <xdr:row>10</xdr:row>
      <xdr:rowOff>461818</xdr:rowOff>
    </xdr:to>
    <xdr:sp macro="[0]!ZOOM" textlink="">
      <xdr:nvSpPr>
        <xdr:cNvPr id="3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305FBB-BF8B-4FEC-B368-B73412F5908B}"/>
            </a:ext>
          </a:extLst>
        </xdr:cNvPr>
        <xdr:cNvSpPr/>
      </xdr:nvSpPr>
      <xdr:spPr>
        <a:xfrm>
          <a:off x="3781136" y="477851"/>
          <a:ext cx="4762500" cy="229305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5</xdr:col>
      <xdr:colOff>1349374</xdr:colOff>
      <xdr:row>2</xdr:row>
      <xdr:rowOff>67484</xdr:rowOff>
    </xdr:from>
    <xdr:to>
      <xdr:col>7</xdr:col>
      <xdr:colOff>1067105</xdr:colOff>
      <xdr:row>10</xdr:row>
      <xdr:rowOff>509024</xdr:rowOff>
    </xdr:to>
    <xdr:sp macro="" textlink="">
      <xdr:nvSpPr>
        <xdr:cNvPr id="4" name="Rectangle 10">
          <a:extLst>
            <a:ext uri="{FF2B5EF4-FFF2-40B4-BE49-F238E27FC236}">
              <a16:creationId xmlns:a16="http://schemas.microsoft.com/office/drawing/2014/main" id="{9E4307AF-1442-4C8D-9E92-28E344B20300}"/>
            </a:ext>
          </a:extLst>
        </xdr:cNvPr>
        <xdr:cNvSpPr/>
      </xdr:nvSpPr>
      <xdr:spPr>
        <a:xfrm>
          <a:off x="11307329" y="471575"/>
          <a:ext cx="5404716" cy="23465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i="0" u="sng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1023810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24F1F51A-72A1-4F4A-8CE6-4AD398A25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05000" cy="1728583"/>
        </a:xfrm>
        <a:prstGeom prst="rect">
          <a:avLst/>
        </a:prstGeom>
      </xdr:spPr>
    </xdr:pic>
    <xdr:clientData/>
  </xdr:twoCellAnchor>
  <xdr:twoCellAnchor editAs="absolute">
    <xdr:from>
      <xdr:col>11</xdr:col>
      <xdr:colOff>1596836</xdr:colOff>
      <xdr:row>4</xdr:row>
      <xdr:rowOff>2</xdr:rowOff>
    </xdr:from>
    <xdr:to>
      <xdr:col>13</xdr:col>
      <xdr:colOff>374392</xdr:colOff>
      <xdr:row>7</xdr:row>
      <xdr:rowOff>140075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374C84B1-82D5-48A3-A3B9-B877C7279049}"/>
            </a:ext>
          </a:extLst>
        </xdr:cNvPr>
        <xdr:cNvGrpSpPr/>
      </xdr:nvGrpSpPr>
      <xdr:grpSpPr>
        <a:xfrm>
          <a:off x="25297277" y="784414"/>
          <a:ext cx="2979762" cy="728382"/>
          <a:chOff x="28070734" y="1072804"/>
          <a:chExt cx="2979762" cy="843757"/>
        </a:xfrm>
      </xdr:grpSpPr>
      <xdr:sp macro="" textlink="">
        <xdr:nvSpPr>
          <xdr:cNvPr id="6" name="Rectangle 10">
            <a:extLst>
              <a:ext uri="{FF2B5EF4-FFF2-40B4-BE49-F238E27FC236}">
                <a16:creationId xmlns:a16="http://schemas.microsoft.com/office/drawing/2014/main" id="{202BFCF2-470D-483F-948E-9CE97427E61B}"/>
              </a:ext>
            </a:extLst>
          </xdr:cNvPr>
          <xdr:cNvSpPr/>
        </xdr:nvSpPr>
        <xdr:spPr>
          <a:xfrm>
            <a:off x="28070734" y="1232648"/>
            <a:ext cx="812428" cy="530658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hy-AM" sz="2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֍</a:t>
            </a:r>
            <a:endParaRPr lang="en-US" sz="2800" b="1" i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7" name="Rectangle 10">
            <a:extLst>
              <a:ext uri="{FF2B5EF4-FFF2-40B4-BE49-F238E27FC236}">
                <a16:creationId xmlns:a16="http://schemas.microsoft.com/office/drawing/2014/main" id="{6A6EC107-5D41-471C-9C9F-17A1F4F91599}"/>
              </a:ext>
            </a:extLst>
          </xdr:cNvPr>
          <xdr:cNvSpPr/>
        </xdr:nvSpPr>
        <xdr:spPr>
          <a:xfrm>
            <a:off x="28284405" y="1072804"/>
            <a:ext cx="2766091" cy="843757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4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Ações</a:t>
            </a:r>
          </a:p>
        </xdr:txBody>
      </xdr:sp>
    </xdr:grpSp>
    <xdr:clientData/>
  </xdr:twoCellAnchor>
  <xdr:twoCellAnchor editAs="absolute">
    <xdr:from>
      <xdr:col>11</xdr:col>
      <xdr:colOff>1553128</xdr:colOff>
      <xdr:row>9</xdr:row>
      <xdr:rowOff>104613</xdr:rowOff>
    </xdr:from>
    <xdr:to>
      <xdr:col>14</xdr:col>
      <xdr:colOff>700363</xdr:colOff>
      <xdr:row>10</xdr:row>
      <xdr:rowOff>584179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3BDCE99-3BD1-4AA0-9B2D-C5A0FBD45117}"/>
            </a:ext>
          </a:extLst>
        </xdr:cNvPr>
        <xdr:cNvGrpSpPr/>
      </xdr:nvGrpSpPr>
      <xdr:grpSpPr>
        <a:xfrm>
          <a:off x="25253569" y="2037628"/>
          <a:ext cx="5730691" cy="843757"/>
          <a:chOff x="28041137" y="988759"/>
          <a:chExt cx="5784612" cy="843757"/>
        </a:xfrm>
      </xdr:grpSpPr>
      <xdr:sp macro="" textlink="">
        <xdr:nvSpPr>
          <xdr:cNvPr id="13" name="Rectangle 10">
            <a:extLst>
              <a:ext uri="{FF2B5EF4-FFF2-40B4-BE49-F238E27FC236}">
                <a16:creationId xmlns:a16="http://schemas.microsoft.com/office/drawing/2014/main" id="{DD50FE72-1003-403F-8E1D-741DA6D3B1B9}"/>
              </a:ext>
            </a:extLst>
          </xdr:cNvPr>
          <xdr:cNvSpPr/>
        </xdr:nvSpPr>
        <xdr:spPr>
          <a:xfrm>
            <a:off x="28041137" y="1148604"/>
            <a:ext cx="812428" cy="530658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hy-AM" sz="2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֍</a:t>
            </a:r>
            <a:endParaRPr lang="en-US" sz="2800" b="1" i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14" name="Rectangle 10">
            <a:extLst>
              <a:ext uri="{FF2B5EF4-FFF2-40B4-BE49-F238E27FC236}">
                <a16:creationId xmlns:a16="http://schemas.microsoft.com/office/drawing/2014/main" id="{9D2F8E23-CC4C-4956-A163-B253423BBE9E}"/>
              </a:ext>
            </a:extLst>
          </xdr:cNvPr>
          <xdr:cNvSpPr/>
        </xdr:nvSpPr>
        <xdr:spPr>
          <a:xfrm>
            <a:off x="28396463" y="988759"/>
            <a:ext cx="5429286" cy="843757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4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Dinheiro</a:t>
            </a:r>
            <a:r>
              <a:rPr lang="en-US" sz="4800" b="1" i="1" u="none" cap="none" spc="0" baseline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 em caixa</a:t>
            </a:r>
            <a:endParaRPr lang="en-US" sz="4800" b="1" i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14</xdr:col>
      <xdr:colOff>1288679</xdr:colOff>
      <xdr:row>9</xdr:row>
      <xdr:rowOff>144952</xdr:rowOff>
    </xdr:from>
    <xdr:to>
      <xdr:col>16</xdr:col>
      <xdr:colOff>1652867</xdr:colOff>
      <xdr:row>10</xdr:row>
      <xdr:rowOff>560293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6E8A452E-8859-4E80-A6E0-41F52BA4C5DD}"/>
            </a:ext>
          </a:extLst>
        </xdr:cNvPr>
        <xdr:cNvGrpSpPr/>
      </xdr:nvGrpSpPr>
      <xdr:grpSpPr>
        <a:xfrm>
          <a:off x="31572576" y="2077967"/>
          <a:ext cx="4342276" cy="779532"/>
          <a:chOff x="28002376" y="1072803"/>
          <a:chExt cx="3348566" cy="755783"/>
        </a:xfrm>
      </xdr:grpSpPr>
      <xdr:sp macro="" textlink="">
        <xdr:nvSpPr>
          <xdr:cNvPr id="16" name="Rectangle 10">
            <a:extLst>
              <a:ext uri="{FF2B5EF4-FFF2-40B4-BE49-F238E27FC236}">
                <a16:creationId xmlns:a16="http://schemas.microsoft.com/office/drawing/2014/main" id="{71664D10-34A7-40E7-8A93-B5942D40DBF6}"/>
              </a:ext>
            </a:extLst>
          </xdr:cNvPr>
          <xdr:cNvSpPr/>
        </xdr:nvSpPr>
        <xdr:spPr>
          <a:xfrm>
            <a:off x="28002376" y="1179932"/>
            <a:ext cx="812428" cy="530658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hy-AM" sz="2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֍</a:t>
            </a:r>
            <a:endParaRPr lang="en-US" sz="2800" b="1" i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17" name="Rectangle 10">
            <a:extLst>
              <a:ext uri="{FF2B5EF4-FFF2-40B4-BE49-F238E27FC236}">
                <a16:creationId xmlns:a16="http://schemas.microsoft.com/office/drawing/2014/main" id="{369531D1-3FA7-4996-907B-ED929EE77AC0}"/>
              </a:ext>
            </a:extLst>
          </xdr:cNvPr>
          <xdr:cNvSpPr/>
        </xdr:nvSpPr>
        <xdr:spPr>
          <a:xfrm>
            <a:off x="28584851" y="1072803"/>
            <a:ext cx="2766091" cy="755783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44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Cryptomoedas</a:t>
            </a:r>
          </a:p>
        </xdr:txBody>
      </xdr:sp>
    </xdr:grpSp>
    <xdr:clientData/>
  </xdr:twoCellAnchor>
  <xdr:twoCellAnchor editAs="absolute">
    <xdr:from>
      <xdr:col>14</xdr:col>
      <xdr:colOff>784411</xdr:colOff>
      <xdr:row>4</xdr:row>
      <xdr:rowOff>1</xdr:rowOff>
    </xdr:from>
    <xdr:to>
      <xdr:col>17</xdr:col>
      <xdr:colOff>504264</xdr:colOff>
      <xdr:row>7</xdr:row>
      <xdr:rowOff>112059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C232C939-5538-453C-86A1-8A2B746BA9E7}"/>
            </a:ext>
          </a:extLst>
        </xdr:cNvPr>
        <xdr:cNvGrpSpPr/>
      </xdr:nvGrpSpPr>
      <xdr:grpSpPr>
        <a:xfrm>
          <a:off x="31068308" y="784413"/>
          <a:ext cx="5911103" cy="700367"/>
          <a:chOff x="28156669" y="1102937"/>
          <a:chExt cx="6044104" cy="843757"/>
        </a:xfrm>
      </xdr:grpSpPr>
      <xdr:sp macro="" textlink="">
        <xdr:nvSpPr>
          <xdr:cNvPr id="19" name="Rectangle 10">
            <a:extLst>
              <a:ext uri="{FF2B5EF4-FFF2-40B4-BE49-F238E27FC236}">
                <a16:creationId xmlns:a16="http://schemas.microsoft.com/office/drawing/2014/main" id="{8AF0458E-EA08-4A57-A6FB-A04C80B147FB}"/>
              </a:ext>
            </a:extLst>
          </xdr:cNvPr>
          <xdr:cNvSpPr/>
        </xdr:nvSpPr>
        <xdr:spPr>
          <a:xfrm>
            <a:off x="28156669" y="1300149"/>
            <a:ext cx="812428" cy="530658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hy-AM" sz="2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֍</a:t>
            </a:r>
            <a:endParaRPr lang="en-US" sz="2800" b="1" i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20" name="Rectangle 10">
            <a:extLst>
              <a:ext uri="{FF2B5EF4-FFF2-40B4-BE49-F238E27FC236}">
                <a16:creationId xmlns:a16="http://schemas.microsoft.com/office/drawing/2014/main" id="{B63F6463-CD05-4D06-9D51-F1961BA4EACE}"/>
              </a:ext>
            </a:extLst>
          </xdr:cNvPr>
          <xdr:cNvSpPr/>
        </xdr:nvSpPr>
        <xdr:spPr>
          <a:xfrm>
            <a:off x="28962022" y="1102937"/>
            <a:ext cx="5238751" cy="843757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4800" b="1" i="1" u="none" cap="none" spc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Fundos</a:t>
            </a:r>
            <a:r>
              <a:rPr lang="en-US" sz="4800" b="1" i="1" u="none" cap="none" spc="0" baseline="0">
                <a:ln w="9525">
                  <a:solidFill>
                    <a:srgbClr val="00B050"/>
                  </a:solidFill>
                  <a:prstDash val="solid"/>
                </a:ln>
                <a:solidFill>
                  <a:schemeClr val="tx1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 Imobiliários</a:t>
            </a:r>
            <a:endParaRPr lang="en-US" sz="4800" b="1" i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1657226</xdr:colOff>
      <xdr:row>2</xdr:row>
      <xdr:rowOff>100638</xdr:rowOff>
    </xdr:from>
    <xdr:to>
      <xdr:col>9</xdr:col>
      <xdr:colOff>2552735</xdr:colOff>
      <xdr:row>10</xdr:row>
      <xdr:rowOff>542178</xdr:rowOff>
    </xdr:to>
    <xdr:sp macro="" textlink="">
      <xdr:nvSpPr>
        <xdr:cNvPr id="2" name="Rectangle 6">
          <a:extLst>
            <a:ext uri="{FF2B5EF4-FFF2-40B4-BE49-F238E27FC236}">
              <a16:creationId xmlns:a16="http://schemas.microsoft.com/office/drawing/2014/main" id="{88103C4A-871A-4E04-822D-7DF1FA309095}"/>
            </a:ext>
          </a:extLst>
        </xdr:cNvPr>
        <xdr:cNvSpPr/>
      </xdr:nvSpPr>
      <xdr:spPr>
        <a:xfrm>
          <a:off x="18718182" y="492844"/>
          <a:ext cx="6190288" cy="23465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u="sng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2</xdr:col>
      <xdr:colOff>0</xdr:colOff>
      <xdr:row>2</xdr:row>
      <xdr:rowOff>73760</xdr:rowOff>
    </xdr:from>
    <xdr:to>
      <xdr:col>4</xdr:col>
      <xdr:colOff>784412</xdr:colOff>
      <xdr:row>10</xdr:row>
      <xdr:rowOff>28864</xdr:rowOff>
    </xdr:to>
    <xdr:sp macro="[0]!ZOOM" textlink="">
      <xdr:nvSpPr>
        <xdr:cNvPr id="3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E9BF5B-33DE-4686-B0D2-5FC060D7DE5D}"/>
            </a:ext>
          </a:extLst>
        </xdr:cNvPr>
        <xdr:cNvSpPr/>
      </xdr:nvSpPr>
      <xdr:spPr>
        <a:xfrm>
          <a:off x="3781136" y="477851"/>
          <a:ext cx="4762500" cy="1860104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5</xdr:col>
      <xdr:colOff>1293346</xdr:colOff>
      <xdr:row>2</xdr:row>
      <xdr:rowOff>67484</xdr:rowOff>
    </xdr:from>
    <xdr:to>
      <xdr:col>7</xdr:col>
      <xdr:colOff>1182560</xdr:colOff>
      <xdr:row>10</xdr:row>
      <xdr:rowOff>509024</xdr:rowOff>
    </xdr:to>
    <xdr:sp macro="" textlink="">
      <xdr:nvSpPr>
        <xdr:cNvPr id="4" name="Rectangl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9EB035-2759-4133-9998-E0865483303F}"/>
            </a:ext>
          </a:extLst>
        </xdr:cNvPr>
        <xdr:cNvSpPr/>
      </xdr:nvSpPr>
      <xdr:spPr>
        <a:xfrm>
          <a:off x="10734302" y="459690"/>
          <a:ext cx="5520170" cy="2346540"/>
        </a:xfrm>
        <a:prstGeom prst="rect">
          <a:avLst/>
        </a:prstGeom>
        <a:noFill/>
        <a:ln>
          <a:noFill/>
        </a:ln>
      </xdr:spPr>
      <xdr:txBody>
        <a:bodyPr wrap="square" lIns="90000" tIns="45720" rIns="91440" bIns="45720">
          <a:spAutoFit/>
        </a:bodyPr>
        <a:lstStyle/>
        <a:p>
          <a:pPr algn="ctr"/>
          <a:r>
            <a:rPr lang="en-US" sz="144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1039091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A484EC33-465B-49BF-876B-A51F88819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00670" cy="1636219"/>
        </a:xfrm>
        <a:prstGeom prst="rect">
          <a:avLst/>
        </a:prstGeom>
      </xdr:spPr>
    </xdr:pic>
    <xdr:clientData/>
  </xdr:twoCellAnchor>
  <xdr:twoCellAnchor>
    <xdr:from>
      <xdr:col>1</xdr:col>
      <xdr:colOff>1501758</xdr:colOff>
      <xdr:row>10</xdr:row>
      <xdr:rowOff>784412</xdr:rowOff>
    </xdr:from>
    <xdr:to>
      <xdr:col>6</xdr:col>
      <xdr:colOff>1011076</xdr:colOff>
      <xdr:row>26</xdr:row>
      <xdr:rowOff>150401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8919C2B-8D62-4F1C-8EBF-0C62483A8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608895</xdr:colOff>
      <xdr:row>11</xdr:row>
      <xdr:rowOff>168087</xdr:rowOff>
    </xdr:from>
    <xdr:to>
      <xdr:col>13</xdr:col>
      <xdr:colOff>952498</xdr:colOff>
      <xdr:row>17</xdr:row>
      <xdr:rowOff>413628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4C1957C-2149-49BD-8B61-3F44859E5D86}"/>
            </a:ext>
          </a:extLst>
        </xdr:cNvPr>
        <xdr:cNvGrpSpPr/>
      </xdr:nvGrpSpPr>
      <xdr:grpSpPr>
        <a:xfrm>
          <a:off x="31677204" y="4202205"/>
          <a:ext cx="4545809" cy="5344217"/>
          <a:chOff x="31677204" y="4146175"/>
          <a:chExt cx="4545809" cy="5344217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BCE81F31-C8E6-4CAF-83B0-B3581C23C57E}"/>
              </a:ext>
            </a:extLst>
          </xdr:cNvPr>
          <xdr:cNvGrpSpPr/>
        </xdr:nvGrpSpPr>
        <xdr:grpSpPr>
          <a:xfrm>
            <a:off x="31992796" y="4146175"/>
            <a:ext cx="4006101" cy="3305735"/>
            <a:chOff x="30824979" y="3359204"/>
            <a:chExt cx="7005151" cy="6136398"/>
          </a:xfrm>
        </xdr:grpSpPr>
        <xdr:pic macro="[0]!Balancear_Carteira_show">
          <xdr:nvPicPr>
            <xdr:cNvPr id="8" name="Gráfico 7" descr="Pesquisa">
              <a:extLst>
                <a:ext uri="{FF2B5EF4-FFF2-40B4-BE49-F238E27FC236}">
                  <a16:creationId xmlns:a16="http://schemas.microsoft.com/office/drawing/2014/main" id="{1C05B965-4135-4FD5-A1D0-FBA568E31E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31721136" y="3359204"/>
              <a:ext cx="4820226" cy="4809205"/>
            </a:xfrm>
            <a:prstGeom prst="rect">
              <a:avLst/>
            </a:prstGeom>
          </xdr:spPr>
        </xdr:pic>
        <xdr:sp macro="[0]!Balancear_Carteira_show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B764E108-3C2E-446E-9426-A6D4C92C5038}"/>
                </a:ext>
              </a:extLst>
            </xdr:cNvPr>
            <xdr:cNvSpPr/>
          </xdr:nvSpPr>
          <xdr:spPr>
            <a:xfrm>
              <a:off x="30824979" y="8073910"/>
              <a:ext cx="7005151" cy="1421692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noAutofit/>
            </a:bodyPr>
            <a:lstStyle/>
            <a:p>
              <a:pPr algn="ctr"/>
              <a:r>
                <a:rPr lang="pt-BR" sz="3900" b="1" cap="none" spc="0">
                  <a:ln w="0"/>
                  <a:solidFill>
                    <a:srgbClr val="00B05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Balancear Carteira</a:t>
              </a:r>
            </a:p>
          </xdr:txBody>
        </xdr:sp>
      </xdr:grp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F3830660-DF38-45D1-B6BE-86A631DA4F2E}"/>
              </a:ext>
            </a:extLst>
          </xdr:cNvPr>
          <xdr:cNvSpPr/>
        </xdr:nvSpPr>
        <xdr:spPr>
          <a:xfrm>
            <a:off x="31677204" y="7879566"/>
            <a:ext cx="4545809" cy="161082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3300" b="1" i="1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Recomendação</a:t>
            </a:r>
            <a:r>
              <a:rPr lang="pt-BR" sz="3300" b="1" i="1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:</a:t>
            </a:r>
            <a:r>
              <a:rPr lang="pt-BR" sz="3300" b="1" i="1" cap="none" spc="0" baseline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r>
              <a:rPr lang="pt-BR" sz="3200" b="1" i="1" cap="none" spc="0" baseline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dividir sua Carteira em partes iguais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1161116</xdr:colOff>
      <xdr:row>2</xdr:row>
      <xdr:rowOff>49990</xdr:rowOff>
    </xdr:from>
    <xdr:to>
      <xdr:col>13</xdr:col>
      <xdr:colOff>498238</xdr:colOff>
      <xdr:row>10</xdr:row>
      <xdr:rowOff>58124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5CD9A2-700A-4512-909B-BA20216894DE}"/>
            </a:ext>
          </a:extLst>
        </xdr:cNvPr>
        <xdr:cNvSpPr/>
      </xdr:nvSpPr>
      <xdr:spPr>
        <a:xfrm>
          <a:off x="16766782" y="430990"/>
          <a:ext cx="5677200" cy="1970861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2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Graphic</a:t>
          </a:r>
          <a:endParaRPr lang="en-US" sz="10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1</xdr:col>
      <xdr:colOff>1743316</xdr:colOff>
      <xdr:row>2</xdr:row>
      <xdr:rowOff>73760</xdr:rowOff>
    </xdr:from>
    <xdr:to>
      <xdr:col>4</xdr:col>
      <xdr:colOff>236755</xdr:colOff>
      <xdr:row>9</xdr:row>
      <xdr:rowOff>1932</xdr:rowOff>
    </xdr:to>
    <xdr:sp macro="" textlink="">
      <xdr:nvSpPr>
        <xdr:cNvPr id="3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182EF5-66A5-492E-A55D-6581E672584F}"/>
            </a:ext>
          </a:extLst>
        </xdr:cNvPr>
        <xdr:cNvSpPr/>
      </xdr:nvSpPr>
      <xdr:spPr>
        <a:xfrm>
          <a:off x="1907838" y="454760"/>
          <a:ext cx="4227382" cy="150715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2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Home</a:t>
          </a:r>
          <a:endParaRPr lang="en-US" sz="10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6</xdr:col>
      <xdr:colOff>308421</xdr:colOff>
      <xdr:row>2</xdr:row>
      <xdr:rowOff>14567</xdr:rowOff>
    </xdr:from>
    <xdr:to>
      <xdr:col>7</xdr:col>
      <xdr:colOff>2089888</xdr:colOff>
      <xdr:row>10</xdr:row>
      <xdr:rowOff>22701</xdr:rowOff>
    </xdr:to>
    <xdr:sp macro="" textlink="">
      <xdr:nvSpPr>
        <xdr:cNvPr id="4" name="Rectangle 10">
          <a:extLst>
            <a:ext uri="{FF2B5EF4-FFF2-40B4-BE49-F238E27FC236}">
              <a16:creationId xmlns:a16="http://schemas.microsoft.com/office/drawing/2014/main" id="{9F3E98BD-91A3-4E4B-9DC3-82A0AE9D5454}"/>
            </a:ext>
          </a:extLst>
        </xdr:cNvPr>
        <xdr:cNvSpPr/>
      </xdr:nvSpPr>
      <xdr:spPr>
        <a:xfrm>
          <a:off x="9375753" y="395567"/>
          <a:ext cx="4002162" cy="1970861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2000" b="1" i="0" u="sng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Table</a:t>
          </a:r>
          <a:endParaRPr lang="en-US" sz="10000" b="1" i="0" u="sng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166687</xdr:colOff>
      <xdr:row>2</xdr:row>
      <xdr:rowOff>166687</xdr:rowOff>
    </xdr:from>
    <xdr:to>
      <xdr:col>20</xdr:col>
      <xdr:colOff>2139304</xdr:colOff>
      <xdr:row>10</xdr:row>
      <xdr:rowOff>23812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02E6AAB-D989-4CF5-AF60-2EE308899F32}"/>
            </a:ext>
          </a:extLst>
        </xdr:cNvPr>
        <xdr:cNvGrpSpPr/>
      </xdr:nvGrpSpPr>
      <xdr:grpSpPr>
        <a:xfrm>
          <a:off x="32402859" y="523875"/>
          <a:ext cx="6883945" cy="1643062"/>
          <a:chOff x="29394218" y="210601"/>
          <a:chExt cx="7843268" cy="2210690"/>
        </a:xfrm>
      </xdr:grpSpPr>
      <xdr:sp macro="" textlink="">
        <xdr:nvSpPr>
          <xdr:cNvPr id="11" name="Seta: Divisa 10">
            <a:extLst>
              <a:ext uri="{FF2B5EF4-FFF2-40B4-BE49-F238E27FC236}">
                <a16:creationId xmlns:a16="http://schemas.microsoft.com/office/drawing/2014/main" id="{5E02CE3A-0C3E-4023-BF63-31CBB99CDC31}"/>
              </a:ext>
            </a:extLst>
          </xdr:cNvPr>
          <xdr:cNvSpPr/>
        </xdr:nvSpPr>
        <xdr:spPr>
          <a:xfrm>
            <a:off x="29394218" y="342119"/>
            <a:ext cx="7843268" cy="2079172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dd_Investiment_show" textlink="">
        <xdr:nvSpPr>
          <xdr:cNvPr id="5" name="Rectangle 15">
            <a:extLst>
              <a:ext uri="{FF2B5EF4-FFF2-40B4-BE49-F238E27FC236}">
                <a16:creationId xmlns:a16="http://schemas.microsoft.com/office/drawing/2014/main" id="{28733CD1-40F0-4D10-A7E6-B55CA32A7EB0}"/>
              </a:ext>
            </a:extLst>
          </xdr:cNvPr>
          <xdr:cNvSpPr/>
        </xdr:nvSpPr>
        <xdr:spPr>
          <a:xfrm>
            <a:off x="30089319" y="210601"/>
            <a:ext cx="6891616" cy="2199511"/>
          </a:xfrm>
          <a:prstGeom prst="rect">
            <a:avLst/>
          </a:prstGeom>
          <a:noFill/>
          <a:ln>
            <a:noFill/>
          </a:ln>
          <a:effectLst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5400" b="0" i="1" cap="none" spc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Add Investment</a:t>
            </a:r>
          </a:p>
        </xdr:txBody>
      </xdr:sp>
    </xdr:grpSp>
    <xdr:clientData/>
  </xdr:twoCellAnchor>
  <xdr:twoCellAnchor editAs="absolute">
    <xdr:from>
      <xdr:col>0</xdr:col>
      <xdr:colOff>55865</xdr:colOff>
      <xdr:row>0</xdr:row>
      <xdr:rowOff>28863</xdr:rowOff>
    </xdr:from>
    <xdr:to>
      <xdr:col>1</xdr:col>
      <xdr:colOff>1394318</xdr:colOff>
      <xdr:row>8</xdr:row>
      <xdr:rowOff>19627</xdr:rowOff>
    </xdr:to>
    <xdr:pic macro="[0]!ZOOM">
      <xdr:nvPicPr>
        <xdr:cNvPr id="7" name="Gráfico 6" descr="Olho">
          <a:extLst>
            <a:ext uri="{FF2B5EF4-FFF2-40B4-BE49-F238E27FC236}">
              <a16:creationId xmlns:a16="http://schemas.microsoft.com/office/drawing/2014/main" id="{A3741BA9-4EAB-4C62-BB5C-CB69D6A5D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865" y="28863"/>
          <a:ext cx="1607128" cy="14656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1293032</xdr:colOff>
      <xdr:row>2</xdr:row>
      <xdr:rowOff>100638</xdr:rowOff>
    </xdr:from>
    <xdr:to>
      <xdr:col>8</xdr:col>
      <xdr:colOff>1547599</xdr:colOff>
      <xdr:row>10</xdr:row>
      <xdr:rowOff>542178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D66A0A-BC88-4BD4-86FA-8D6D3ADBDE49}"/>
            </a:ext>
          </a:extLst>
        </xdr:cNvPr>
        <xdr:cNvSpPr/>
      </xdr:nvSpPr>
      <xdr:spPr>
        <a:xfrm>
          <a:off x="18633015" y="481638"/>
          <a:ext cx="6285012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1</xdr:col>
      <xdr:colOff>2381250</xdr:colOff>
      <xdr:row>2</xdr:row>
      <xdr:rowOff>73760</xdr:rowOff>
    </xdr:from>
    <xdr:to>
      <xdr:col>2</xdr:col>
      <xdr:colOff>4202206</xdr:colOff>
      <xdr:row>10</xdr:row>
      <xdr:rowOff>461818</xdr:rowOff>
    </xdr:to>
    <xdr:sp macro="[0]!ZOOM" textlink="">
      <xdr:nvSpPr>
        <xdr:cNvPr id="3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93043A-8215-4CDA-9696-EED345D7A02E}"/>
            </a:ext>
          </a:extLst>
        </xdr:cNvPr>
        <xdr:cNvSpPr/>
      </xdr:nvSpPr>
      <xdr:spPr>
        <a:xfrm>
          <a:off x="3257550" y="454760"/>
          <a:ext cx="4746812" cy="225495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3</xdr:col>
      <xdr:colOff>2497977</xdr:colOff>
      <xdr:row>2</xdr:row>
      <xdr:rowOff>67484</xdr:rowOff>
    </xdr:from>
    <xdr:to>
      <xdr:col>5</xdr:col>
      <xdr:colOff>2243722</xdr:colOff>
      <xdr:row>10</xdr:row>
      <xdr:rowOff>509024</xdr:rowOff>
    </xdr:to>
    <xdr:sp macro="" textlink="">
      <xdr:nvSpPr>
        <xdr:cNvPr id="4" name="Rectangle 10">
          <a:extLst>
            <a:ext uri="{FF2B5EF4-FFF2-40B4-BE49-F238E27FC236}">
              <a16:creationId xmlns:a16="http://schemas.microsoft.com/office/drawing/2014/main" id="{1CF2C02F-9B6D-47AE-9268-8030EFAC0F74}"/>
            </a:ext>
          </a:extLst>
        </xdr:cNvPr>
        <xdr:cNvSpPr/>
      </xdr:nvSpPr>
      <xdr:spPr>
        <a:xfrm>
          <a:off x="10769599" y="448484"/>
          <a:ext cx="5404156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i="0" u="sng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1023810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E43DAF82-949E-4B4D-BEBE-AE10FA3F1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00110" cy="16362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900826</xdr:colOff>
      <xdr:row>2</xdr:row>
      <xdr:rowOff>100638</xdr:rowOff>
    </xdr:from>
    <xdr:to>
      <xdr:col>5</xdr:col>
      <xdr:colOff>3508628</xdr:colOff>
      <xdr:row>10</xdr:row>
      <xdr:rowOff>542178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596D52-EC01-4E8C-A1DA-52E5A831EDB8}"/>
            </a:ext>
          </a:extLst>
        </xdr:cNvPr>
        <xdr:cNvSpPr/>
      </xdr:nvSpPr>
      <xdr:spPr>
        <a:xfrm>
          <a:off x="18633015" y="481638"/>
          <a:ext cx="6285012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1</xdr:col>
      <xdr:colOff>2381250</xdr:colOff>
      <xdr:row>2</xdr:row>
      <xdr:rowOff>73760</xdr:rowOff>
    </xdr:from>
    <xdr:to>
      <xdr:col>1</xdr:col>
      <xdr:colOff>7143750</xdr:colOff>
      <xdr:row>10</xdr:row>
      <xdr:rowOff>461818</xdr:rowOff>
    </xdr:to>
    <xdr:sp macro="[0]!ZOOM" textlink="">
      <xdr:nvSpPr>
        <xdr:cNvPr id="3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01B540-7AE5-46E8-BF30-3CCBFE271ADF}"/>
            </a:ext>
          </a:extLst>
        </xdr:cNvPr>
        <xdr:cNvSpPr/>
      </xdr:nvSpPr>
      <xdr:spPr>
        <a:xfrm>
          <a:off x="3257550" y="454760"/>
          <a:ext cx="4746812" cy="225495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2</xdr:col>
      <xdr:colOff>677021</xdr:colOff>
      <xdr:row>2</xdr:row>
      <xdr:rowOff>67484</xdr:rowOff>
    </xdr:from>
    <xdr:to>
      <xdr:col>3</xdr:col>
      <xdr:colOff>1291222</xdr:colOff>
      <xdr:row>10</xdr:row>
      <xdr:rowOff>509024</xdr:rowOff>
    </xdr:to>
    <xdr:sp macro="" textlink="">
      <xdr:nvSpPr>
        <xdr:cNvPr id="4" name="Rectangle 10">
          <a:extLst>
            <a:ext uri="{FF2B5EF4-FFF2-40B4-BE49-F238E27FC236}">
              <a16:creationId xmlns:a16="http://schemas.microsoft.com/office/drawing/2014/main" id="{CA300081-5865-4BDE-A36D-5C7F0CFECA3A}"/>
            </a:ext>
          </a:extLst>
        </xdr:cNvPr>
        <xdr:cNvSpPr/>
      </xdr:nvSpPr>
      <xdr:spPr>
        <a:xfrm>
          <a:off x="10769599" y="448484"/>
          <a:ext cx="5404156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1023810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A54A6950-D14C-4FCA-B15E-6597F61A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00110" cy="1636219"/>
        </a:xfrm>
        <a:prstGeom prst="rect">
          <a:avLst/>
        </a:prstGeom>
      </xdr:spPr>
    </xdr:pic>
    <xdr:clientData/>
  </xdr:twoCellAnchor>
  <xdr:twoCellAnchor editAs="absolute">
    <xdr:from>
      <xdr:col>6</xdr:col>
      <xdr:colOff>1220872</xdr:colOff>
      <xdr:row>4</xdr:row>
      <xdr:rowOff>28014</xdr:rowOff>
    </xdr:from>
    <xdr:to>
      <xdr:col>7</xdr:col>
      <xdr:colOff>739839</xdr:colOff>
      <xdr:row>8</xdr:row>
      <xdr:rowOff>168088</xdr:rowOff>
    </xdr:to>
    <xdr:sp macro="" textlink="">
      <xdr:nvSpPr>
        <xdr:cNvPr id="7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1BD26F-A41F-4B4D-8599-F3EFFBE16406}"/>
            </a:ext>
          </a:extLst>
        </xdr:cNvPr>
        <xdr:cNvSpPr/>
      </xdr:nvSpPr>
      <xdr:spPr>
        <a:xfrm>
          <a:off x="26378078" y="812426"/>
          <a:ext cx="3581099" cy="924486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Ações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2493309</xdr:colOff>
      <xdr:row>3</xdr:row>
      <xdr:rowOff>28013</xdr:rowOff>
    </xdr:from>
    <xdr:to>
      <xdr:col>9</xdr:col>
      <xdr:colOff>448235</xdr:colOff>
      <xdr:row>9</xdr:row>
      <xdr:rowOff>2863</xdr:rowOff>
    </xdr:to>
    <xdr:sp macro="" textlink="">
      <xdr:nvSpPr>
        <xdr:cNvPr id="9" name="Rectangl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7C895B-BE74-400D-B8C8-AC2088926D66}"/>
            </a:ext>
          </a:extLst>
        </xdr:cNvPr>
        <xdr:cNvSpPr/>
      </xdr:nvSpPr>
      <xdr:spPr>
        <a:xfrm>
          <a:off x="31712647" y="616322"/>
          <a:ext cx="5210735" cy="1319556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Fundos Imobiliários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6</xdr:col>
      <xdr:colOff>588308</xdr:colOff>
      <xdr:row>8</xdr:row>
      <xdr:rowOff>84044</xdr:rowOff>
    </xdr:from>
    <xdr:to>
      <xdr:col>7</xdr:col>
      <xdr:colOff>2297205</xdr:colOff>
      <xdr:row>10</xdr:row>
      <xdr:rowOff>756397</xdr:rowOff>
    </xdr:to>
    <xdr:sp macro="" textlink="">
      <xdr:nvSpPr>
        <xdr:cNvPr id="10" name="Rectangle 10">
          <a:extLst>
            <a:ext uri="{FF2B5EF4-FFF2-40B4-BE49-F238E27FC236}">
              <a16:creationId xmlns:a16="http://schemas.microsoft.com/office/drawing/2014/main" id="{9E20D3E7-DA7C-4F8D-88EA-C550B4A06E77}"/>
            </a:ext>
          </a:extLst>
        </xdr:cNvPr>
        <xdr:cNvSpPr/>
      </xdr:nvSpPr>
      <xdr:spPr>
        <a:xfrm>
          <a:off x="25745514" y="1652868"/>
          <a:ext cx="5771029" cy="1400735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500" b="1" i="1" u="sng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Dinheiro</a:t>
          </a:r>
          <a:r>
            <a:rPr lang="en-US" sz="5500" b="1" i="1" u="sng" cap="none" spc="0" baseline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em Caixa</a:t>
          </a:r>
          <a:endParaRPr lang="en-US" sz="5500" b="1" i="1" u="sng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2882153</xdr:colOff>
      <xdr:row>9</xdr:row>
      <xdr:rowOff>168087</xdr:rowOff>
    </xdr:from>
    <xdr:to>
      <xdr:col>9</xdr:col>
      <xdr:colOff>837079</xdr:colOff>
      <xdr:row>10</xdr:row>
      <xdr:rowOff>447736</xdr:rowOff>
    </xdr:to>
    <xdr:sp macro="" textlink="">
      <xdr:nvSpPr>
        <xdr:cNvPr id="11" name="Rectangl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5E4ADDF-3F65-49A6-BADB-979D62D8D0EA}"/>
            </a:ext>
          </a:extLst>
        </xdr:cNvPr>
        <xdr:cNvSpPr/>
      </xdr:nvSpPr>
      <xdr:spPr>
        <a:xfrm>
          <a:off x="32101491" y="2101102"/>
          <a:ext cx="5210735" cy="643840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Cryptomoedas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6</xdr:col>
      <xdr:colOff>112059</xdr:colOff>
      <xdr:row>10</xdr:row>
      <xdr:rowOff>28014</xdr:rowOff>
    </xdr:from>
    <xdr:to>
      <xdr:col>6</xdr:col>
      <xdr:colOff>644340</xdr:colOff>
      <xdr:row>10</xdr:row>
      <xdr:rowOff>196103</xdr:rowOff>
    </xdr:to>
    <xdr:sp macro="" textlink="">
      <xdr:nvSpPr>
        <xdr:cNvPr id="15" name="Seta: para a Direita 14">
          <a:extLst>
            <a:ext uri="{FF2B5EF4-FFF2-40B4-BE49-F238E27FC236}">
              <a16:creationId xmlns:a16="http://schemas.microsoft.com/office/drawing/2014/main" id="{9B7211FD-DF61-4CC8-BB7F-0A8952A831C3}"/>
            </a:ext>
          </a:extLst>
        </xdr:cNvPr>
        <xdr:cNvSpPr/>
      </xdr:nvSpPr>
      <xdr:spPr>
        <a:xfrm>
          <a:off x="25269265" y="2325220"/>
          <a:ext cx="532281" cy="168089"/>
        </a:xfrm>
        <a:prstGeom prst="rightArrow">
          <a:avLst>
            <a:gd name="adj1" fmla="val 50000"/>
            <a:gd name="adj2" fmla="val 42593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1545165</xdr:colOff>
      <xdr:row>2</xdr:row>
      <xdr:rowOff>100638</xdr:rowOff>
    </xdr:from>
    <xdr:to>
      <xdr:col>11</xdr:col>
      <xdr:colOff>1267452</xdr:colOff>
      <xdr:row>10</xdr:row>
      <xdr:rowOff>542178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09658B-C5EF-41EB-9384-21BB7F251ADB}"/>
            </a:ext>
          </a:extLst>
        </xdr:cNvPr>
        <xdr:cNvSpPr/>
      </xdr:nvSpPr>
      <xdr:spPr>
        <a:xfrm>
          <a:off x="18633015" y="481638"/>
          <a:ext cx="6285012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2</xdr:col>
      <xdr:colOff>0</xdr:colOff>
      <xdr:row>2</xdr:row>
      <xdr:rowOff>73760</xdr:rowOff>
    </xdr:from>
    <xdr:to>
      <xdr:col>4</xdr:col>
      <xdr:colOff>784412</xdr:colOff>
      <xdr:row>10</xdr:row>
      <xdr:rowOff>461818</xdr:rowOff>
    </xdr:to>
    <xdr:sp macro="[0]!ZOOM" textlink="">
      <xdr:nvSpPr>
        <xdr:cNvPr id="3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5FA0B8-5883-4607-A551-58470F7F9D7C}"/>
            </a:ext>
          </a:extLst>
        </xdr:cNvPr>
        <xdr:cNvSpPr/>
      </xdr:nvSpPr>
      <xdr:spPr>
        <a:xfrm>
          <a:off x="3257550" y="454760"/>
          <a:ext cx="4746812" cy="225495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5</xdr:col>
      <xdr:colOff>1349374</xdr:colOff>
      <xdr:row>2</xdr:row>
      <xdr:rowOff>67484</xdr:rowOff>
    </xdr:from>
    <xdr:to>
      <xdr:col>7</xdr:col>
      <xdr:colOff>1067105</xdr:colOff>
      <xdr:row>10</xdr:row>
      <xdr:rowOff>509024</xdr:rowOff>
    </xdr:to>
    <xdr:sp macro="" textlink="">
      <xdr:nvSpPr>
        <xdr:cNvPr id="4" name="Rectangle 10">
          <a:extLst>
            <a:ext uri="{FF2B5EF4-FFF2-40B4-BE49-F238E27FC236}">
              <a16:creationId xmlns:a16="http://schemas.microsoft.com/office/drawing/2014/main" id="{53B59775-21F9-4FDA-BD79-A62487213DF3}"/>
            </a:ext>
          </a:extLst>
        </xdr:cNvPr>
        <xdr:cNvSpPr/>
      </xdr:nvSpPr>
      <xdr:spPr>
        <a:xfrm>
          <a:off x="10769599" y="448484"/>
          <a:ext cx="5404156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1023810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92D69C59-1C7A-40AD-8F44-CEE36B334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00110" cy="1636219"/>
        </a:xfrm>
        <a:prstGeom prst="rect">
          <a:avLst/>
        </a:prstGeom>
      </xdr:spPr>
    </xdr:pic>
    <xdr:clientData/>
  </xdr:twoCellAnchor>
  <xdr:twoCellAnchor>
    <xdr:from>
      <xdr:col>12</xdr:col>
      <xdr:colOff>688593</xdr:colOff>
      <xdr:row>4</xdr:row>
      <xdr:rowOff>28014</xdr:rowOff>
    </xdr:from>
    <xdr:to>
      <xdr:col>13</xdr:col>
      <xdr:colOff>2056530</xdr:colOff>
      <xdr:row>8</xdr:row>
      <xdr:rowOff>168088</xdr:rowOff>
    </xdr:to>
    <xdr:sp macro="" textlink="">
      <xdr:nvSpPr>
        <xdr:cNvPr id="6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D5EBF1F-C35B-4347-8EFA-2934D548DF7D}"/>
            </a:ext>
          </a:extLst>
        </xdr:cNvPr>
        <xdr:cNvSpPr/>
      </xdr:nvSpPr>
      <xdr:spPr>
        <a:xfrm>
          <a:off x="26320368" y="790014"/>
          <a:ext cx="3568212" cy="902074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Ações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672354</xdr:colOff>
      <xdr:row>3</xdr:row>
      <xdr:rowOff>28013</xdr:rowOff>
    </xdr:from>
    <xdr:to>
      <xdr:col>17</xdr:col>
      <xdr:colOff>448236</xdr:colOff>
      <xdr:row>9</xdr:row>
      <xdr:rowOff>2863</xdr:rowOff>
    </xdr:to>
    <xdr:sp macro="" textlink="">
      <xdr:nvSpPr>
        <xdr:cNvPr id="7" name="Rectangle 10">
          <a:extLst>
            <a:ext uri="{FF2B5EF4-FFF2-40B4-BE49-F238E27FC236}">
              <a16:creationId xmlns:a16="http://schemas.microsoft.com/office/drawing/2014/main" id="{55B03534-6BC0-4C0E-A9AD-AE158821D1DA}"/>
            </a:ext>
          </a:extLst>
        </xdr:cNvPr>
        <xdr:cNvSpPr/>
      </xdr:nvSpPr>
      <xdr:spPr>
        <a:xfrm>
          <a:off x="30956251" y="616322"/>
          <a:ext cx="5967132" cy="1319556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500" b="1" i="1" u="sng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Fundos Imobiliários</a:t>
          </a:r>
          <a:endParaRPr lang="en-US" sz="5500" b="1" i="1" u="sng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56029</xdr:colOff>
      <xdr:row>8</xdr:row>
      <xdr:rowOff>196104</xdr:rowOff>
    </xdr:from>
    <xdr:to>
      <xdr:col>14</xdr:col>
      <xdr:colOff>1232646</xdr:colOff>
      <xdr:row>10</xdr:row>
      <xdr:rowOff>868457</xdr:rowOff>
    </xdr:to>
    <xdr:sp macro="" textlink="">
      <xdr:nvSpPr>
        <xdr:cNvPr id="8" name="Rectangl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4A96BC-21DD-4A40-9585-B27DA6900859}"/>
            </a:ext>
          </a:extLst>
        </xdr:cNvPr>
        <xdr:cNvSpPr/>
      </xdr:nvSpPr>
      <xdr:spPr>
        <a:xfrm>
          <a:off x="25745514" y="1764928"/>
          <a:ext cx="5771029" cy="1400735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Dinheiro</a:t>
          </a:r>
          <a:r>
            <a:rPr lang="en-US" sz="4600" b="1" i="1" u="none" cap="none" spc="0" baseline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em Caixa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1817594</xdr:colOff>
      <xdr:row>9</xdr:row>
      <xdr:rowOff>168087</xdr:rowOff>
    </xdr:from>
    <xdr:to>
      <xdr:col>17</xdr:col>
      <xdr:colOff>837079</xdr:colOff>
      <xdr:row>10</xdr:row>
      <xdr:rowOff>447736</xdr:rowOff>
    </xdr:to>
    <xdr:sp macro="" textlink="">
      <xdr:nvSpPr>
        <xdr:cNvPr id="9" name="Rectangl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269B64A-AA90-4246-BAD4-22314228AA44}"/>
            </a:ext>
          </a:extLst>
        </xdr:cNvPr>
        <xdr:cNvSpPr/>
      </xdr:nvSpPr>
      <xdr:spPr>
        <a:xfrm>
          <a:off x="32030894" y="2054037"/>
          <a:ext cx="5182160" cy="641599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Cryptomoedas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112059</xdr:colOff>
      <xdr:row>6</xdr:row>
      <xdr:rowOff>28014</xdr:rowOff>
    </xdr:from>
    <xdr:to>
      <xdr:col>14</xdr:col>
      <xdr:colOff>644340</xdr:colOff>
      <xdr:row>7</xdr:row>
      <xdr:rowOff>0</xdr:rowOff>
    </xdr:to>
    <xdr:sp macro="" textlink="">
      <xdr:nvSpPr>
        <xdr:cNvPr id="10" name="Seta: para a Direita 9">
          <a:extLst>
            <a:ext uri="{FF2B5EF4-FFF2-40B4-BE49-F238E27FC236}">
              <a16:creationId xmlns:a16="http://schemas.microsoft.com/office/drawing/2014/main" id="{E354A4AE-659E-49E0-90CB-C3F5B0347F34}"/>
            </a:ext>
          </a:extLst>
        </xdr:cNvPr>
        <xdr:cNvSpPr/>
      </xdr:nvSpPr>
      <xdr:spPr>
        <a:xfrm>
          <a:off x="30395956" y="1204632"/>
          <a:ext cx="532281" cy="168089"/>
        </a:xfrm>
        <a:prstGeom prst="rightArrow">
          <a:avLst>
            <a:gd name="adj1" fmla="val 50000"/>
            <a:gd name="adj2" fmla="val 42593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1545165</xdr:colOff>
      <xdr:row>2</xdr:row>
      <xdr:rowOff>100638</xdr:rowOff>
    </xdr:from>
    <xdr:to>
      <xdr:col>11</xdr:col>
      <xdr:colOff>1267452</xdr:colOff>
      <xdr:row>10</xdr:row>
      <xdr:rowOff>542178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952444-2352-4BCE-B4B6-97F26E51D46C}"/>
            </a:ext>
          </a:extLst>
        </xdr:cNvPr>
        <xdr:cNvSpPr/>
      </xdr:nvSpPr>
      <xdr:spPr>
        <a:xfrm>
          <a:off x="18633015" y="481638"/>
          <a:ext cx="6285012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Gráfico</a:t>
          </a:r>
        </a:p>
      </xdr:txBody>
    </xdr:sp>
    <xdr:clientData/>
  </xdr:twoCellAnchor>
  <xdr:twoCellAnchor editAs="absolute">
    <xdr:from>
      <xdr:col>2</xdr:col>
      <xdr:colOff>0</xdr:colOff>
      <xdr:row>2</xdr:row>
      <xdr:rowOff>73760</xdr:rowOff>
    </xdr:from>
    <xdr:to>
      <xdr:col>4</xdr:col>
      <xdr:colOff>784412</xdr:colOff>
      <xdr:row>10</xdr:row>
      <xdr:rowOff>461818</xdr:rowOff>
    </xdr:to>
    <xdr:sp macro="[0]!ZOOM" textlink="">
      <xdr:nvSpPr>
        <xdr:cNvPr id="3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60A653-5D1A-48F8-8F87-67E0103746D5}"/>
            </a:ext>
          </a:extLst>
        </xdr:cNvPr>
        <xdr:cNvSpPr/>
      </xdr:nvSpPr>
      <xdr:spPr>
        <a:xfrm>
          <a:off x="3257550" y="454760"/>
          <a:ext cx="4746812" cy="225495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44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5</xdr:col>
      <xdr:colOff>1349374</xdr:colOff>
      <xdr:row>2</xdr:row>
      <xdr:rowOff>67484</xdr:rowOff>
    </xdr:from>
    <xdr:to>
      <xdr:col>7</xdr:col>
      <xdr:colOff>1067105</xdr:colOff>
      <xdr:row>10</xdr:row>
      <xdr:rowOff>509024</xdr:rowOff>
    </xdr:to>
    <xdr:sp macro="" textlink="">
      <xdr:nvSpPr>
        <xdr:cNvPr id="4" name="Rectangle 10">
          <a:extLst>
            <a:ext uri="{FF2B5EF4-FFF2-40B4-BE49-F238E27FC236}">
              <a16:creationId xmlns:a16="http://schemas.microsoft.com/office/drawing/2014/main" id="{F06E6128-1D0C-4EA1-A1E2-851822A1A3CF}"/>
            </a:ext>
          </a:extLst>
        </xdr:cNvPr>
        <xdr:cNvSpPr/>
      </xdr:nvSpPr>
      <xdr:spPr>
        <a:xfrm>
          <a:off x="10769599" y="448484"/>
          <a:ext cx="5404156" cy="230844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4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Tabela</a:t>
          </a:r>
        </a:p>
      </xdr:txBody>
    </xdr:sp>
    <xdr:clientData/>
  </xdr:twoCellAnchor>
  <xdr:twoCellAnchor editAs="absolute">
    <xdr:from>
      <xdr:col>0</xdr:col>
      <xdr:colOff>0</xdr:colOff>
      <xdr:row>0</xdr:row>
      <xdr:rowOff>51486</xdr:rowOff>
    </xdr:from>
    <xdr:to>
      <xdr:col>1</xdr:col>
      <xdr:colOff>1023810</xdr:colOff>
      <xdr:row>8</xdr:row>
      <xdr:rowOff>163705</xdr:rowOff>
    </xdr:to>
    <xdr:pic macro="[0]!Trinta_e_tres">
      <xdr:nvPicPr>
        <xdr:cNvPr id="5" name="Gráfico 4" descr="Olho">
          <a:extLst>
            <a:ext uri="{FF2B5EF4-FFF2-40B4-BE49-F238E27FC236}">
              <a16:creationId xmlns:a16="http://schemas.microsoft.com/office/drawing/2014/main" id="{7E0292D5-0559-41CD-9FA0-710960816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1486"/>
          <a:ext cx="1900110" cy="1636219"/>
        </a:xfrm>
        <a:prstGeom prst="rect">
          <a:avLst/>
        </a:prstGeom>
      </xdr:spPr>
    </xdr:pic>
    <xdr:clientData/>
  </xdr:twoCellAnchor>
  <xdr:twoCellAnchor>
    <xdr:from>
      <xdr:col>12</xdr:col>
      <xdr:colOff>688593</xdr:colOff>
      <xdr:row>4</xdr:row>
      <xdr:rowOff>28014</xdr:rowOff>
    </xdr:from>
    <xdr:to>
      <xdr:col>13</xdr:col>
      <xdr:colOff>2056530</xdr:colOff>
      <xdr:row>8</xdr:row>
      <xdr:rowOff>168088</xdr:rowOff>
    </xdr:to>
    <xdr:sp macro="" textlink="">
      <xdr:nvSpPr>
        <xdr:cNvPr id="6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5AD4EC-C55C-479A-BF89-8C972D13ECF9}"/>
            </a:ext>
          </a:extLst>
        </xdr:cNvPr>
        <xdr:cNvSpPr/>
      </xdr:nvSpPr>
      <xdr:spPr>
        <a:xfrm>
          <a:off x="26320368" y="790014"/>
          <a:ext cx="3568212" cy="902074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Ações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1540803</xdr:colOff>
      <xdr:row>3</xdr:row>
      <xdr:rowOff>28013</xdr:rowOff>
    </xdr:from>
    <xdr:to>
      <xdr:col>17</xdr:col>
      <xdr:colOff>308161</xdr:colOff>
      <xdr:row>9</xdr:row>
      <xdr:rowOff>2863</xdr:rowOff>
    </xdr:to>
    <xdr:sp macro="" textlink="">
      <xdr:nvSpPr>
        <xdr:cNvPr id="7" name="Rectangl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0E5D0D1-F7F0-4AEB-94AA-EBD42B7F46AA}"/>
            </a:ext>
          </a:extLst>
        </xdr:cNvPr>
        <xdr:cNvSpPr/>
      </xdr:nvSpPr>
      <xdr:spPr>
        <a:xfrm>
          <a:off x="31824700" y="616322"/>
          <a:ext cx="4958608" cy="1319556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Fundos Imobiliários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56029</xdr:colOff>
      <xdr:row>8</xdr:row>
      <xdr:rowOff>196104</xdr:rowOff>
    </xdr:from>
    <xdr:to>
      <xdr:col>14</xdr:col>
      <xdr:colOff>1232646</xdr:colOff>
      <xdr:row>10</xdr:row>
      <xdr:rowOff>868457</xdr:rowOff>
    </xdr:to>
    <xdr:sp macro="" textlink="">
      <xdr:nvSpPr>
        <xdr:cNvPr id="8" name="Rectangl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066C3A7-A65E-4431-B0EB-58205423E692}"/>
            </a:ext>
          </a:extLst>
        </xdr:cNvPr>
        <xdr:cNvSpPr/>
      </xdr:nvSpPr>
      <xdr:spPr>
        <a:xfrm>
          <a:off x="25745514" y="1764928"/>
          <a:ext cx="5771029" cy="1400735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600" b="1" i="1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Dinheiro</a:t>
          </a:r>
          <a:r>
            <a:rPr lang="en-US" sz="4600" b="1" i="1" u="none" cap="none" spc="0" baseline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em Caixa</a:t>
          </a:r>
          <a:endParaRPr lang="en-US" sz="4600" b="1" i="1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1817594</xdr:colOff>
      <xdr:row>9</xdr:row>
      <xdr:rowOff>28012</xdr:rowOff>
    </xdr:from>
    <xdr:to>
      <xdr:col>17</xdr:col>
      <xdr:colOff>837079</xdr:colOff>
      <xdr:row>10</xdr:row>
      <xdr:rowOff>307661</xdr:rowOff>
    </xdr:to>
    <xdr:sp macro="" textlink="">
      <xdr:nvSpPr>
        <xdr:cNvPr id="9" name="Rectangle 10">
          <a:extLst>
            <a:ext uri="{FF2B5EF4-FFF2-40B4-BE49-F238E27FC236}">
              <a16:creationId xmlns:a16="http://schemas.microsoft.com/office/drawing/2014/main" id="{25C875AE-11B4-480F-8A01-86C705442B92}"/>
            </a:ext>
          </a:extLst>
        </xdr:cNvPr>
        <xdr:cNvSpPr/>
      </xdr:nvSpPr>
      <xdr:spPr>
        <a:xfrm>
          <a:off x="32101491" y="1961027"/>
          <a:ext cx="5210735" cy="643840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500" b="1" i="1" u="sng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Cryptomoedas</a:t>
          </a:r>
          <a:endParaRPr lang="en-US" sz="5500" b="1" i="1" u="sng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1428750</xdr:colOff>
      <xdr:row>9</xdr:row>
      <xdr:rowOff>336174</xdr:rowOff>
    </xdr:from>
    <xdr:to>
      <xdr:col>14</xdr:col>
      <xdr:colOff>1961031</xdr:colOff>
      <xdr:row>10</xdr:row>
      <xdr:rowOff>140072</xdr:rowOff>
    </xdr:to>
    <xdr:sp macro="" textlink="">
      <xdr:nvSpPr>
        <xdr:cNvPr id="10" name="Seta: para a Direita 9">
          <a:extLst>
            <a:ext uri="{FF2B5EF4-FFF2-40B4-BE49-F238E27FC236}">
              <a16:creationId xmlns:a16="http://schemas.microsoft.com/office/drawing/2014/main" id="{13B58F77-FD73-4982-86EB-80A2AC201852}"/>
            </a:ext>
          </a:extLst>
        </xdr:cNvPr>
        <xdr:cNvSpPr/>
      </xdr:nvSpPr>
      <xdr:spPr>
        <a:xfrm>
          <a:off x="31712647" y="2269189"/>
          <a:ext cx="532281" cy="168089"/>
        </a:xfrm>
        <a:prstGeom prst="rightArrow">
          <a:avLst>
            <a:gd name="adj1" fmla="val 50000"/>
            <a:gd name="adj2" fmla="val 42593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1096-BD4A-4148-93E1-DBCA77B53DF7}">
  <sheetPr codeName="Planilha7"/>
  <dimension ref="A1:XFC105"/>
  <sheetViews>
    <sheetView tabSelected="1" zoomScale="34" zoomScaleNormal="34" workbookViewId="0"/>
  </sheetViews>
  <sheetFormatPr defaultColWidth="0" defaultRowHeight="0" customHeight="1" zeroHeight="1" x14ac:dyDescent="0.25"/>
  <cols>
    <col min="1" max="1" width="13.140625" style="37" customWidth="1"/>
    <col min="2" max="2" width="18" style="37" customWidth="1"/>
    <col min="3" max="3" width="12" style="37" customWidth="1"/>
    <col min="4" max="4" width="79.5703125" style="37" customWidth="1"/>
    <col min="5" max="5" width="94.7109375" style="37" customWidth="1"/>
    <col min="6" max="6" width="96.28515625" style="37" customWidth="1"/>
    <col min="7" max="7" width="99.140625" style="37" customWidth="1"/>
    <col min="8" max="8" width="106.28515625" style="37" customWidth="1"/>
    <col min="9" max="9" width="91.85546875" style="37" customWidth="1"/>
    <col min="10" max="10" width="69.85546875" style="37" customWidth="1"/>
    <col min="11" max="11" width="60.85546875" style="37" customWidth="1"/>
    <col min="12" max="12" width="29.7109375" style="37" customWidth="1"/>
    <col min="13" max="13" width="33" style="37" bestFit="1" customWidth="1"/>
    <col min="14" max="14" width="35.7109375" style="37" customWidth="1"/>
    <col min="15" max="16" width="29.7109375" style="37" customWidth="1"/>
    <col min="17" max="17" width="33" style="37" bestFit="1" customWidth="1"/>
    <col min="18" max="18" width="30.7109375" style="37" customWidth="1"/>
    <col min="19" max="22" width="0" style="37" hidden="1" customWidth="1"/>
    <col min="23" max="16383" width="9.140625" style="37" hidden="1"/>
    <col min="16384" max="16384" width="14.28515625" style="37" hidden="1" customWidth="1"/>
  </cols>
  <sheetData>
    <row r="1" spans="1:18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  <c r="R1" s="35"/>
    </row>
    <row r="2" spans="1:18" ht="15" x14ac:dyDescent="0.25">
      <c r="A2" s="35"/>
      <c r="B2" s="35"/>
      <c r="C2" s="35"/>
      <c r="D2" s="35"/>
      <c r="E2" s="35"/>
      <c r="F2" s="35"/>
      <c r="G2" s="35" t="s">
        <v>3</v>
      </c>
      <c r="H2" s="35"/>
      <c r="I2" s="35"/>
      <c r="J2" s="35"/>
      <c r="K2" s="35"/>
      <c r="L2" s="38"/>
      <c r="M2" s="39"/>
      <c r="N2" s="39"/>
      <c r="O2" s="39"/>
      <c r="P2" s="39"/>
      <c r="Q2" s="40"/>
      <c r="R2" s="35"/>
    </row>
    <row r="3" spans="1:18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0"/>
      <c r="M3" s="39"/>
      <c r="N3" s="39"/>
      <c r="O3" s="39"/>
      <c r="P3" s="39"/>
      <c r="Q3" s="40"/>
      <c r="R3" s="35"/>
    </row>
    <row r="4" spans="1:18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0"/>
      <c r="M4" s="39"/>
      <c r="N4" s="39"/>
      <c r="O4" s="39"/>
      <c r="P4" s="39"/>
      <c r="Q4" s="40"/>
      <c r="R4" s="35"/>
    </row>
    <row r="5" spans="1:18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0"/>
      <c r="M5" s="39"/>
      <c r="N5" s="39"/>
      <c r="O5" s="39"/>
      <c r="P5" s="39"/>
      <c r="Q5" s="40"/>
      <c r="R5" s="35"/>
    </row>
    <row r="6" spans="1:18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0"/>
      <c r="M6" s="40"/>
      <c r="N6" s="40"/>
      <c r="O6" s="40"/>
      <c r="P6" s="40"/>
      <c r="Q6" s="40"/>
      <c r="R6" s="35"/>
    </row>
    <row r="7" spans="1:18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8"/>
      <c r="M7" s="38"/>
      <c r="N7" s="38"/>
      <c r="O7" s="38"/>
      <c r="P7" s="38"/>
      <c r="Q7" s="38"/>
      <c r="R7" s="35"/>
    </row>
    <row r="8" spans="1:18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8"/>
      <c r="M8" s="38"/>
      <c r="N8" s="38"/>
      <c r="O8" s="38"/>
      <c r="P8" s="38"/>
      <c r="Q8" s="38"/>
      <c r="R8" s="35"/>
    </row>
    <row r="9" spans="1:18" ht="28.5" x14ac:dyDescent="0.45">
      <c r="A9" s="35"/>
      <c r="B9" s="42"/>
      <c r="C9" s="43"/>
      <c r="D9" s="43"/>
      <c r="E9" s="43"/>
      <c r="F9" s="43"/>
      <c r="G9" s="43"/>
      <c r="H9" s="43"/>
      <c r="I9" s="43"/>
      <c r="J9" s="43"/>
      <c r="K9" s="44"/>
      <c r="L9" s="43"/>
      <c r="M9" s="43"/>
      <c r="N9" s="43"/>
      <c r="O9" s="43"/>
      <c r="P9" s="43"/>
      <c r="Q9" s="43"/>
      <c r="R9" s="35"/>
    </row>
    <row r="10" spans="1:18" ht="28.5" x14ac:dyDescent="0.45">
      <c r="A10" s="35"/>
      <c r="B10" s="42" t="s">
        <v>0</v>
      </c>
      <c r="C10" s="43"/>
      <c r="D10" s="43"/>
      <c r="E10" s="43"/>
      <c r="F10" s="43"/>
      <c r="G10" s="43"/>
      <c r="H10" s="45"/>
      <c r="I10" s="45"/>
      <c r="J10" s="45"/>
      <c r="K10" s="45"/>
      <c r="L10" s="46"/>
      <c r="M10" s="47"/>
      <c r="N10" s="47"/>
      <c r="O10" s="47"/>
      <c r="P10" s="47"/>
      <c r="Q10" s="47"/>
      <c r="R10" s="35"/>
    </row>
    <row r="11" spans="1:18" ht="135.75" customHeight="1" x14ac:dyDescent="1.35">
      <c r="A11" s="129">
        <v>3.9199999999999999E-2</v>
      </c>
      <c r="B11" s="48"/>
      <c r="C11" s="45"/>
      <c r="D11" s="45"/>
      <c r="E11" s="45"/>
      <c r="F11" s="109"/>
      <c r="G11" s="210" t="s">
        <v>84</v>
      </c>
      <c r="H11" s="51"/>
      <c r="I11" s="52"/>
      <c r="J11" s="52"/>
      <c r="K11" s="52"/>
      <c r="L11" s="52"/>
      <c r="M11" s="53"/>
      <c r="N11" s="45"/>
      <c r="O11" s="45"/>
      <c r="P11" s="45"/>
      <c r="Q11" s="45"/>
      <c r="R11" s="35"/>
    </row>
    <row r="12" spans="1:18" ht="109.5" customHeight="1" x14ac:dyDescent="1.35">
      <c r="A12" s="54"/>
      <c r="B12" s="49"/>
      <c r="C12" s="49"/>
      <c r="D12" s="110"/>
      <c r="E12" s="52"/>
      <c r="F12" s="136">
        <v>1</v>
      </c>
      <c r="G12" s="136">
        <v>49243017870</v>
      </c>
      <c r="H12" s="136" t="s">
        <v>82</v>
      </c>
      <c r="I12" s="214"/>
      <c r="J12" s="214"/>
      <c r="K12" s="214"/>
      <c r="L12" s="55"/>
      <c r="M12" s="49"/>
      <c r="N12" s="49"/>
      <c r="O12" s="49"/>
      <c r="P12" s="49"/>
      <c r="Q12" s="49"/>
      <c r="R12" s="38"/>
    </row>
    <row r="13" spans="1:18" ht="99.75" customHeight="1" x14ac:dyDescent="0.55000000000000004">
      <c r="A13" s="41"/>
      <c r="B13" s="56"/>
      <c r="C13" s="57"/>
      <c r="D13" s="212" t="s">
        <v>26</v>
      </c>
      <c r="E13" s="212"/>
      <c r="F13" s="212"/>
      <c r="G13" s="212"/>
      <c r="H13" s="212"/>
      <c r="I13" s="114"/>
      <c r="J13" s="114"/>
      <c r="K13" s="114"/>
      <c r="L13" s="58"/>
      <c r="M13" s="56"/>
      <c r="N13" s="56"/>
      <c r="O13" s="56"/>
      <c r="P13" s="56"/>
      <c r="Q13" s="56"/>
      <c r="R13" s="38"/>
    </row>
    <row r="14" spans="1:18" ht="46.5" customHeight="1" thickBot="1" x14ac:dyDescent="0.5">
      <c r="A14" s="59"/>
      <c r="B14" s="60"/>
      <c r="C14" s="62"/>
      <c r="D14" s="213"/>
      <c r="E14" s="213"/>
      <c r="F14" s="213"/>
      <c r="G14" s="213"/>
      <c r="H14" s="213"/>
      <c r="I14" s="117"/>
      <c r="J14" s="115"/>
      <c r="K14" s="113"/>
      <c r="L14" s="64"/>
      <c r="M14" s="65"/>
      <c r="N14" s="60"/>
      <c r="O14" s="61"/>
      <c r="P14" s="61"/>
      <c r="Q14" s="65"/>
      <c r="R14" s="38"/>
    </row>
    <row r="15" spans="1:18" ht="103.5" customHeight="1" thickBot="1" x14ac:dyDescent="1.4">
      <c r="A15" s="59"/>
      <c r="B15" s="60"/>
      <c r="C15" s="62"/>
      <c r="D15" s="111"/>
      <c r="E15" s="105" t="s">
        <v>7</v>
      </c>
      <c r="F15" s="105" t="s">
        <v>23</v>
      </c>
      <c r="G15" s="105" t="s">
        <v>5</v>
      </c>
      <c r="H15" s="106" t="s">
        <v>6</v>
      </c>
      <c r="I15" s="116"/>
      <c r="J15" s="96"/>
      <c r="K15" s="63"/>
      <c r="L15" s="64"/>
      <c r="M15" s="65"/>
      <c r="N15" s="60"/>
      <c r="O15" s="61"/>
      <c r="P15" s="61"/>
      <c r="Q15" s="65"/>
      <c r="R15" s="38"/>
    </row>
    <row r="16" spans="1:18" ht="96.75" customHeight="1" thickBot="1" x14ac:dyDescent="1.4">
      <c r="A16" s="59"/>
      <c r="B16" s="60"/>
      <c r="C16" s="62"/>
      <c r="D16" s="107" t="s">
        <v>17</v>
      </c>
      <c r="E16" s="104">
        <f>IF(TUDO!F14&lt;&gt;"",SUMPRODUCT(TUDO!E14:E99,TUDO!F14:F99)/Grapic!J14,"-")</f>
        <v>0.15189305369636824</v>
      </c>
      <c r="F16" s="104">
        <f>IF(TUDO!K14&lt;&gt;"",SUMPRODUCT(TUDO!J14:J99,TUDO!K14:K99)/Grapic!J15,"-")</f>
        <v>3.7230283405293073E-2</v>
      </c>
      <c r="G16" s="99">
        <f>IF(TUDO!P14&lt;&gt;"",SUMPRODUCT(TUDO!O14:O99,TUDO!P14:P99)/Grapic!J16,"-")</f>
        <v>0.63212435233160624</v>
      </c>
      <c r="H16" s="100">
        <f>IF(TUDO!U14&lt;&gt;"",SUMPRODUCT(TUDO!T14:T99,TUDO!U14:U99)/Grapic!J17,"-")</f>
        <v>3.491379310344829E-2</v>
      </c>
      <c r="I16" s="108"/>
      <c r="J16" s="96"/>
      <c r="K16" s="63"/>
      <c r="L16" s="64"/>
      <c r="M16" s="65"/>
      <c r="N16" s="60"/>
      <c r="O16" s="61"/>
      <c r="P16" s="61"/>
      <c r="Q16" s="65"/>
      <c r="R16" s="38"/>
    </row>
    <row r="17" spans="1:18" ht="103.5" customHeight="1" thickBot="1" x14ac:dyDescent="1.4">
      <c r="A17" s="59"/>
      <c r="B17" s="60"/>
      <c r="C17" s="62"/>
      <c r="D17" s="103" t="s">
        <v>25</v>
      </c>
      <c r="E17" s="105">
        <f>IF(E16 &lt;&gt;"-",((1+E16)/(1+$A$11))-1,"-")</f>
        <v>0.10844212249458085</v>
      </c>
      <c r="F17" s="105">
        <f t="shared" ref="F17:H17" si="0">IF(F16 &lt;&gt;"-",((1+F16)/(1+$A$11))-1,"-")</f>
        <v>-1.8954162766616767E-3</v>
      </c>
      <c r="G17" s="105">
        <f t="shared" si="0"/>
        <v>0.57055846067321636</v>
      </c>
      <c r="H17" s="106">
        <f t="shared" si="0"/>
        <v>-4.1245254970666556E-3</v>
      </c>
      <c r="I17" s="108"/>
      <c r="J17" s="96"/>
      <c r="K17" s="63"/>
      <c r="L17" s="64"/>
      <c r="M17" s="65"/>
      <c r="N17" s="60"/>
      <c r="O17" s="61"/>
      <c r="P17" s="61"/>
      <c r="Q17" s="65"/>
      <c r="R17" s="38"/>
    </row>
    <row r="18" spans="1:18" ht="92.25" customHeight="1" thickBot="1" x14ac:dyDescent="1.4">
      <c r="A18" s="59"/>
      <c r="B18" s="60"/>
      <c r="C18" s="62"/>
      <c r="D18" s="107" t="s">
        <v>24</v>
      </c>
      <c r="E18" s="101">
        <f>IF(E17&lt;&gt;"-",SUM(TUDO!E14:E99) - SUM(TUDO!D14:D99),"-")</f>
        <v>164.15000000000009</v>
      </c>
      <c r="F18" s="101">
        <f>IF(F17&lt;&gt;"-",SUM(TUDO!J14:J99) - SUM(TUDO!I14:I99),"-")</f>
        <v>145.26000000000022</v>
      </c>
      <c r="G18" s="101">
        <f>IF(G17&lt;&gt;"-",SUM(TUDO!O14:O99) - SUM(TUDO!N14:N99),"-")</f>
        <v>244</v>
      </c>
      <c r="H18" s="102">
        <f>IF(H17&lt;&gt;"-",SUM(TUDO!T14:T99) -SUM(TUDO!S14:S99),"-")</f>
        <v>124.26000000000002</v>
      </c>
      <c r="I18" s="108"/>
      <c r="J18" s="97"/>
      <c r="K18" s="66"/>
      <c r="L18" s="64"/>
      <c r="M18" s="65"/>
      <c r="N18" s="60"/>
      <c r="O18" s="61"/>
      <c r="P18" s="61"/>
      <c r="Q18" s="65"/>
      <c r="R18" s="38"/>
    </row>
    <row r="19" spans="1:18" ht="101.25" customHeight="1" x14ac:dyDescent="0.45">
      <c r="A19" s="59"/>
      <c r="B19" s="60"/>
      <c r="C19" s="62"/>
      <c r="D19" s="112"/>
      <c r="E19" s="124"/>
      <c r="F19" s="125"/>
      <c r="G19" s="126"/>
      <c r="H19" s="126"/>
      <c r="I19" s="118"/>
      <c r="J19" s="60"/>
      <c r="K19" s="61"/>
      <c r="L19" s="64"/>
      <c r="M19" s="65"/>
      <c r="N19" s="60"/>
      <c r="O19" s="61"/>
      <c r="P19" s="61"/>
      <c r="Q19" s="65"/>
      <c r="R19" s="38"/>
    </row>
    <row r="20" spans="1:18" ht="61.5" x14ac:dyDescent="0.45">
      <c r="A20" s="59"/>
      <c r="B20" s="67"/>
      <c r="C20" s="62"/>
      <c r="D20" s="112"/>
      <c r="E20" s="127"/>
      <c r="F20" s="128"/>
      <c r="G20" s="128"/>
      <c r="H20" s="128"/>
      <c r="I20" s="121"/>
      <c r="J20" s="60"/>
      <c r="K20" s="61"/>
      <c r="L20" s="64"/>
      <c r="M20" s="65"/>
      <c r="N20" s="60"/>
      <c r="O20" s="61"/>
      <c r="P20" s="61"/>
      <c r="Q20" s="65"/>
      <c r="R20" s="38"/>
    </row>
    <row r="21" spans="1:18" ht="28.5" x14ac:dyDescent="0.45">
      <c r="A21" s="59"/>
      <c r="B21" s="67"/>
      <c r="C21" s="61"/>
      <c r="D21" s="119"/>
      <c r="E21" s="120"/>
      <c r="F21" s="98"/>
      <c r="G21" s="122"/>
      <c r="H21" s="123"/>
      <c r="I21" s="32"/>
      <c r="J21" s="60"/>
      <c r="K21" s="61"/>
      <c r="L21" s="64"/>
      <c r="M21" s="65"/>
      <c r="N21" s="60"/>
      <c r="O21" s="61"/>
      <c r="P21" s="61"/>
      <c r="Q21" s="65"/>
      <c r="R21" s="38"/>
    </row>
    <row r="22" spans="1:18" ht="28.5" x14ac:dyDescent="0.45">
      <c r="A22" s="59"/>
      <c r="B22" s="67"/>
      <c r="C22" s="61"/>
      <c r="D22" s="61"/>
      <c r="E22" s="65"/>
      <c r="F22" s="60"/>
      <c r="G22" s="61"/>
      <c r="H22" s="62"/>
      <c r="I22" s="32"/>
      <c r="J22" s="60"/>
      <c r="K22" s="61"/>
      <c r="L22" s="64"/>
      <c r="M22" s="65"/>
      <c r="N22" s="60"/>
      <c r="O22" s="61"/>
      <c r="P22" s="61"/>
      <c r="Q22" s="65"/>
      <c r="R22" s="38"/>
    </row>
    <row r="23" spans="1:18" ht="28.5" x14ac:dyDescent="0.45">
      <c r="A23" s="59"/>
      <c r="B23" s="67"/>
      <c r="C23" s="61"/>
      <c r="D23" s="61"/>
      <c r="E23" s="65"/>
      <c r="F23" s="60"/>
      <c r="G23" s="61"/>
      <c r="H23" s="62"/>
      <c r="I23" s="32"/>
      <c r="J23" s="60"/>
      <c r="K23" s="61"/>
      <c r="L23" s="64"/>
      <c r="M23" s="65"/>
      <c r="N23" s="60"/>
      <c r="O23" s="61"/>
      <c r="P23" s="61"/>
      <c r="Q23" s="65"/>
      <c r="R23" s="38"/>
    </row>
    <row r="24" spans="1:18" ht="28.5" x14ac:dyDescent="0.45">
      <c r="A24" s="59"/>
      <c r="B24" s="67"/>
      <c r="C24" s="61"/>
      <c r="D24" s="61"/>
      <c r="E24" s="65"/>
      <c r="F24" s="60"/>
      <c r="G24" s="61"/>
      <c r="H24" s="61"/>
      <c r="I24" s="32"/>
      <c r="J24" s="60"/>
      <c r="K24" s="61"/>
      <c r="L24" s="61"/>
      <c r="M24" s="65"/>
      <c r="N24" s="60"/>
      <c r="O24" s="61"/>
      <c r="P24" s="61"/>
      <c r="Q24" s="65"/>
      <c r="R24" s="38"/>
    </row>
    <row r="25" spans="1:18" ht="28.5" x14ac:dyDescent="0.45">
      <c r="A25" s="59"/>
      <c r="B25" s="67"/>
      <c r="C25" s="61"/>
      <c r="D25" s="61"/>
      <c r="E25" s="65"/>
      <c r="F25" s="60"/>
      <c r="G25" s="61"/>
      <c r="H25" s="61"/>
      <c r="I25" s="32"/>
      <c r="J25" s="60"/>
      <c r="K25" s="61"/>
      <c r="L25" s="61"/>
      <c r="M25" s="65"/>
      <c r="N25" s="60"/>
      <c r="O25" s="61"/>
      <c r="P25" s="61"/>
      <c r="Q25" s="65"/>
      <c r="R25" s="38"/>
    </row>
    <row r="26" spans="1:18" ht="28.5" x14ac:dyDescent="0.45">
      <c r="A26" s="59"/>
      <c r="B26" s="67"/>
      <c r="C26" s="61"/>
      <c r="D26" s="61"/>
      <c r="E26" s="65"/>
      <c r="F26" s="60"/>
      <c r="G26" s="61"/>
      <c r="H26" s="61"/>
      <c r="I26" s="32"/>
      <c r="J26" s="60"/>
      <c r="K26" s="61"/>
      <c r="L26" s="61"/>
      <c r="M26" s="65"/>
      <c r="N26" s="60"/>
      <c r="O26" s="61"/>
      <c r="P26" s="61"/>
      <c r="Q26" s="65"/>
      <c r="R26" s="38"/>
    </row>
    <row r="27" spans="1:18" ht="28.5" x14ac:dyDescent="0.45">
      <c r="A27" s="59"/>
      <c r="B27" s="67"/>
      <c r="C27" s="61"/>
      <c r="D27" s="61"/>
      <c r="E27" s="65"/>
      <c r="F27" s="60"/>
      <c r="G27" s="61"/>
      <c r="H27" s="61"/>
      <c r="I27" s="32"/>
      <c r="J27" s="60"/>
      <c r="K27" s="61"/>
      <c r="L27" s="61"/>
      <c r="M27" s="65"/>
      <c r="N27" s="60"/>
      <c r="O27" s="61"/>
      <c r="P27" s="61"/>
      <c r="Q27" s="65"/>
      <c r="R27" s="38"/>
    </row>
    <row r="28" spans="1:18" ht="28.5" x14ac:dyDescent="0.45">
      <c r="A28" s="59"/>
      <c r="B28" s="67"/>
      <c r="C28" s="61"/>
      <c r="D28" s="61"/>
      <c r="E28" s="65"/>
      <c r="F28" s="60"/>
      <c r="G28" s="61"/>
      <c r="H28" s="61"/>
      <c r="I28" s="32"/>
      <c r="J28" s="60"/>
      <c r="K28" s="61"/>
      <c r="L28" s="61"/>
      <c r="M28" s="65"/>
      <c r="N28" s="60"/>
      <c r="O28" s="61"/>
      <c r="P28" s="61"/>
      <c r="Q28" s="65"/>
      <c r="R28" s="38"/>
    </row>
    <row r="29" spans="1:18" ht="28.5" x14ac:dyDescent="0.45">
      <c r="A29" s="59"/>
      <c r="B29" s="67"/>
      <c r="C29" s="61"/>
      <c r="D29" s="61"/>
      <c r="E29" s="65"/>
      <c r="F29" s="60"/>
      <c r="G29" s="61"/>
      <c r="H29" s="61"/>
      <c r="I29" s="32"/>
      <c r="J29" s="60"/>
      <c r="K29" s="61"/>
      <c r="L29" s="61"/>
      <c r="M29" s="65"/>
      <c r="N29" s="60"/>
      <c r="O29" s="61"/>
      <c r="P29" s="61"/>
      <c r="Q29" s="65"/>
      <c r="R29" s="38"/>
    </row>
    <row r="30" spans="1:18" ht="28.5" x14ac:dyDescent="0.45">
      <c r="A30" s="59"/>
      <c r="B30" s="67"/>
      <c r="C30" s="61"/>
      <c r="D30" s="61"/>
      <c r="E30" s="65"/>
      <c r="F30" s="60"/>
      <c r="G30" s="61"/>
      <c r="H30" s="61"/>
      <c r="I30" s="32"/>
      <c r="J30" s="60"/>
      <c r="K30" s="61"/>
      <c r="L30" s="61"/>
      <c r="M30" s="65"/>
      <c r="N30" s="60"/>
      <c r="O30" s="61"/>
      <c r="P30" s="61"/>
      <c r="Q30" s="65"/>
      <c r="R30" s="38"/>
    </row>
    <row r="31" spans="1:18" ht="28.5" x14ac:dyDescent="0.45">
      <c r="A31" s="59"/>
      <c r="B31" s="67"/>
      <c r="C31" s="61"/>
      <c r="D31" s="61"/>
      <c r="E31" s="65"/>
      <c r="F31" s="60"/>
      <c r="G31" s="61"/>
      <c r="H31" s="61"/>
      <c r="I31" s="32"/>
      <c r="J31" s="60"/>
      <c r="K31" s="61"/>
      <c r="L31" s="61"/>
      <c r="M31" s="65"/>
      <c r="N31" s="60"/>
      <c r="O31" s="61"/>
      <c r="P31" s="61"/>
      <c r="Q31" s="65"/>
      <c r="R31" s="38"/>
    </row>
    <row r="32" spans="1:18" ht="28.5" x14ac:dyDescent="0.45">
      <c r="A32" s="59"/>
      <c r="B32" s="67"/>
      <c r="C32" s="61"/>
      <c r="D32" s="61"/>
      <c r="E32" s="65"/>
      <c r="F32" s="60"/>
      <c r="G32" s="61"/>
      <c r="H32" s="61"/>
      <c r="I32" s="32"/>
      <c r="J32" s="60"/>
      <c r="K32" s="61"/>
      <c r="L32" s="61"/>
      <c r="M32" s="65"/>
      <c r="N32" s="60"/>
      <c r="O32" s="61"/>
      <c r="P32" s="61"/>
      <c r="Q32" s="65"/>
      <c r="R32" s="38"/>
    </row>
    <row r="33" spans="1:18" ht="28.5" x14ac:dyDescent="0.45">
      <c r="A33" s="59"/>
      <c r="B33" s="67"/>
      <c r="C33" s="61"/>
      <c r="D33" s="61"/>
      <c r="E33" s="65"/>
      <c r="F33" s="60"/>
      <c r="G33" s="61"/>
      <c r="H33" s="61"/>
      <c r="I33" s="32"/>
      <c r="J33" s="60"/>
      <c r="K33" s="61"/>
      <c r="L33" s="61"/>
      <c r="M33" s="65"/>
      <c r="N33" s="60"/>
      <c r="O33" s="61"/>
      <c r="P33" s="61"/>
      <c r="Q33" s="65"/>
      <c r="R33" s="38"/>
    </row>
    <row r="34" spans="1:18" ht="28.5" x14ac:dyDescent="0.45">
      <c r="A34" s="59"/>
      <c r="B34" s="67"/>
      <c r="C34" s="61"/>
      <c r="D34" s="61"/>
      <c r="E34" s="65"/>
      <c r="F34" s="60"/>
      <c r="G34" s="61"/>
      <c r="H34" s="61"/>
      <c r="I34" s="32"/>
      <c r="J34" s="60"/>
      <c r="K34" s="61"/>
      <c r="L34" s="61"/>
      <c r="M34" s="65"/>
      <c r="N34" s="60"/>
      <c r="O34" s="61"/>
      <c r="P34" s="61"/>
      <c r="Q34" s="65"/>
      <c r="R34" s="38"/>
    </row>
    <row r="35" spans="1:18" ht="28.5" x14ac:dyDescent="0.45">
      <c r="A35" s="59"/>
      <c r="B35" s="67"/>
      <c r="C35" s="61"/>
      <c r="D35" s="61"/>
      <c r="E35" s="65"/>
      <c r="F35" s="60"/>
      <c r="G35" s="61"/>
      <c r="H35" s="61"/>
      <c r="I35" s="32"/>
      <c r="J35" s="60"/>
      <c r="K35" s="61"/>
      <c r="L35" s="61"/>
      <c r="M35" s="65"/>
      <c r="N35" s="60"/>
      <c r="O35" s="61"/>
      <c r="P35" s="61"/>
      <c r="Q35" s="65"/>
      <c r="R35" s="38"/>
    </row>
    <row r="36" spans="1:18" ht="28.5" x14ac:dyDescent="0.45">
      <c r="A36" s="59"/>
      <c r="B36" s="67"/>
      <c r="C36" s="61"/>
      <c r="D36" s="61"/>
      <c r="E36" s="65"/>
      <c r="F36" s="60"/>
      <c r="G36" s="61"/>
      <c r="H36" s="61"/>
      <c r="I36" s="32"/>
      <c r="J36" s="60"/>
      <c r="K36" s="61"/>
      <c r="L36" s="61"/>
      <c r="M36" s="65"/>
      <c r="N36" s="60"/>
      <c r="O36" s="61"/>
      <c r="P36" s="61"/>
      <c r="Q36" s="65"/>
      <c r="R36" s="38"/>
    </row>
    <row r="37" spans="1:18" ht="28.5" x14ac:dyDescent="0.45">
      <c r="A37" s="59"/>
      <c r="B37" s="67"/>
      <c r="C37" s="61"/>
      <c r="D37" s="61"/>
      <c r="E37" s="65"/>
      <c r="F37" s="60"/>
      <c r="G37" s="61"/>
      <c r="H37" s="61"/>
      <c r="I37" s="32"/>
      <c r="J37" s="60"/>
      <c r="K37" s="61"/>
      <c r="L37" s="61"/>
      <c r="M37" s="65"/>
      <c r="N37" s="60"/>
      <c r="O37" s="61"/>
      <c r="P37" s="61"/>
      <c r="Q37" s="65"/>
      <c r="R37" s="38"/>
    </row>
    <row r="38" spans="1:18" ht="28.5" x14ac:dyDescent="0.45">
      <c r="A38" s="59"/>
      <c r="B38" s="67"/>
      <c r="C38" s="61"/>
      <c r="D38" s="61"/>
      <c r="E38" s="65"/>
      <c r="F38" s="60"/>
      <c r="G38" s="61"/>
      <c r="H38" s="61"/>
      <c r="I38" s="32"/>
      <c r="J38" s="60"/>
      <c r="K38" s="61"/>
      <c r="L38" s="61"/>
      <c r="M38" s="65"/>
      <c r="N38" s="60"/>
      <c r="O38" s="61"/>
      <c r="P38" s="61"/>
      <c r="Q38" s="65"/>
      <c r="R38" s="38"/>
    </row>
    <row r="39" spans="1:18" ht="28.5" x14ac:dyDescent="0.45">
      <c r="A39" s="59"/>
      <c r="B39" s="67"/>
      <c r="C39" s="61"/>
      <c r="D39" s="61"/>
      <c r="E39" s="65"/>
      <c r="F39" s="60"/>
      <c r="G39" s="61"/>
      <c r="H39" s="61"/>
      <c r="I39" s="32"/>
      <c r="J39" s="60"/>
      <c r="K39" s="61"/>
      <c r="L39" s="61"/>
      <c r="M39" s="65"/>
      <c r="N39" s="60"/>
      <c r="O39" s="61"/>
      <c r="P39" s="61"/>
      <c r="Q39" s="65"/>
      <c r="R39" s="38"/>
    </row>
    <row r="40" spans="1:18" ht="28.5" x14ac:dyDescent="0.45">
      <c r="A40" s="59"/>
      <c r="B40" s="67"/>
      <c r="C40" s="61"/>
      <c r="D40" s="61"/>
      <c r="E40" s="65"/>
      <c r="F40" s="60"/>
      <c r="G40" s="61"/>
      <c r="H40" s="61"/>
      <c r="I40" s="32"/>
      <c r="J40" s="60"/>
      <c r="K40" s="61"/>
      <c r="L40" s="61"/>
      <c r="M40" s="65"/>
      <c r="N40" s="60"/>
      <c r="O40" s="61"/>
      <c r="P40" s="61"/>
      <c r="Q40" s="65"/>
      <c r="R40" s="38"/>
    </row>
    <row r="41" spans="1:18" ht="28.5" x14ac:dyDescent="0.45">
      <c r="A41" s="59"/>
      <c r="B41" s="67"/>
      <c r="C41" s="61"/>
      <c r="D41" s="61"/>
      <c r="E41" s="65"/>
      <c r="F41" s="60"/>
      <c r="G41" s="61"/>
      <c r="H41" s="61"/>
      <c r="I41" s="32"/>
      <c r="J41" s="60"/>
      <c r="K41" s="61"/>
      <c r="L41" s="61"/>
      <c r="M41" s="65"/>
      <c r="N41" s="60"/>
      <c r="O41" s="61"/>
      <c r="P41" s="61"/>
      <c r="Q41" s="65"/>
      <c r="R41" s="38"/>
    </row>
    <row r="42" spans="1:18" ht="28.5" x14ac:dyDescent="0.45">
      <c r="A42" s="59"/>
      <c r="B42" s="67"/>
      <c r="C42" s="61"/>
      <c r="D42" s="61"/>
      <c r="E42" s="65"/>
      <c r="F42" s="60"/>
      <c r="G42" s="61"/>
      <c r="H42" s="61"/>
      <c r="I42" s="32"/>
      <c r="J42" s="60"/>
      <c r="K42" s="61"/>
      <c r="L42" s="61"/>
      <c r="M42" s="65"/>
      <c r="N42" s="60"/>
      <c r="O42" s="61"/>
      <c r="P42" s="61"/>
      <c r="Q42" s="65"/>
      <c r="R42" s="38"/>
    </row>
    <row r="43" spans="1:18" ht="28.5" x14ac:dyDescent="0.45">
      <c r="A43" s="59"/>
      <c r="B43" s="67"/>
      <c r="C43" s="61"/>
      <c r="D43" s="61"/>
      <c r="E43" s="65"/>
      <c r="F43" s="60"/>
      <c r="G43" s="61"/>
      <c r="H43" s="61"/>
      <c r="I43" s="32"/>
      <c r="J43" s="60"/>
      <c r="K43" s="61"/>
      <c r="L43" s="61"/>
      <c r="M43" s="65"/>
      <c r="N43" s="60"/>
      <c r="O43" s="61"/>
      <c r="P43" s="61"/>
      <c r="Q43" s="65"/>
      <c r="R43" s="38"/>
    </row>
    <row r="44" spans="1:18" ht="28.5" x14ac:dyDescent="0.45">
      <c r="A44" s="59"/>
      <c r="B44" s="67"/>
      <c r="C44" s="61"/>
      <c r="D44" s="61"/>
      <c r="E44" s="65"/>
      <c r="F44" s="60"/>
      <c r="G44" s="61"/>
      <c r="H44" s="61"/>
      <c r="I44" s="32"/>
      <c r="J44" s="60"/>
      <c r="K44" s="61"/>
      <c r="L44" s="61"/>
      <c r="M44" s="65"/>
      <c r="N44" s="60"/>
      <c r="O44" s="61"/>
      <c r="P44" s="61"/>
      <c r="Q44" s="65"/>
      <c r="R44" s="38"/>
    </row>
    <row r="45" spans="1:18" ht="28.5" x14ac:dyDescent="0.45">
      <c r="A45" s="59"/>
      <c r="B45" s="67"/>
      <c r="C45" s="61"/>
      <c r="D45" s="61"/>
      <c r="E45" s="65"/>
      <c r="F45" s="60"/>
      <c r="G45" s="61"/>
      <c r="H45" s="61"/>
      <c r="I45" s="32"/>
      <c r="J45" s="60"/>
      <c r="K45" s="61"/>
      <c r="L45" s="61"/>
      <c r="M45" s="65"/>
      <c r="N45" s="60"/>
      <c r="O45" s="61"/>
      <c r="P45" s="61"/>
      <c r="Q45" s="65"/>
      <c r="R45" s="38"/>
    </row>
    <row r="46" spans="1:18" ht="28.5" x14ac:dyDescent="0.45">
      <c r="A46" s="59"/>
      <c r="B46" s="67"/>
      <c r="C46" s="61"/>
      <c r="D46" s="61"/>
      <c r="E46" s="65"/>
      <c r="F46" s="60"/>
      <c r="G46" s="61"/>
      <c r="H46" s="61"/>
      <c r="I46" s="32"/>
      <c r="J46" s="60"/>
      <c r="K46" s="61"/>
      <c r="L46" s="61"/>
      <c r="M46" s="65"/>
      <c r="N46" s="60"/>
      <c r="O46" s="61"/>
      <c r="P46" s="61"/>
      <c r="Q46" s="65"/>
      <c r="R46" s="38"/>
    </row>
    <row r="47" spans="1:18" ht="28.5" x14ac:dyDescent="0.45">
      <c r="A47" s="59"/>
      <c r="B47" s="67"/>
      <c r="C47" s="61"/>
      <c r="D47" s="61"/>
      <c r="E47" s="65"/>
      <c r="F47" s="60"/>
      <c r="G47" s="61"/>
      <c r="H47" s="61"/>
      <c r="I47" s="32"/>
      <c r="J47" s="60"/>
      <c r="K47" s="61"/>
      <c r="L47" s="61"/>
      <c r="M47" s="65"/>
      <c r="N47" s="60"/>
      <c r="O47" s="61"/>
      <c r="P47" s="61"/>
      <c r="Q47" s="65"/>
      <c r="R47" s="38"/>
    </row>
    <row r="48" spans="1:18" ht="28.5" x14ac:dyDescent="0.45">
      <c r="A48" s="59"/>
      <c r="B48" s="67"/>
      <c r="C48" s="61"/>
      <c r="D48" s="61"/>
      <c r="E48" s="65"/>
      <c r="F48" s="60"/>
      <c r="G48" s="61"/>
      <c r="H48" s="61"/>
      <c r="I48" s="32"/>
      <c r="J48" s="60"/>
      <c r="K48" s="61"/>
      <c r="L48" s="61"/>
      <c r="M48" s="65"/>
      <c r="N48" s="60"/>
      <c r="O48" s="61"/>
      <c r="P48" s="61"/>
      <c r="Q48" s="65"/>
      <c r="R48" s="38"/>
    </row>
    <row r="49" spans="1:18" ht="28.5" x14ac:dyDescent="0.45">
      <c r="A49" s="59"/>
      <c r="B49" s="67"/>
      <c r="C49" s="61"/>
      <c r="D49" s="61"/>
      <c r="E49" s="65"/>
      <c r="F49" s="60"/>
      <c r="G49" s="61"/>
      <c r="H49" s="61"/>
      <c r="I49" s="32"/>
      <c r="J49" s="60"/>
      <c r="K49" s="61"/>
      <c r="L49" s="61"/>
      <c r="M49" s="65"/>
      <c r="N49" s="60"/>
      <c r="O49" s="61"/>
      <c r="P49" s="61"/>
      <c r="Q49" s="65"/>
      <c r="R49" s="38"/>
    </row>
    <row r="50" spans="1:18" ht="28.5" x14ac:dyDescent="0.45">
      <c r="A50" s="59"/>
      <c r="B50" s="67"/>
      <c r="C50" s="61"/>
      <c r="D50" s="61"/>
      <c r="E50" s="65"/>
      <c r="F50" s="60"/>
      <c r="G50" s="61"/>
      <c r="H50" s="61"/>
      <c r="I50" s="32"/>
      <c r="J50" s="60"/>
      <c r="K50" s="61"/>
      <c r="L50" s="61"/>
      <c r="M50" s="65"/>
      <c r="N50" s="60"/>
      <c r="O50" s="61"/>
      <c r="P50" s="61"/>
      <c r="Q50" s="65"/>
      <c r="R50" s="38"/>
    </row>
    <row r="51" spans="1:18" ht="28.5" x14ac:dyDescent="0.45">
      <c r="A51" s="59"/>
      <c r="B51" s="67"/>
      <c r="C51" s="61"/>
      <c r="D51" s="61"/>
      <c r="E51" s="65"/>
      <c r="F51" s="60"/>
      <c r="G51" s="61"/>
      <c r="H51" s="61"/>
      <c r="I51" s="32"/>
      <c r="J51" s="60"/>
      <c r="K51" s="61"/>
      <c r="L51" s="61"/>
      <c r="M51" s="65"/>
      <c r="N51" s="60"/>
      <c r="O51" s="61"/>
      <c r="P51" s="61"/>
      <c r="Q51" s="65"/>
      <c r="R51" s="38"/>
    </row>
    <row r="52" spans="1:18" ht="28.5" x14ac:dyDescent="0.45">
      <c r="A52" s="59"/>
      <c r="B52" s="67"/>
      <c r="C52" s="61"/>
      <c r="D52" s="61"/>
      <c r="E52" s="65"/>
      <c r="F52" s="60"/>
      <c r="G52" s="61"/>
      <c r="H52" s="61"/>
      <c r="I52" s="32"/>
      <c r="J52" s="60"/>
      <c r="K52" s="61"/>
      <c r="L52" s="61"/>
      <c r="M52" s="65"/>
      <c r="N52" s="60"/>
      <c r="O52" s="61"/>
      <c r="P52" s="61"/>
      <c r="Q52" s="65"/>
      <c r="R52" s="38"/>
    </row>
    <row r="53" spans="1:18" ht="28.5" x14ac:dyDescent="0.45">
      <c r="A53" s="59"/>
      <c r="B53" s="67"/>
      <c r="C53" s="61"/>
      <c r="D53" s="61"/>
      <c r="E53" s="65"/>
      <c r="F53" s="60"/>
      <c r="G53" s="61"/>
      <c r="H53" s="61"/>
      <c r="I53" s="32"/>
      <c r="J53" s="60"/>
      <c r="K53" s="61"/>
      <c r="L53" s="61"/>
      <c r="M53" s="65"/>
      <c r="N53" s="60"/>
      <c r="O53" s="61"/>
      <c r="P53" s="61"/>
      <c r="Q53" s="65"/>
      <c r="R53" s="38"/>
    </row>
    <row r="54" spans="1:18" ht="28.5" x14ac:dyDescent="0.45">
      <c r="A54" s="59"/>
      <c r="B54" s="67"/>
      <c r="C54" s="61"/>
      <c r="D54" s="61"/>
      <c r="E54" s="65"/>
      <c r="F54" s="60"/>
      <c r="G54" s="61"/>
      <c r="H54" s="61"/>
      <c r="I54" s="32"/>
      <c r="J54" s="60"/>
      <c r="K54" s="61"/>
      <c r="L54" s="61"/>
      <c r="M54" s="65"/>
      <c r="N54" s="60"/>
      <c r="O54" s="61"/>
      <c r="P54" s="61"/>
      <c r="Q54" s="65"/>
      <c r="R54" s="38"/>
    </row>
    <row r="55" spans="1:18" ht="28.5" x14ac:dyDescent="0.45">
      <c r="A55" s="59"/>
      <c r="B55" s="67"/>
      <c r="C55" s="61"/>
      <c r="D55" s="61"/>
      <c r="E55" s="65"/>
      <c r="F55" s="60"/>
      <c r="G55" s="61"/>
      <c r="H55" s="61"/>
      <c r="I55" s="32"/>
      <c r="J55" s="60"/>
      <c r="K55" s="61"/>
      <c r="L55" s="61"/>
      <c r="M55" s="65"/>
      <c r="N55" s="60"/>
      <c r="O55" s="61"/>
      <c r="P55" s="61"/>
      <c r="Q55" s="65"/>
      <c r="R55" s="38"/>
    </row>
    <row r="56" spans="1:18" ht="28.5" x14ac:dyDescent="0.45">
      <c r="A56" s="59"/>
      <c r="B56" s="67"/>
      <c r="C56" s="61"/>
      <c r="D56" s="61"/>
      <c r="E56" s="65"/>
      <c r="F56" s="60"/>
      <c r="G56" s="61"/>
      <c r="H56" s="61"/>
      <c r="I56" s="32"/>
      <c r="J56" s="60"/>
      <c r="K56" s="61"/>
      <c r="L56" s="61"/>
      <c r="M56" s="65"/>
      <c r="N56" s="60"/>
      <c r="O56" s="61"/>
      <c r="P56" s="61"/>
      <c r="Q56" s="65"/>
      <c r="R56" s="38"/>
    </row>
    <row r="57" spans="1:18" ht="28.5" x14ac:dyDescent="0.45">
      <c r="A57" s="59"/>
      <c r="B57" s="67"/>
      <c r="C57" s="61"/>
      <c r="D57" s="61"/>
      <c r="E57" s="65"/>
      <c r="F57" s="60"/>
      <c r="G57" s="61"/>
      <c r="H57" s="61"/>
      <c r="I57" s="32"/>
      <c r="J57" s="60"/>
      <c r="K57" s="61"/>
      <c r="L57" s="61"/>
      <c r="M57" s="65"/>
      <c r="N57" s="60"/>
      <c r="O57" s="61"/>
      <c r="P57" s="61"/>
      <c r="Q57" s="65"/>
      <c r="R57" s="38"/>
    </row>
    <row r="58" spans="1:18" ht="28.5" x14ac:dyDescent="0.45">
      <c r="A58" s="59"/>
      <c r="B58" s="67"/>
      <c r="C58" s="61"/>
      <c r="D58" s="61"/>
      <c r="E58" s="65"/>
      <c r="F58" s="60"/>
      <c r="G58" s="61"/>
      <c r="H58" s="61"/>
      <c r="I58" s="32"/>
      <c r="J58" s="60"/>
      <c r="K58" s="61"/>
      <c r="L58" s="61"/>
      <c r="M58" s="65"/>
      <c r="N58" s="60"/>
      <c r="O58" s="61"/>
      <c r="P58" s="61"/>
      <c r="Q58" s="65"/>
      <c r="R58" s="38"/>
    </row>
    <row r="59" spans="1:18" ht="28.5" x14ac:dyDescent="0.45">
      <c r="A59" s="59"/>
      <c r="B59" s="67"/>
      <c r="C59" s="61"/>
      <c r="D59" s="61"/>
      <c r="E59" s="65"/>
      <c r="F59" s="60"/>
      <c r="G59" s="61"/>
      <c r="H59" s="61"/>
      <c r="I59" s="32"/>
      <c r="J59" s="60"/>
      <c r="K59" s="61"/>
      <c r="L59" s="61"/>
      <c r="M59" s="65"/>
      <c r="N59" s="60"/>
      <c r="O59" s="61"/>
      <c r="P59" s="61"/>
      <c r="Q59" s="65"/>
      <c r="R59" s="38"/>
    </row>
    <row r="60" spans="1:18" ht="28.5" x14ac:dyDescent="0.45">
      <c r="A60" s="59"/>
      <c r="B60" s="67"/>
      <c r="C60" s="61"/>
      <c r="D60" s="61"/>
      <c r="E60" s="65"/>
      <c r="F60" s="60"/>
      <c r="G60" s="61"/>
      <c r="H60" s="61"/>
      <c r="I60" s="32"/>
      <c r="J60" s="60"/>
      <c r="K60" s="61"/>
      <c r="L60" s="61"/>
      <c r="M60" s="65"/>
      <c r="N60" s="60"/>
      <c r="O60" s="61"/>
      <c r="P60" s="61"/>
      <c r="Q60" s="65"/>
      <c r="R60" s="38"/>
    </row>
    <row r="61" spans="1:18" ht="28.5" x14ac:dyDescent="0.45">
      <c r="A61" s="59"/>
      <c r="B61" s="67"/>
      <c r="C61" s="61"/>
      <c r="D61" s="61"/>
      <c r="E61" s="65"/>
      <c r="F61" s="60"/>
      <c r="G61" s="61"/>
      <c r="H61" s="61"/>
      <c r="I61" s="32"/>
      <c r="J61" s="60"/>
      <c r="K61" s="61"/>
      <c r="L61" s="61"/>
      <c r="M61" s="65"/>
      <c r="N61" s="60"/>
      <c r="O61" s="61"/>
      <c r="P61" s="61"/>
      <c r="Q61" s="65"/>
      <c r="R61" s="38"/>
    </row>
    <row r="62" spans="1:18" ht="28.5" x14ac:dyDescent="0.45">
      <c r="A62" s="59"/>
      <c r="B62" s="67"/>
      <c r="C62" s="61"/>
      <c r="D62" s="61"/>
      <c r="E62" s="65"/>
      <c r="F62" s="60"/>
      <c r="G62" s="61"/>
      <c r="H62" s="61"/>
      <c r="I62" s="32"/>
      <c r="J62" s="60"/>
      <c r="K62" s="61"/>
      <c r="L62" s="61"/>
      <c r="M62" s="65"/>
      <c r="N62" s="60"/>
      <c r="O62" s="61"/>
      <c r="P62" s="61"/>
      <c r="Q62" s="65"/>
      <c r="R62" s="38"/>
    </row>
    <row r="63" spans="1:18" ht="28.5" x14ac:dyDescent="0.45">
      <c r="A63" s="59"/>
      <c r="B63" s="67"/>
      <c r="C63" s="61"/>
      <c r="D63" s="61"/>
      <c r="E63" s="65"/>
      <c r="F63" s="60"/>
      <c r="G63" s="61"/>
      <c r="H63" s="61"/>
      <c r="I63" s="32"/>
      <c r="J63" s="60"/>
      <c r="K63" s="61"/>
      <c r="L63" s="61"/>
      <c r="M63" s="65"/>
      <c r="N63" s="60"/>
      <c r="O63" s="61"/>
      <c r="P63" s="61"/>
      <c r="Q63" s="65"/>
      <c r="R63" s="38"/>
    </row>
    <row r="64" spans="1:18" ht="28.5" x14ac:dyDescent="0.45">
      <c r="A64" s="59"/>
      <c r="B64" s="67"/>
      <c r="C64" s="61"/>
      <c r="D64" s="61"/>
      <c r="E64" s="65"/>
      <c r="F64" s="60"/>
      <c r="G64" s="61"/>
      <c r="H64" s="61"/>
      <c r="I64" s="32"/>
      <c r="J64" s="60"/>
      <c r="K64" s="61"/>
      <c r="L64" s="61"/>
      <c r="M64" s="65"/>
      <c r="N64" s="60"/>
      <c r="O64" s="61"/>
      <c r="P64" s="61"/>
      <c r="Q64" s="65"/>
      <c r="R64" s="38"/>
    </row>
    <row r="65" spans="1:18" ht="28.5" x14ac:dyDescent="0.45">
      <c r="A65" s="59"/>
      <c r="B65" s="67"/>
      <c r="C65" s="61"/>
      <c r="D65" s="61"/>
      <c r="E65" s="65"/>
      <c r="F65" s="60"/>
      <c r="G65" s="61"/>
      <c r="H65" s="61"/>
      <c r="I65" s="32"/>
      <c r="J65" s="60"/>
      <c r="K65" s="61"/>
      <c r="L65" s="61"/>
      <c r="M65" s="65"/>
      <c r="N65" s="60"/>
      <c r="O65" s="61"/>
      <c r="P65" s="61"/>
      <c r="Q65" s="65"/>
      <c r="R65" s="38"/>
    </row>
    <row r="66" spans="1:18" ht="28.5" x14ac:dyDescent="0.45">
      <c r="A66" s="59"/>
      <c r="B66" s="67"/>
      <c r="C66" s="61"/>
      <c r="D66" s="61"/>
      <c r="E66" s="65"/>
      <c r="F66" s="60"/>
      <c r="G66" s="61"/>
      <c r="H66" s="61"/>
      <c r="I66" s="32"/>
      <c r="J66" s="60"/>
      <c r="K66" s="61"/>
      <c r="L66" s="61"/>
      <c r="M66" s="65"/>
      <c r="N66" s="60"/>
      <c r="O66" s="61"/>
      <c r="P66" s="61"/>
      <c r="Q66" s="65"/>
      <c r="R66" s="38"/>
    </row>
    <row r="67" spans="1:18" ht="28.5" x14ac:dyDescent="0.45">
      <c r="A67" s="59"/>
      <c r="B67" s="67"/>
      <c r="C67" s="61"/>
      <c r="D67" s="61"/>
      <c r="E67" s="65"/>
      <c r="F67" s="60"/>
      <c r="G67" s="61"/>
      <c r="H67" s="61"/>
      <c r="I67" s="32"/>
      <c r="J67" s="60"/>
      <c r="K67" s="61"/>
      <c r="L67" s="61"/>
      <c r="M67" s="65"/>
      <c r="N67" s="60"/>
      <c r="O67" s="61"/>
      <c r="P67" s="61"/>
      <c r="Q67" s="65"/>
      <c r="R67" s="38"/>
    </row>
    <row r="68" spans="1:18" ht="28.5" x14ac:dyDescent="0.45">
      <c r="A68" s="59"/>
      <c r="B68" s="67"/>
      <c r="C68" s="61"/>
      <c r="D68" s="61"/>
      <c r="E68" s="65"/>
      <c r="F68" s="60"/>
      <c r="G68" s="61"/>
      <c r="H68" s="61"/>
      <c r="I68" s="32"/>
      <c r="J68" s="60"/>
      <c r="K68" s="61"/>
      <c r="L68" s="61"/>
      <c r="M68" s="65"/>
      <c r="N68" s="60"/>
      <c r="O68" s="61"/>
      <c r="P68" s="61"/>
      <c r="Q68" s="65"/>
      <c r="R68" s="38"/>
    </row>
    <row r="69" spans="1:18" ht="28.5" x14ac:dyDescent="0.45">
      <c r="A69" s="59"/>
      <c r="B69" s="67"/>
      <c r="C69" s="61"/>
      <c r="D69" s="61"/>
      <c r="E69" s="65"/>
      <c r="F69" s="60"/>
      <c r="G69" s="61"/>
      <c r="H69" s="61"/>
      <c r="I69" s="32"/>
      <c r="J69" s="60"/>
      <c r="K69" s="61"/>
      <c r="L69" s="61"/>
      <c r="M69" s="65"/>
      <c r="N69" s="60"/>
      <c r="O69" s="61"/>
      <c r="P69" s="61"/>
      <c r="Q69" s="65"/>
      <c r="R69" s="38"/>
    </row>
    <row r="70" spans="1:18" ht="28.5" x14ac:dyDescent="0.45">
      <c r="A70" s="59"/>
      <c r="B70" s="67"/>
      <c r="C70" s="61"/>
      <c r="D70" s="61"/>
      <c r="E70" s="65"/>
      <c r="F70" s="60"/>
      <c r="G70" s="61"/>
      <c r="H70" s="61"/>
      <c r="I70" s="32"/>
      <c r="J70" s="60"/>
      <c r="K70" s="61"/>
      <c r="L70" s="61"/>
      <c r="M70" s="65"/>
      <c r="N70" s="60"/>
      <c r="O70" s="61"/>
      <c r="P70" s="61"/>
      <c r="Q70" s="65"/>
      <c r="R70" s="38"/>
    </row>
    <row r="71" spans="1:18" ht="28.5" x14ac:dyDescent="0.45">
      <c r="A71" s="59"/>
      <c r="B71" s="67"/>
      <c r="C71" s="61"/>
      <c r="D71" s="61"/>
      <c r="E71" s="65"/>
      <c r="F71" s="60"/>
      <c r="G71" s="61"/>
      <c r="H71" s="61"/>
      <c r="I71" s="32"/>
      <c r="J71" s="60"/>
      <c r="K71" s="61"/>
      <c r="L71" s="61"/>
      <c r="M71" s="65"/>
      <c r="N71" s="60"/>
      <c r="O71" s="61"/>
      <c r="P71" s="61"/>
      <c r="Q71" s="65"/>
      <c r="R71" s="38"/>
    </row>
    <row r="72" spans="1:18" ht="28.5" x14ac:dyDescent="0.45">
      <c r="A72" s="59"/>
      <c r="B72" s="67"/>
      <c r="C72" s="61"/>
      <c r="D72" s="61"/>
      <c r="E72" s="65"/>
      <c r="F72" s="60"/>
      <c r="G72" s="61"/>
      <c r="H72" s="61"/>
      <c r="I72" s="32"/>
      <c r="J72" s="60"/>
      <c r="K72" s="61"/>
      <c r="L72" s="61"/>
      <c r="M72" s="65"/>
      <c r="N72" s="60"/>
      <c r="O72" s="61"/>
      <c r="P72" s="61"/>
      <c r="Q72" s="65"/>
      <c r="R72" s="38"/>
    </row>
    <row r="73" spans="1:18" ht="28.5" x14ac:dyDescent="0.45">
      <c r="A73" s="59"/>
      <c r="B73" s="67"/>
      <c r="C73" s="61"/>
      <c r="D73" s="61"/>
      <c r="E73" s="65"/>
      <c r="F73" s="60"/>
      <c r="G73" s="61"/>
      <c r="H73" s="61"/>
      <c r="I73" s="32"/>
      <c r="J73" s="60"/>
      <c r="K73" s="61"/>
      <c r="L73" s="61"/>
      <c r="M73" s="65"/>
      <c r="N73" s="60"/>
      <c r="O73" s="61"/>
      <c r="P73" s="61"/>
      <c r="Q73" s="65"/>
      <c r="R73" s="38"/>
    </row>
    <row r="74" spans="1:18" ht="28.5" x14ac:dyDescent="0.45">
      <c r="A74" s="59"/>
      <c r="B74" s="67"/>
      <c r="C74" s="61"/>
      <c r="D74" s="61"/>
      <c r="E74" s="65"/>
      <c r="F74" s="60"/>
      <c r="G74" s="61"/>
      <c r="H74" s="61"/>
      <c r="I74" s="32"/>
      <c r="J74" s="60"/>
      <c r="K74" s="61"/>
      <c r="L74" s="61"/>
      <c r="M74" s="65"/>
      <c r="N74" s="60"/>
      <c r="O74" s="61"/>
      <c r="P74" s="61"/>
      <c r="Q74" s="65"/>
      <c r="R74" s="38"/>
    </row>
    <row r="75" spans="1:18" ht="28.5" x14ac:dyDescent="0.45">
      <c r="A75" s="59"/>
      <c r="B75" s="67"/>
      <c r="C75" s="61"/>
      <c r="D75" s="61"/>
      <c r="E75" s="65"/>
      <c r="F75" s="60"/>
      <c r="G75" s="61"/>
      <c r="H75" s="61"/>
      <c r="I75" s="32"/>
      <c r="J75" s="60"/>
      <c r="K75" s="61"/>
      <c r="L75" s="61"/>
      <c r="M75" s="65"/>
      <c r="N75" s="60"/>
      <c r="O75" s="61"/>
      <c r="P75" s="61"/>
      <c r="Q75" s="65"/>
      <c r="R75" s="38"/>
    </row>
    <row r="76" spans="1:18" ht="28.5" x14ac:dyDescent="0.45">
      <c r="A76" s="59"/>
      <c r="B76" s="67"/>
      <c r="C76" s="61"/>
      <c r="D76" s="61"/>
      <c r="E76" s="65"/>
      <c r="F76" s="60"/>
      <c r="G76" s="61"/>
      <c r="H76" s="61"/>
      <c r="I76" s="32"/>
      <c r="J76" s="60"/>
      <c r="K76" s="61"/>
      <c r="L76" s="61"/>
      <c r="M76" s="65"/>
      <c r="N76" s="60"/>
      <c r="O76" s="61"/>
      <c r="P76" s="61"/>
      <c r="Q76" s="65"/>
      <c r="R76" s="38"/>
    </row>
    <row r="77" spans="1:18" ht="28.5" x14ac:dyDescent="0.45">
      <c r="A77" s="59"/>
      <c r="B77" s="67"/>
      <c r="C77" s="61"/>
      <c r="D77" s="61"/>
      <c r="E77" s="65"/>
      <c r="F77" s="60"/>
      <c r="G77" s="61"/>
      <c r="H77" s="61"/>
      <c r="I77" s="32"/>
      <c r="J77" s="60"/>
      <c r="K77" s="61"/>
      <c r="L77" s="61"/>
      <c r="M77" s="65"/>
      <c r="N77" s="60"/>
      <c r="O77" s="61"/>
      <c r="P77" s="61"/>
      <c r="Q77" s="65"/>
      <c r="R77" s="38"/>
    </row>
    <row r="78" spans="1:18" ht="28.5" x14ac:dyDescent="0.45">
      <c r="A78" s="59"/>
      <c r="B78" s="67"/>
      <c r="C78" s="61"/>
      <c r="D78" s="61"/>
      <c r="E78" s="65"/>
      <c r="F78" s="60"/>
      <c r="G78" s="61"/>
      <c r="H78" s="61"/>
      <c r="I78" s="32"/>
      <c r="J78" s="60"/>
      <c r="K78" s="61"/>
      <c r="L78" s="61"/>
      <c r="M78" s="65"/>
      <c r="N78" s="60"/>
      <c r="O78" s="61"/>
      <c r="P78" s="61"/>
      <c r="Q78" s="65"/>
      <c r="R78" s="38"/>
    </row>
    <row r="79" spans="1:18" ht="28.5" x14ac:dyDescent="0.45">
      <c r="A79" s="59"/>
      <c r="B79" s="67"/>
      <c r="C79" s="61"/>
      <c r="D79" s="61"/>
      <c r="E79" s="65"/>
      <c r="F79" s="60"/>
      <c r="G79" s="61"/>
      <c r="H79" s="61"/>
      <c r="I79" s="32"/>
      <c r="J79" s="60"/>
      <c r="K79" s="61"/>
      <c r="L79" s="61"/>
      <c r="M79" s="65"/>
      <c r="N79" s="60"/>
      <c r="O79" s="61"/>
      <c r="P79" s="61"/>
      <c r="Q79" s="65"/>
      <c r="R79" s="38"/>
    </row>
    <row r="80" spans="1:18" ht="28.5" x14ac:dyDescent="0.45">
      <c r="A80" s="59"/>
      <c r="B80" s="67"/>
      <c r="C80" s="61"/>
      <c r="D80" s="61"/>
      <c r="E80" s="65"/>
      <c r="F80" s="60"/>
      <c r="G80" s="61"/>
      <c r="H80" s="61"/>
      <c r="I80" s="32"/>
      <c r="J80" s="60"/>
      <c r="K80" s="61"/>
      <c r="L80" s="61"/>
      <c r="M80" s="65"/>
      <c r="N80" s="60"/>
      <c r="O80" s="61"/>
      <c r="P80" s="61"/>
      <c r="Q80" s="65"/>
      <c r="R80" s="38"/>
    </row>
    <row r="81" spans="1:18" ht="28.5" x14ac:dyDescent="0.45">
      <c r="A81" s="59"/>
      <c r="B81" s="67"/>
      <c r="C81" s="61"/>
      <c r="D81" s="61"/>
      <c r="E81" s="65"/>
      <c r="F81" s="60"/>
      <c r="G81" s="61"/>
      <c r="H81" s="61"/>
      <c r="I81" s="32"/>
      <c r="J81" s="60"/>
      <c r="K81" s="61"/>
      <c r="L81" s="61"/>
      <c r="M81" s="65"/>
      <c r="N81" s="60"/>
      <c r="O81" s="61"/>
      <c r="P81" s="61"/>
      <c r="Q81" s="65"/>
      <c r="R81" s="38"/>
    </row>
    <row r="82" spans="1:18" ht="28.5" x14ac:dyDescent="0.45">
      <c r="A82" s="59"/>
      <c r="B82" s="67"/>
      <c r="C82" s="61"/>
      <c r="D82" s="61"/>
      <c r="E82" s="65"/>
      <c r="F82" s="60"/>
      <c r="G82" s="61"/>
      <c r="H82" s="61"/>
      <c r="I82" s="32"/>
      <c r="J82" s="60"/>
      <c r="K82" s="61"/>
      <c r="L82" s="61"/>
      <c r="M82" s="65"/>
      <c r="N82" s="60"/>
      <c r="O82" s="61"/>
      <c r="P82" s="61"/>
      <c r="Q82" s="65"/>
      <c r="R82" s="38"/>
    </row>
    <row r="83" spans="1:18" ht="28.5" x14ac:dyDescent="0.45">
      <c r="A83" s="59"/>
      <c r="B83" s="67"/>
      <c r="C83" s="61"/>
      <c r="D83" s="61"/>
      <c r="E83" s="65"/>
      <c r="F83" s="60"/>
      <c r="G83" s="61"/>
      <c r="H83" s="61"/>
      <c r="I83" s="32"/>
      <c r="J83" s="60"/>
      <c r="K83" s="61"/>
      <c r="L83" s="61"/>
      <c r="M83" s="65"/>
      <c r="N83" s="60"/>
      <c r="O83" s="61"/>
      <c r="P83" s="61"/>
      <c r="Q83" s="65"/>
      <c r="R83" s="38"/>
    </row>
    <row r="84" spans="1:18" ht="28.5" x14ac:dyDescent="0.45">
      <c r="A84" s="59"/>
      <c r="B84" s="67"/>
      <c r="C84" s="61"/>
      <c r="D84" s="61"/>
      <c r="E84" s="65"/>
      <c r="F84" s="60"/>
      <c r="G84" s="61"/>
      <c r="H84" s="61"/>
      <c r="I84" s="32"/>
      <c r="J84" s="60"/>
      <c r="K84" s="61"/>
      <c r="L84" s="61"/>
      <c r="M84" s="65"/>
      <c r="N84" s="60"/>
      <c r="O84" s="61"/>
      <c r="P84" s="61"/>
      <c r="Q84" s="65"/>
      <c r="R84" s="38"/>
    </row>
    <row r="85" spans="1:18" ht="28.5" x14ac:dyDescent="0.45">
      <c r="A85" s="59"/>
      <c r="B85" s="67"/>
      <c r="C85" s="61"/>
      <c r="D85" s="61"/>
      <c r="E85" s="65"/>
      <c r="F85" s="60"/>
      <c r="G85" s="61"/>
      <c r="H85" s="61"/>
      <c r="I85" s="32"/>
      <c r="J85" s="60"/>
      <c r="K85" s="61"/>
      <c r="L85" s="61"/>
      <c r="M85" s="65"/>
      <c r="N85" s="60"/>
      <c r="O85" s="61"/>
      <c r="P85" s="61"/>
      <c r="Q85" s="65"/>
      <c r="R85" s="38"/>
    </row>
    <row r="86" spans="1:18" ht="28.5" x14ac:dyDescent="0.45">
      <c r="A86" s="59"/>
      <c r="B86" s="67"/>
      <c r="C86" s="61"/>
      <c r="D86" s="61"/>
      <c r="E86" s="65"/>
      <c r="F86" s="60"/>
      <c r="G86" s="61"/>
      <c r="H86" s="61"/>
      <c r="I86" s="32"/>
      <c r="J86" s="60"/>
      <c r="K86" s="61"/>
      <c r="L86" s="61"/>
      <c r="M86" s="65"/>
      <c r="N86" s="60"/>
      <c r="O86" s="61"/>
      <c r="P86" s="61"/>
      <c r="Q86" s="65"/>
      <c r="R86" s="38"/>
    </row>
    <row r="87" spans="1:18" ht="28.5" x14ac:dyDescent="0.45">
      <c r="A87" s="59"/>
      <c r="B87" s="67"/>
      <c r="C87" s="61"/>
      <c r="D87" s="61"/>
      <c r="E87" s="65"/>
      <c r="F87" s="60"/>
      <c r="G87" s="61"/>
      <c r="H87" s="61"/>
      <c r="I87" s="32"/>
      <c r="J87" s="60"/>
      <c r="K87" s="61"/>
      <c r="L87" s="61"/>
      <c r="M87" s="65"/>
      <c r="N87" s="60"/>
      <c r="O87" s="61"/>
      <c r="P87" s="61"/>
      <c r="Q87" s="65"/>
      <c r="R87" s="38"/>
    </row>
    <row r="88" spans="1:18" ht="28.5" x14ac:dyDescent="0.45">
      <c r="A88" s="59"/>
      <c r="B88" s="67"/>
      <c r="C88" s="61"/>
      <c r="D88" s="61"/>
      <c r="E88" s="65"/>
      <c r="F88" s="60"/>
      <c r="G88" s="61"/>
      <c r="H88" s="61"/>
      <c r="I88" s="32"/>
      <c r="J88" s="60"/>
      <c r="K88" s="61"/>
      <c r="L88" s="61"/>
      <c r="M88" s="65"/>
      <c r="N88" s="60"/>
      <c r="O88" s="61"/>
      <c r="P88" s="61"/>
      <c r="Q88" s="65"/>
      <c r="R88" s="38"/>
    </row>
    <row r="89" spans="1:18" ht="28.5" x14ac:dyDescent="0.45">
      <c r="A89" s="59"/>
      <c r="B89" s="67"/>
      <c r="C89" s="61"/>
      <c r="D89" s="61"/>
      <c r="E89" s="65"/>
      <c r="F89" s="60"/>
      <c r="G89" s="61"/>
      <c r="H89" s="61"/>
      <c r="I89" s="32"/>
      <c r="J89" s="60"/>
      <c r="K89" s="61"/>
      <c r="L89" s="61"/>
      <c r="M89" s="65"/>
      <c r="N89" s="60"/>
      <c r="O89" s="61"/>
      <c r="P89" s="61"/>
      <c r="Q89" s="65"/>
      <c r="R89" s="38"/>
    </row>
    <row r="90" spans="1:18" ht="28.5" x14ac:dyDescent="0.45">
      <c r="A90" s="59"/>
      <c r="B90" s="67"/>
      <c r="C90" s="61"/>
      <c r="D90" s="61"/>
      <c r="E90" s="65"/>
      <c r="F90" s="60"/>
      <c r="G90" s="61"/>
      <c r="H90" s="61"/>
      <c r="I90" s="32"/>
      <c r="J90" s="60"/>
      <c r="K90" s="61"/>
      <c r="L90" s="61"/>
      <c r="M90" s="65"/>
      <c r="N90" s="60"/>
      <c r="O90" s="61"/>
      <c r="P90" s="61"/>
      <c r="Q90" s="65"/>
      <c r="R90" s="38"/>
    </row>
    <row r="91" spans="1:18" ht="28.5" x14ac:dyDescent="0.45">
      <c r="A91" s="59"/>
      <c r="B91" s="67"/>
      <c r="C91" s="61"/>
      <c r="D91" s="61"/>
      <c r="E91" s="65"/>
      <c r="F91" s="60"/>
      <c r="G91" s="61"/>
      <c r="H91" s="61"/>
      <c r="I91" s="32"/>
      <c r="J91" s="60"/>
      <c r="K91" s="61"/>
      <c r="L91" s="61"/>
      <c r="M91" s="65"/>
      <c r="N91" s="60"/>
      <c r="O91" s="61"/>
      <c r="P91" s="61"/>
      <c r="Q91" s="65"/>
      <c r="R91" s="38"/>
    </row>
    <row r="92" spans="1:18" ht="28.5" x14ac:dyDescent="0.45">
      <c r="A92" s="59"/>
      <c r="B92" s="67"/>
      <c r="C92" s="61"/>
      <c r="D92" s="61"/>
      <c r="E92" s="65"/>
      <c r="F92" s="60"/>
      <c r="G92" s="61"/>
      <c r="H92" s="61"/>
      <c r="I92" s="32"/>
      <c r="J92" s="60"/>
      <c r="K92" s="61"/>
      <c r="L92" s="61"/>
      <c r="M92" s="65"/>
      <c r="N92" s="60"/>
      <c r="O92" s="61"/>
      <c r="P92" s="61"/>
      <c r="Q92" s="65"/>
      <c r="R92" s="38"/>
    </row>
    <row r="93" spans="1:18" ht="28.5" x14ac:dyDescent="0.45">
      <c r="A93" s="59"/>
      <c r="B93" s="67"/>
      <c r="C93" s="61"/>
      <c r="D93" s="61"/>
      <c r="E93" s="65"/>
      <c r="F93" s="60"/>
      <c r="G93" s="61"/>
      <c r="H93" s="61"/>
      <c r="I93" s="32"/>
      <c r="J93" s="60"/>
      <c r="K93" s="61"/>
      <c r="L93" s="61"/>
      <c r="M93" s="65"/>
      <c r="N93" s="60"/>
      <c r="O93" s="61"/>
      <c r="P93" s="61"/>
      <c r="Q93" s="65"/>
      <c r="R93" s="38"/>
    </row>
    <row r="94" spans="1:18" ht="28.5" x14ac:dyDescent="0.45">
      <c r="A94" s="59"/>
      <c r="B94" s="67"/>
      <c r="C94" s="61"/>
      <c r="D94" s="61"/>
      <c r="E94" s="65"/>
      <c r="F94" s="60"/>
      <c r="G94" s="61"/>
      <c r="H94" s="61"/>
      <c r="I94" s="32"/>
      <c r="J94" s="60"/>
      <c r="K94" s="61"/>
      <c r="L94" s="61"/>
      <c r="M94" s="65"/>
      <c r="N94" s="60"/>
      <c r="O94" s="61"/>
      <c r="P94" s="61"/>
      <c r="Q94" s="65"/>
      <c r="R94" s="38"/>
    </row>
    <row r="95" spans="1:18" ht="28.5" x14ac:dyDescent="0.45">
      <c r="A95" s="59"/>
      <c r="B95" s="67"/>
      <c r="C95" s="61"/>
      <c r="D95" s="61"/>
      <c r="E95" s="65"/>
      <c r="F95" s="60"/>
      <c r="G95" s="61"/>
      <c r="H95" s="61"/>
      <c r="I95" s="32"/>
      <c r="J95" s="60"/>
      <c r="K95" s="61"/>
      <c r="L95" s="61"/>
      <c r="M95" s="65"/>
      <c r="N95" s="60"/>
      <c r="O95" s="61"/>
      <c r="P95" s="61"/>
      <c r="Q95" s="65"/>
      <c r="R95" s="38"/>
    </row>
    <row r="96" spans="1:18" ht="28.5" x14ac:dyDescent="0.45">
      <c r="A96" s="59"/>
      <c r="B96" s="67"/>
      <c r="C96" s="61"/>
      <c r="D96" s="61"/>
      <c r="E96" s="65"/>
      <c r="F96" s="60"/>
      <c r="G96" s="61"/>
      <c r="H96" s="61"/>
      <c r="I96" s="32"/>
      <c r="J96" s="60"/>
      <c r="K96" s="61"/>
      <c r="L96" s="61"/>
      <c r="M96" s="65"/>
      <c r="N96" s="60"/>
      <c r="O96" s="61"/>
      <c r="P96" s="61"/>
      <c r="Q96" s="65"/>
      <c r="R96" s="38"/>
    </row>
    <row r="97" spans="1:18" ht="28.5" x14ac:dyDescent="0.45">
      <c r="A97" s="59"/>
      <c r="B97" s="67"/>
      <c r="C97" s="61"/>
      <c r="D97" s="61"/>
      <c r="E97" s="65"/>
      <c r="F97" s="60"/>
      <c r="G97" s="61"/>
      <c r="H97" s="61"/>
      <c r="I97" s="32"/>
      <c r="J97" s="60"/>
      <c r="K97" s="61"/>
      <c r="L97" s="61"/>
      <c r="M97" s="65"/>
      <c r="N97" s="60"/>
      <c r="O97" s="61"/>
      <c r="P97" s="61"/>
      <c r="Q97" s="65"/>
      <c r="R97" s="38"/>
    </row>
    <row r="98" spans="1:18" ht="28.5" x14ac:dyDescent="0.45">
      <c r="A98" s="59"/>
      <c r="B98" s="67"/>
      <c r="C98" s="61"/>
      <c r="D98" s="61"/>
      <c r="E98" s="65"/>
      <c r="F98" s="60"/>
      <c r="G98" s="61"/>
      <c r="H98" s="61"/>
      <c r="I98" s="32"/>
      <c r="J98" s="60"/>
      <c r="K98" s="61"/>
      <c r="L98" s="61"/>
      <c r="M98" s="65"/>
      <c r="N98" s="60"/>
      <c r="O98" s="61"/>
      <c r="P98" s="61"/>
      <c r="Q98" s="65"/>
      <c r="R98" s="38"/>
    </row>
    <row r="99" spans="1:18" ht="28.5" x14ac:dyDescent="0.45">
      <c r="A99" s="59"/>
      <c r="B99" s="67"/>
      <c r="C99" s="61"/>
      <c r="D99" s="61"/>
      <c r="E99" s="65"/>
      <c r="F99" s="60"/>
      <c r="G99" s="61"/>
      <c r="H99" s="61"/>
      <c r="I99" s="32"/>
      <c r="J99" s="60"/>
      <c r="K99" s="61"/>
      <c r="L99" s="61"/>
      <c r="M99" s="65"/>
      <c r="N99" s="60"/>
      <c r="O99" s="61"/>
      <c r="P99" s="61"/>
      <c r="Q99" s="65"/>
      <c r="R99" s="38"/>
    </row>
    <row r="100" spans="1:18" ht="28.5" hidden="1" customHeight="1" x14ac:dyDescent="0.45">
      <c r="A100" s="59" t="e">
        <f>(D100/Home!$J$14)*E100</f>
        <v>#VALUE!</v>
      </c>
      <c r="B100" s="68" t="s">
        <v>22</v>
      </c>
      <c r="C100" s="69" t="str">
        <f>IF(TUDO!D100="","",TUDO!D100)</f>
        <v/>
      </c>
      <c r="D100" s="69" t="str">
        <f>IF(TUDO!E100="","",TUDO!E100)</f>
        <v/>
      </c>
      <c r="E100" s="70">
        <f>IF(TUDO!F100="","",TUDO!F100)</f>
        <v>362.18</v>
      </c>
      <c r="F100" s="70" t="str">
        <f>IF(TUDO!H100="","",TUDO!H100)</f>
        <v/>
      </c>
      <c r="G100" s="69" t="str">
        <f>IF(TUDO!I100="","",TUDO!I100)</f>
        <v/>
      </c>
      <c r="H100" s="69" t="str">
        <f>IF(TUDO!J100="","",TUDO!J100)</f>
        <v/>
      </c>
      <c r="I100" s="71" t="str">
        <f>IF(TUDO!I100="","",TUDO!K100)</f>
        <v/>
      </c>
      <c r="J100" s="70" t="str">
        <f>IF(TUDO!M100="","",TUDO!M100)</f>
        <v/>
      </c>
      <c r="K100" s="69" t="str">
        <f>IF(TUDO!N100="","",TUDO!N100)</f>
        <v/>
      </c>
      <c r="L100" s="69" t="str">
        <f>IF(TUDO!O100="","",TUDO!O100)</f>
        <v/>
      </c>
      <c r="N100" s="70" t="str">
        <f>IF(TUDO!Q100="","",TUDO!Q100)</f>
        <v/>
      </c>
      <c r="O100" s="69" t="str">
        <f>IF(TUDO!S100="","",TUDO!S100)</f>
        <v/>
      </c>
      <c r="P100" s="69" t="str">
        <f>IF(TUDO!T100="","",TUDO!T100)</f>
        <v/>
      </c>
      <c r="Q100" s="72" t="str">
        <f>IF(TUDO!U100="","",TUDO!U100)</f>
        <v/>
      </c>
    </row>
    <row r="101" spans="1:18" ht="15" hidden="1" customHeight="1" x14ac:dyDescent="0.25"/>
    <row r="102" spans="1:18" ht="15" hidden="1" customHeight="1" x14ac:dyDescent="0.25"/>
    <row r="103" spans="1:18" ht="15" hidden="1" customHeight="1" x14ac:dyDescent="0.25"/>
    <row r="104" spans="1:18" ht="15" hidden="1" customHeight="1" x14ac:dyDescent="0.25"/>
    <row r="105" spans="1:18" ht="15" hidden="1" customHeight="1" x14ac:dyDescent="0.25"/>
  </sheetData>
  <sheetProtection selectLockedCells="1"/>
  <mergeCells count="2">
    <mergeCell ref="D13:H14"/>
    <mergeCell ref="I12:K12"/>
  </mergeCells>
  <conditionalFormatting sqref="E16:H16">
    <cfRule type="iconSet" priority="5">
      <iconSet iconSet="3Symbols">
        <cfvo type="percent" val="0"/>
        <cfvo type="num" val="0"/>
        <cfvo type="num" val="0" gte="0"/>
      </iconSet>
    </cfRule>
  </conditionalFormatting>
  <conditionalFormatting sqref="E17:H17">
    <cfRule type="iconSet" priority="4">
      <iconSet iconSet="3Symbols">
        <cfvo type="percent" val="0"/>
        <cfvo type="num" val="0"/>
        <cfvo type="num" val="0" gte="0"/>
      </iconSet>
    </cfRule>
  </conditionalFormatting>
  <conditionalFormatting sqref="E18">
    <cfRule type="iconSet" priority="2">
      <iconSet iconSet="3Symbols">
        <cfvo type="percent" val="0"/>
        <cfvo type="num" val="0"/>
        <cfvo type="num" val="0" gte="0"/>
      </iconSet>
    </cfRule>
  </conditionalFormatting>
  <conditionalFormatting sqref="F18:H18">
    <cfRule type="iconSet" priority="1">
      <iconSet iconSet="3Symbols">
        <cfvo type="percent" val="0"/>
        <cfvo type="num" val="0"/>
        <cfvo type="num" val="0" gte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CF65-B03D-4AF3-82A3-3B15A80009DF}">
  <sheetPr codeName="Planilha4"/>
  <dimension ref="A1:XFC105"/>
  <sheetViews>
    <sheetView zoomScale="34" zoomScaleNormal="34" workbookViewId="0">
      <pane ySplit="13" topLeftCell="A14" activePane="bottomLeft" state="frozen"/>
      <selection pane="bottomLeft" activeCell="H10" sqref="H10"/>
    </sheetView>
  </sheetViews>
  <sheetFormatPr defaultColWidth="0" defaultRowHeight="0" customHeight="1" zeroHeight="1" x14ac:dyDescent="0.25"/>
  <cols>
    <col min="1" max="1" width="13.140625" style="37" customWidth="1"/>
    <col min="2" max="2" width="35.7109375" style="37" customWidth="1"/>
    <col min="3" max="4" width="29.7109375" style="37" customWidth="1"/>
    <col min="5" max="5" width="33" style="37" bestFit="1" customWidth="1"/>
    <col min="6" max="6" width="55.5703125" style="37" customWidth="1"/>
    <col min="7" max="8" width="29.7109375" style="37" customWidth="1"/>
    <col min="9" max="9" width="33" style="37" bestFit="1" customWidth="1"/>
    <col min="10" max="10" width="35.7109375" style="37" customWidth="1"/>
    <col min="11" max="12" width="29.7109375" style="37" customWidth="1"/>
    <col min="13" max="13" width="33" style="37" bestFit="1" customWidth="1"/>
    <col min="14" max="14" width="35.7109375" style="37" customWidth="1"/>
    <col min="15" max="16" width="29.7109375" style="37" customWidth="1"/>
    <col min="17" max="17" width="33" style="37" bestFit="1" customWidth="1"/>
    <col min="18" max="18" width="30.7109375" style="37" customWidth="1"/>
    <col min="19" max="22" width="0" style="37" hidden="1" customWidth="1"/>
    <col min="23" max="16383" width="9.140625" style="37" hidden="1"/>
    <col min="16384" max="16384" width="14.28515625" style="37" hidden="1" customWidth="1"/>
  </cols>
  <sheetData>
    <row r="1" spans="1:18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  <c r="R1" s="35"/>
    </row>
    <row r="2" spans="1:18" ht="15" x14ac:dyDescent="0.25">
      <c r="A2" s="35"/>
      <c r="B2" s="35"/>
      <c r="C2" s="35"/>
      <c r="D2" s="35"/>
      <c r="E2" s="35"/>
      <c r="F2" s="35"/>
      <c r="G2" s="35" t="s">
        <v>3</v>
      </c>
      <c r="H2" s="35"/>
      <c r="I2" s="35"/>
      <c r="J2" s="35"/>
      <c r="K2" s="35"/>
      <c r="L2" s="38"/>
      <c r="M2" s="39"/>
      <c r="N2" s="39"/>
      <c r="O2" s="39"/>
      <c r="P2" s="39"/>
      <c r="Q2" s="40"/>
      <c r="R2" s="35"/>
    </row>
    <row r="3" spans="1:18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0"/>
      <c r="M3" s="39"/>
      <c r="N3" s="39"/>
      <c r="O3" s="39"/>
      <c r="P3" s="39"/>
      <c r="Q3" s="40"/>
      <c r="R3" s="35"/>
    </row>
    <row r="4" spans="1:18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0"/>
      <c r="M4" s="39"/>
      <c r="N4" s="39"/>
      <c r="O4" s="39"/>
      <c r="P4" s="39"/>
      <c r="Q4" s="40"/>
      <c r="R4" s="35"/>
    </row>
    <row r="5" spans="1:18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0"/>
      <c r="M5" s="39"/>
      <c r="N5" s="39"/>
      <c r="O5" s="39"/>
      <c r="P5" s="39"/>
      <c r="Q5" s="40"/>
      <c r="R5" s="35"/>
    </row>
    <row r="6" spans="1:18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0"/>
      <c r="M6" s="40"/>
      <c r="N6" s="40"/>
      <c r="O6" s="40"/>
      <c r="P6" s="40"/>
      <c r="Q6" s="40"/>
      <c r="R6" s="35"/>
    </row>
    <row r="7" spans="1:18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8"/>
      <c r="M7" s="38"/>
      <c r="N7" s="38"/>
      <c r="O7" s="38"/>
      <c r="P7" s="38"/>
      <c r="Q7" s="38"/>
      <c r="R7" s="35"/>
    </row>
    <row r="8" spans="1:18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8"/>
      <c r="M8" s="38"/>
      <c r="N8" s="38"/>
      <c r="O8" s="38"/>
      <c r="P8" s="38"/>
      <c r="Q8" s="38"/>
      <c r="R8" s="35"/>
    </row>
    <row r="9" spans="1:18" ht="28.5" x14ac:dyDescent="0.45">
      <c r="A9" s="35"/>
      <c r="B9" s="42"/>
      <c r="C9" s="43"/>
      <c r="D9" s="43"/>
      <c r="E9" s="43"/>
      <c r="F9" s="43"/>
      <c r="G9" s="43"/>
      <c r="H9" s="43"/>
      <c r="I9" s="43"/>
      <c r="J9" s="43"/>
      <c r="K9" s="44"/>
      <c r="L9" s="43"/>
      <c r="M9" s="43"/>
      <c r="N9" s="43"/>
      <c r="O9" s="43"/>
      <c r="P9" s="43"/>
      <c r="Q9" s="43"/>
      <c r="R9" s="35"/>
    </row>
    <row r="10" spans="1:18" ht="28.5" x14ac:dyDescent="0.45">
      <c r="A10" s="35"/>
      <c r="B10" s="42" t="s">
        <v>0</v>
      </c>
      <c r="C10" s="43"/>
      <c r="D10" s="43"/>
      <c r="E10" s="43"/>
      <c r="F10" s="43"/>
      <c r="G10" s="43"/>
      <c r="H10" s="45"/>
      <c r="I10" s="45"/>
      <c r="J10" s="45"/>
      <c r="K10" s="45"/>
      <c r="L10" s="46"/>
      <c r="M10" s="47"/>
      <c r="N10" s="47"/>
      <c r="O10" s="47"/>
      <c r="P10" s="47"/>
      <c r="Q10" s="47"/>
      <c r="R10" s="35"/>
    </row>
    <row r="11" spans="1:18" ht="93" thickBot="1" x14ac:dyDescent="1.4">
      <c r="A11" s="35"/>
      <c r="B11" s="48"/>
      <c r="C11" s="45"/>
      <c r="D11" s="45"/>
      <c r="E11" s="45"/>
      <c r="F11" s="45"/>
      <c r="G11" s="50"/>
      <c r="H11" s="51"/>
      <c r="I11" s="214"/>
      <c r="J11" s="214"/>
      <c r="K11" s="214"/>
      <c r="L11" s="214"/>
      <c r="M11" s="53"/>
      <c r="N11" s="45"/>
      <c r="O11" s="45"/>
      <c r="P11" s="45"/>
      <c r="Q11" s="45"/>
      <c r="R11" s="35"/>
    </row>
    <row r="12" spans="1:18" ht="93" thickBot="1" x14ac:dyDescent="1.4">
      <c r="A12" s="54"/>
      <c r="B12" s="215" t="s">
        <v>7</v>
      </c>
      <c r="C12" s="216"/>
      <c r="D12" s="216"/>
      <c r="E12" s="216"/>
      <c r="F12" s="215" t="s">
        <v>21</v>
      </c>
      <c r="G12" s="216"/>
      <c r="H12" s="216"/>
      <c r="I12" s="217"/>
      <c r="J12" s="216" t="s">
        <v>5</v>
      </c>
      <c r="K12" s="216"/>
      <c r="L12" s="216"/>
      <c r="M12" s="217"/>
      <c r="N12" s="216" t="s">
        <v>13</v>
      </c>
      <c r="O12" s="216"/>
      <c r="P12" s="216"/>
      <c r="Q12" s="217"/>
      <c r="R12" s="35"/>
    </row>
    <row r="13" spans="1:18" ht="39" x14ac:dyDescent="0.6">
      <c r="A13" s="41"/>
      <c r="B13" s="73" t="s">
        <v>18</v>
      </c>
      <c r="C13" s="74" t="s">
        <v>15</v>
      </c>
      <c r="D13" s="74" t="s">
        <v>16</v>
      </c>
      <c r="E13" s="75" t="s">
        <v>17</v>
      </c>
      <c r="F13" s="73" t="s">
        <v>1</v>
      </c>
      <c r="G13" s="74" t="s">
        <v>15</v>
      </c>
      <c r="H13" s="74" t="s">
        <v>16</v>
      </c>
      <c r="I13" s="75" t="s">
        <v>17</v>
      </c>
      <c r="J13" s="73" t="s">
        <v>18</v>
      </c>
      <c r="K13" s="74" t="s">
        <v>15</v>
      </c>
      <c r="L13" s="74" t="s">
        <v>16</v>
      </c>
      <c r="M13" s="75" t="s">
        <v>17</v>
      </c>
      <c r="N13" s="73" t="s">
        <v>18</v>
      </c>
      <c r="O13" s="74" t="s">
        <v>15</v>
      </c>
      <c r="P13" s="74" t="s">
        <v>16</v>
      </c>
      <c r="Q13" s="75" t="s">
        <v>17</v>
      </c>
      <c r="R13" s="35"/>
    </row>
    <row r="14" spans="1:18" ht="33.75" x14ac:dyDescent="0.5">
      <c r="A14" s="59"/>
      <c r="B14" s="76" t="str">
        <f>IF(TUDO!B14="","",PROPER(TUDO!B14))</f>
        <v>Centauro</v>
      </c>
      <c r="C14" s="77">
        <f>IF(TUDO!D14="","",TUDO!D14)</f>
        <v>378.17</v>
      </c>
      <c r="D14" s="77">
        <f>IF(TUDO!E14="","",TUDO!E14)</f>
        <v>396.11</v>
      </c>
      <c r="E14" s="33">
        <f>IF(TUDO!F14="","",TUDO!F14)</f>
        <v>4.7438982468202121E-2</v>
      </c>
      <c r="F14" s="76" t="str">
        <f>IF(TUDO!H14="","",TUDO!H14)</f>
        <v xml:space="preserve">Tesouro IPCA+ 2035 </v>
      </c>
      <c r="G14" s="77">
        <f>IF(TUDO!I14="","",TUDO!I14)</f>
        <v>184.55</v>
      </c>
      <c r="H14" s="77">
        <f>IF(TUDO!J14="","",TUDO!J14)</f>
        <v>177.56</v>
      </c>
      <c r="I14" s="78">
        <f>IF(TUDO!I14="","",TUDO!K14)</f>
        <v>-3.7875914386345209E-2</v>
      </c>
      <c r="J14" s="76" t="str">
        <f>IF(TUDO!M14="","",TUDO!M14)</f>
        <v>Bitcoin</v>
      </c>
      <c r="K14" s="77">
        <f>IF(TUDO!N14="","",TUDO!N14)</f>
        <v>386</v>
      </c>
      <c r="L14" s="77">
        <f>IF(TUDO!O14="","",TUDO!O14)</f>
        <v>630</v>
      </c>
      <c r="M14" s="78">
        <f>IF(TUDO!P14="","",TUDO!P14)</f>
        <v>0.63212435233160624</v>
      </c>
      <c r="N14" s="76" t="str">
        <f>IF(TUDO!Q14="","",TUDO!Q14)</f>
        <v>FII DEA CARE</v>
      </c>
      <c r="O14" s="77">
        <f>IF(TUDO!S14="","",TUDO!S14)</f>
        <v>41.04</v>
      </c>
      <c r="P14" s="77">
        <f>IF(TUDO!T14="","",TUDO!T14)</f>
        <v>46.17</v>
      </c>
      <c r="Q14" s="79">
        <f>IF(TUDO!U14="","",TUDO!U14)</f>
        <v>0.12500000000000006</v>
      </c>
      <c r="R14" s="35"/>
    </row>
    <row r="15" spans="1:18" ht="33.75" x14ac:dyDescent="0.5">
      <c r="A15" s="59"/>
      <c r="B15" s="76" t="str">
        <f>IF(TUDO!B15="","",PROPER(TUDO!B15))</f>
        <v>Vivara</v>
      </c>
      <c r="C15" s="77">
        <f>IF(TUDO!D15="","",TUDO!D15)</f>
        <v>210.6</v>
      </c>
      <c r="D15" s="77">
        <f>IF(TUDO!E15="","",TUDO!E15)</f>
        <v>233.01</v>
      </c>
      <c r="E15" s="33">
        <f>IF(TUDO!F15="","",TUDO!F15)</f>
        <v>0.10641025641025639</v>
      </c>
      <c r="F15" s="76" t="str">
        <f>IF(TUDO!H15="","",TUDO!H15)</f>
        <v xml:space="preserve">Tesouro Prefixado 2025 </v>
      </c>
      <c r="G15" s="77">
        <f>IF(TUDO!I15="","",TUDO!I15)</f>
        <v>348.53</v>
      </c>
      <c r="H15" s="77">
        <f>IF(TUDO!J15="","",TUDO!J15)</f>
        <v>371.41</v>
      </c>
      <c r="I15" s="78">
        <f>IF(TUDO!I15="","",TUDO!K15)</f>
        <v>6.5647146587094529E-2</v>
      </c>
      <c r="J15" s="76" t="str">
        <f>IF(TUDO!M15="","",TUDO!M15)</f>
        <v/>
      </c>
      <c r="K15" s="77" t="str">
        <f>IF(TUDO!N15="","",TUDO!N15)</f>
        <v/>
      </c>
      <c r="L15" s="77" t="str">
        <f>IF(TUDO!O15="","",TUDO!O15)</f>
        <v/>
      </c>
      <c r="M15" s="78" t="str">
        <f>IF(TUDO!P15="","",TUDO!P15)</f>
        <v/>
      </c>
      <c r="N15" s="76" t="str">
        <f>IF(TUDO!Q15="","",TUDO!Q15)</f>
        <v>FII DEA CARE</v>
      </c>
      <c r="O15" s="77" t="str">
        <f>IF(TUDO!S15="","",TUDO!S15)</f>
        <v/>
      </c>
      <c r="P15" s="77">
        <f>IF(TUDO!T15="","",TUDO!T15)</f>
        <v>40.47</v>
      </c>
      <c r="Q15" s="79" t="str">
        <f>IF(TUDO!U15="","",TUDO!U15)</f>
        <v/>
      </c>
      <c r="R15" s="35"/>
    </row>
    <row r="16" spans="1:18" ht="33.75" x14ac:dyDescent="0.5">
      <c r="A16" s="59"/>
      <c r="B16" s="76" t="str">
        <f>IF(TUDO!B16="","",PROPER(TUDO!B16))</f>
        <v>Via Varejo</v>
      </c>
      <c r="C16" s="77">
        <f>IF(TUDO!D16="","",TUDO!D16)</f>
        <v>249.8</v>
      </c>
      <c r="D16" s="77">
        <f>IF(TUDO!E16="","",TUDO!E16)</f>
        <v>355</v>
      </c>
      <c r="E16" s="79">
        <f>IF(TUDO!F16="","",TUDO!F16)</f>
        <v>0.42113690952762201</v>
      </c>
      <c r="F16" s="76" t="str">
        <f>IF(TUDO!H16="","",TUDO!H16)</f>
        <v>Reserva de Emergência</v>
      </c>
      <c r="G16" s="77">
        <f>IF(TUDO!I16="","",TUDO!I16)</f>
        <v>1952.1</v>
      </c>
      <c r="H16" s="77">
        <f>IF(TUDO!J16="","",TUDO!J16)</f>
        <v>1953.9399999999998</v>
      </c>
      <c r="I16" s="78">
        <f>IF(TUDO!I16="","",TUDO!K16)</f>
        <v>9.4257466318319668E-4</v>
      </c>
      <c r="J16" s="76" t="str">
        <f>IF(TUDO!M16="","",TUDO!M16)</f>
        <v/>
      </c>
      <c r="K16" s="77" t="str">
        <f>IF(TUDO!N16="","",TUDO!N16)</f>
        <v/>
      </c>
      <c r="L16" s="77" t="str">
        <f>IF(TUDO!O16="","",TUDO!O16)</f>
        <v/>
      </c>
      <c r="M16" s="78" t="str">
        <f>IF(TUDO!P16="","",TUDO!P16)</f>
        <v/>
      </c>
      <c r="N16" s="76" t="str">
        <f>IF(TUDO!Q16="","",TUDO!Q16)</f>
        <v>FII DEA CARE</v>
      </c>
      <c r="O16" s="77" t="str">
        <f>IF(TUDO!S16="","",TUDO!S16)</f>
        <v/>
      </c>
      <c r="P16" s="77">
        <f>IF(TUDO!T16="","",TUDO!T16)</f>
        <v>39.33</v>
      </c>
      <c r="Q16" s="79" t="str">
        <f>IF(TUDO!U16="","",TUDO!U16)</f>
        <v/>
      </c>
      <c r="R16" s="35"/>
    </row>
    <row r="17" spans="1:18" ht="33.75" x14ac:dyDescent="0.5">
      <c r="A17" s="59"/>
      <c r="B17" s="76" t="str">
        <f>IF(TUDO!B17="","",PROPER(TUDO!B17))</f>
        <v>Centauro</v>
      </c>
      <c r="C17" s="77">
        <f>IF(TUDO!D17="","",TUDO!D17)</f>
        <v>89.8</v>
      </c>
      <c r="D17" s="77">
        <f>IF(TUDO!E17="","",TUDO!E17)</f>
        <v>113.6</v>
      </c>
      <c r="E17" s="79">
        <f>IF(TUDO!F17="","",TUDO!F17)</f>
        <v>0.26503340757238303</v>
      </c>
      <c r="F17" s="76" t="str">
        <f>IF(TUDO!H17="","",TUDO!H17)</f>
        <v xml:space="preserve">Tesouro IPCA+ 2035 </v>
      </c>
      <c r="G17" s="77">
        <f>IF(TUDO!I17="","",TUDO!I17)</f>
        <v>184.55</v>
      </c>
      <c r="H17" s="77">
        <f>IF(TUDO!J17="","",TUDO!J17)</f>
        <v>201.53</v>
      </c>
      <c r="I17" s="78">
        <f>IF(TUDO!I17="","",TUDO!K17)</f>
        <v>9.2007586020048701E-2</v>
      </c>
      <c r="J17" s="76" t="str">
        <f>IF(TUDO!M17="","",TUDO!M17)</f>
        <v/>
      </c>
      <c r="K17" s="77" t="str">
        <f>IF(TUDO!N17="","",TUDO!N17)</f>
        <v/>
      </c>
      <c r="L17" s="77" t="str">
        <f>IF(TUDO!O17="","",TUDO!O17)</f>
        <v/>
      </c>
      <c r="M17" s="78" t="str">
        <f>IF(TUDO!P17="","",TUDO!P17)</f>
        <v/>
      </c>
      <c r="N17" s="76" t="str">
        <f>IF(TUDO!Q17="","",TUDO!Q17)</f>
        <v>FII DEA CARE</v>
      </c>
      <c r="O17" s="77" t="str">
        <f>IF(TUDO!S17="","",TUDO!S17)</f>
        <v/>
      </c>
      <c r="P17" s="77">
        <f>IF(TUDO!T17="","",TUDO!T17)</f>
        <v>39.33</v>
      </c>
      <c r="Q17" s="79" t="str">
        <f>IF(TUDO!U17="","",TUDO!U17)</f>
        <v/>
      </c>
      <c r="R17" s="35"/>
    </row>
    <row r="18" spans="1:18" ht="33.75" x14ac:dyDescent="0.5">
      <c r="A18" s="59"/>
      <c r="B18" s="76" t="str">
        <f>IF(TUDO!B18="","",PROPER(TUDO!B18))</f>
        <v>Cyrela</v>
      </c>
      <c r="C18" s="77">
        <f>IF(TUDO!D18="","",TUDO!D18)</f>
        <v>343.2</v>
      </c>
      <c r="D18" s="77">
        <f>IF(TUDO!E18="","",TUDO!E18)</f>
        <v>338</v>
      </c>
      <c r="E18" s="79">
        <f>IF(TUDO!F18="","",TUDO!F18)</f>
        <v>-1.5151515151515119E-2</v>
      </c>
      <c r="F18" s="76" t="str">
        <f>IF(TUDO!H18="","",TUDO!H18)</f>
        <v xml:space="preserve">Tesouro Prefixado 2025 </v>
      </c>
      <c r="G18" s="77">
        <f>IF(TUDO!I18="","",TUDO!I18)</f>
        <v>348.53</v>
      </c>
      <c r="H18" s="77">
        <f>IF(TUDO!J18="","",TUDO!J18)</f>
        <v>375.15</v>
      </c>
      <c r="I18" s="78">
        <f>IF(TUDO!I18="","",TUDO!K18)</f>
        <v>7.6377930163830959E-2</v>
      </c>
      <c r="J18" s="76" t="str">
        <f>IF(TUDO!M18="","",TUDO!M18)</f>
        <v/>
      </c>
      <c r="K18" s="77" t="str">
        <f>IF(TUDO!N18="","",TUDO!N18)</f>
        <v/>
      </c>
      <c r="L18" s="77" t="str">
        <f>IF(TUDO!O18="","",TUDO!O18)</f>
        <v/>
      </c>
      <c r="M18" s="78" t="str">
        <f>IF(TUDO!P18="","",TUDO!P18)</f>
        <v/>
      </c>
      <c r="N18" s="76" t="str">
        <f>IF(TUDO!Q18="","",TUDO!Q18)</f>
        <v/>
      </c>
      <c r="O18" s="77" t="str">
        <f>IF(TUDO!S18="","",TUDO!S18)</f>
        <v/>
      </c>
      <c r="P18" s="77" t="str">
        <f>IF(TUDO!T18="","",TUDO!T18)</f>
        <v/>
      </c>
      <c r="Q18" s="79" t="str">
        <f>IF(TUDO!U18="","",TUDO!U18)</f>
        <v/>
      </c>
      <c r="R18" s="35"/>
    </row>
    <row r="19" spans="1:18" ht="33.75" x14ac:dyDescent="0.5">
      <c r="A19" s="59"/>
      <c r="B19" s="76" t="str">
        <f>IF(TUDO!B19="","",PROPER(TUDO!B19))</f>
        <v/>
      </c>
      <c r="C19" s="77" t="str">
        <f>IF(TUDO!D19="","",TUDO!D19)</f>
        <v/>
      </c>
      <c r="D19" s="77" t="str">
        <f>IF(TUDO!E19="","",TUDO!E19)</f>
        <v/>
      </c>
      <c r="E19" s="79" t="str">
        <f>IF(TUDO!F19="","",TUDO!F19)</f>
        <v/>
      </c>
      <c r="F19" s="76" t="str">
        <f>IF(TUDO!H19="","",TUDO!H19)</f>
        <v xml:space="preserve">Tesouro IPCA+ 2035 </v>
      </c>
      <c r="G19" s="77">
        <f>IF(TUDO!I19="","",TUDO!I19)</f>
        <v>184.55</v>
      </c>
      <c r="H19" s="77">
        <f>IF(TUDO!J19="","",TUDO!J19)</f>
        <v>198.12</v>
      </c>
      <c r="I19" s="78">
        <f>IF(TUDO!I19="","",TUDO!K19)</f>
        <v>7.3530208615551304E-2</v>
      </c>
      <c r="J19" s="76" t="str">
        <f>IF(TUDO!M19="","",TUDO!M19)</f>
        <v/>
      </c>
      <c r="K19" s="77" t="str">
        <f>IF(TUDO!N19="","",TUDO!N19)</f>
        <v/>
      </c>
      <c r="L19" s="77" t="str">
        <f>IF(TUDO!O19="","",TUDO!O19)</f>
        <v/>
      </c>
      <c r="M19" s="78" t="str">
        <f>IF(TUDO!P19="","",TUDO!P19)</f>
        <v/>
      </c>
      <c r="N19" s="76" t="str">
        <f>IF(TUDO!Q19="","",TUDO!Q19)</f>
        <v/>
      </c>
      <c r="O19" s="77" t="str">
        <f>IF(TUDO!S19="","",TUDO!S19)</f>
        <v/>
      </c>
      <c r="P19" s="77" t="str">
        <f>IF(TUDO!T19="","",TUDO!T19)</f>
        <v/>
      </c>
      <c r="Q19" s="79" t="str">
        <f>IF(TUDO!U19="","",TUDO!U19)</f>
        <v/>
      </c>
      <c r="R19" s="35"/>
    </row>
    <row r="20" spans="1:18" ht="33.75" x14ac:dyDescent="0.5">
      <c r="A20" s="59"/>
      <c r="B20" s="76" t="str">
        <f>IF(TUDO!B20="","",PROPER(TUDO!B20))</f>
        <v/>
      </c>
      <c r="C20" s="77" t="str">
        <f>IF(TUDO!D20="","",TUDO!D20)</f>
        <v/>
      </c>
      <c r="D20" s="77" t="str">
        <f>IF(TUDO!E20="","",TUDO!E20)</f>
        <v/>
      </c>
      <c r="E20" s="79" t="str">
        <f>IF(TUDO!F20="","",TUDO!F20)</f>
        <v/>
      </c>
      <c r="F20" s="76" t="str">
        <f>IF(TUDO!H20="","",TUDO!H20)</f>
        <v xml:space="preserve">Tesouro Prefixado 2025 </v>
      </c>
      <c r="G20" s="77">
        <f>IF(TUDO!I20="","",TUDO!I20)</f>
        <v>348.53</v>
      </c>
      <c r="H20" s="77">
        <f>IF(TUDO!J20="","",TUDO!J20)</f>
        <v>371.17</v>
      </c>
      <c r="I20" s="78">
        <f>IF(TUDO!I20="","",TUDO!K20)</f>
        <v>6.495854015436274E-2</v>
      </c>
      <c r="J20" s="76" t="str">
        <f>IF(TUDO!M20="","",TUDO!M20)</f>
        <v/>
      </c>
      <c r="K20" s="77" t="str">
        <f>IF(TUDO!N20="","",TUDO!N20)</f>
        <v/>
      </c>
      <c r="L20" s="77" t="str">
        <f>IF(TUDO!O20="","",TUDO!O20)</f>
        <v/>
      </c>
      <c r="M20" s="78" t="str">
        <f>IF(TUDO!P20="","",TUDO!P20)</f>
        <v/>
      </c>
      <c r="N20" s="76" t="str">
        <f>IF(TUDO!Q20="","",TUDO!Q20)</f>
        <v/>
      </c>
      <c r="O20" s="77" t="str">
        <f>IF(TUDO!S20="","",TUDO!S20)</f>
        <v/>
      </c>
      <c r="P20" s="77" t="str">
        <f>IF(TUDO!T20="","",TUDO!T20)</f>
        <v/>
      </c>
      <c r="Q20" s="79" t="str">
        <f>IF(TUDO!U20="","",TUDO!U20)</f>
        <v/>
      </c>
      <c r="R20" s="35"/>
    </row>
    <row r="21" spans="1:18" ht="33.75" x14ac:dyDescent="0.5">
      <c r="A21" s="59"/>
      <c r="B21" s="76" t="str">
        <f>IF(TUDO!B21="","",PROPER(TUDO!B21))</f>
        <v/>
      </c>
      <c r="C21" s="77" t="str">
        <f>IF(TUDO!D21="","",TUDO!D21)</f>
        <v/>
      </c>
      <c r="D21" s="77" t="str">
        <f>IF(TUDO!E21="","",TUDO!E21)</f>
        <v/>
      </c>
      <c r="E21" s="79" t="str">
        <f>IF(TUDO!F21="","",TUDO!F21)</f>
        <v/>
      </c>
      <c r="F21" s="76" t="str">
        <f>IF(TUDO!H21="","",TUDO!H21)</f>
        <v xml:space="preserve">Tesouro IPCA+ 2035 </v>
      </c>
      <c r="G21" s="77">
        <f>IF(TUDO!I21="","",TUDO!I21)</f>
        <v>184.55</v>
      </c>
      <c r="H21" s="77">
        <f>IF(TUDO!J21="","",TUDO!J21)</f>
        <v>204.68</v>
      </c>
      <c r="I21" s="78">
        <f>IF(TUDO!I21="","",TUDO!K21)</f>
        <v>0.1090761311297751</v>
      </c>
      <c r="J21" s="76" t="str">
        <f>IF(TUDO!M21="","",TUDO!M21)</f>
        <v/>
      </c>
      <c r="K21" s="77" t="str">
        <f>IF(TUDO!N21="","",TUDO!N21)</f>
        <v/>
      </c>
      <c r="L21" s="77" t="str">
        <f>IF(TUDO!O21="","",TUDO!O21)</f>
        <v/>
      </c>
      <c r="M21" s="78" t="str">
        <f>IF(TUDO!P21="","",TUDO!P21)</f>
        <v/>
      </c>
      <c r="N21" s="76" t="str">
        <f>IF(TUDO!Q21="","",TUDO!Q21)</f>
        <v/>
      </c>
      <c r="O21" s="77" t="str">
        <f>IF(TUDO!S21="","",TUDO!S21)</f>
        <v/>
      </c>
      <c r="P21" s="77" t="str">
        <f>IF(TUDO!T21="","",TUDO!T21)</f>
        <v/>
      </c>
      <c r="Q21" s="79" t="str">
        <f>IF(TUDO!U21="","",TUDO!U21)</f>
        <v/>
      </c>
      <c r="R21" s="35"/>
    </row>
    <row r="22" spans="1:18" ht="33.75" x14ac:dyDescent="0.5">
      <c r="A22" s="59"/>
      <c r="B22" s="76" t="str">
        <f>IF(TUDO!B22="","",PROPER(TUDO!B22))</f>
        <v/>
      </c>
      <c r="C22" s="77" t="str">
        <f>IF(TUDO!D22="","",TUDO!D22)</f>
        <v/>
      </c>
      <c r="D22" s="77" t="str">
        <f>IF(TUDO!E22="","",TUDO!E22)</f>
        <v/>
      </c>
      <c r="E22" s="79" t="str">
        <f>IF(TUDO!F22="","",TUDO!F22)</f>
        <v/>
      </c>
      <c r="F22" s="76" t="str">
        <f>IF(TUDO!H22="","",TUDO!H22)</f>
        <v xml:space="preserve">Tesouro Prefixado 2025 </v>
      </c>
      <c r="G22" s="77">
        <f>IF(TUDO!I22="","",TUDO!I22)</f>
        <v>348.53</v>
      </c>
      <c r="H22" s="77">
        <f>IF(TUDO!J22="","",TUDO!J22)</f>
        <v>376.12</v>
      </c>
      <c r="I22" s="78">
        <f>IF(TUDO!I22="","",TUDO!K22)</f>
        <v>7.9161047829455239E-2</v>
      </c>
      <c r="J22" s="76" t="str">
        <f>IF(TUDO!M22="","",TUDO!M22)</f>
        <v/>
      </c>
      <c r="K22" s="77" t="str">
        <f>IF(TUDO!N22="","",TUDO!N22)</f>
        <v/>
      </c>
      <c r="L22" s="77" t="str">
        <f>IF(TUDO!O22="","",TUDO!O22)</f>
        <v/>
      </c>
      <c r="M22" s="78" t="str">
        <f>IF(TUDO!P22="","",TUDO!P22)</f>
        <v/>
      </c>
      <c r="N22" s="76" t="str">
        <f>IF(TUDO!Q22="","",TUDO!Q22)</f>
        <v/>
      </c>
      <c r="O22" s="77" t="str">
        <f>IF(TUDO!S22="","",TUDO!S22)</f>
        <v/>
      </c>
      <c r="P22" s="77" t="str">
        <f>IF(TUDO!T22="","",TUDO!T22)</f>
        <v/>
      </c>
      <c r="Q22" s="79" t="str">
        <f>IF(TUDO!U22="","",TUDO!U22)</f>
        <v/>
      </c>
      <c r="R22" s="35"/>
    </row>
    <row r="23" spans="1:18" ht="33.75" x14ac:dyDescent="0.5">
      <c r="A23" s="59"/>
      <c r="B23" s="76" t="str">
        <f>IF(TUDO!B23="","",PROPER(TUDO!B23))</f>
        <v/>
      </c>
      <c r="C23" s="77" t="str">
        <f>IF(TUDO!D23="","",TUDO!D23)</f>
        <v/>
      </c>
      <c r="D23" s="77" t="str">
        <f>IF(TUDO!E23="","",TUDO!E23)</f>
        <v/>
      </c>
      <c r="E23" s="79" t="str">
        <f>IF(TUDO!F23="","",TUDO!F23)</f>
        <v/>
      </c>
      <c r="F23" s="76" t="str">
        <f>IF(TUDO!H23="","",TUDO!H23)</f>
        <v/>
      </c>
      <c r="G23" s="77" t="str">
        <f>IF(TUDO!I23="","",TUDO!I23)</f>
        <v/>
      </c>
      <c r="H23" s="77" t="str">
        <f>IF(TUDO!J23="","",TUDO!J23)</f>
        <v/>
      </c>
      <c r="I23" s="78" t="str">
        <f>IF(TUDO!I23="","",TUDO!K23)</f>
        <v/>
      </c>
      <c r="J23" s="76" t="str">
        <f>IF(TUDO!M23="","",TUDO!M23)</f>
        <v/>
      </c>
      <c r="K23" s="77" t="str">
        <f>IF(TUDO!N23="","",TUDO!N23)</f>
        <v/>
      </c>
      <c r="L23" s="77" t="str">
        <f>IF(TUDO!O23="","",TUDO!O23)</f>
        <v/>
      </c>
      <c r="M23" s="78" t="str">
        <f>IF(TUDO!P23="","",TUDO!P23)</f>
        <v/>
      </c>
      <c r="N23" s="76" t="str">
        <f>IF(TUDO!Q23="","",TUDO!Q23)</f>
        <v/>
      </c>
      <c r="O23" s="77" t="str">
        <f>IF(TUDO!S23="","",TUDO!S23)</f>
        <v/>
      </c>
      <c r="P23" s="77" t="str">
        <f>IF(TUDO!T23="","",TUDO!T23)</f>
        <v/>
      </c>
      <c r="Q23" s="79" t="str">
        <f>IF(TUDO!U23="","",TUDO!U23)</f>
        <v/>
      </c>
      <c r="R23" s="35"/>
    </row>
    <row r="24" spans="1:18" ht="33.75" x14ac:dyDescent="0.5">
      <c r="A24" s="59"/>
      <c r="B24" s="76" t="str">
        <f>IF(TUDO!B24="","",PROPER(TUDO!B24))</f>
        <v/>
      </c>
      <c r="C24" s="77" t="str">
        <f>IF(TUDO!D24="","",TUDO!D24)</f>
        <v/>
      </c>
      <c r="D24" s="77" t="str">
        <f>IF(TUDO!E24="","",TUDO!E24)</f>
        <v/>
      </c>
      <c r="E24" s="79" t="str">
        <f>IF(TUDO!F24="","",TUDO!F24)</f>
        <v/>
      </c>
      <c r="F24" s="76" t="str">
        <f>IF(TUDO!H24="","",TUDO!H24)</f>
        <v/>
      </c>
      <c r="G24" s="77" t="str">
        <f>IF(TUDO!I24="","",TUDO!I24)</f>
        <v/>
      </c>
      <c r="H24" s="77" t="str">
        <f>IF(TUDO!J24="","",TUDO!J24)</f>
        <v/>
      </c>
      <c r="I24" s="78" t="str">
        <f>IF(TUDO!I24="","",TUDO!K24)</f>
        <v/>
      </c>
      <c r="J24" s="76" t="str">
        <f>IF(TUDO!M24="","",TUDO!M24)</f>
        <v/>
      </c>
      <c r="K24" s="77" t="str">
        <f>IF(TUDO!N24="","",TUDO!N24)</f>
        <v/>
      </c>
      <c r="L24" s="77" t="str">
        <f>IF(TUDO!O24="","",TUDO!O24)</f>
        <v/>
      </c>
      <c r="M24" s="78" t="str">
        <f>IF(TUDO!P24="","",TUDO!P24)</f>
        <v/>
      </c>
      <c r="N24" s="76" t="str">
        <f>IF(TUDO!Q24="","",TUDO!Q24)</f>
        <v/>
      </c>
      <c r="O24" s="77" t="str">
        <f>IF(TUDO!S24="","",TUDO!S24)</f>
        <v/>
      </c>
      <c r="P24" s="77" t="str">
        <f>IF(TUDO!T24="","",TUDO!T24)</f>
        <v/>
      </c>
      <c r="Q24" s="79" t="str">
        <f>IF(TUDO!U24="","",TUDO!U24)</f>
        <v/>
      </c>
      <c r="R24" s="35"/>
    </row>
    <row r="25" spans="1:18" ht="33.75" x14ac:dyDescent="0.5">
      <c r="A25" s="59"/>
      <c r="B25" s="76" t="str">
        <f>IF(TUDO!B25="","",PROPER(TUDO!B25))</f>
        <v/>
      </c>
      <c r="C25" s="77" t="str">
        <f>IF(TUDO!D25="","",TUDO!D25)</f>
        <v/>
      </c>
      <c r="D25" s="77" t="str">
        <f>IF(TUDO!E25="","",TUDO!E25)</f>
        <v/>
      </c>
      <c r="E25" s="79" t="str">
        <f>IF(TUDO!F25="","",TUDO!F25)</f>
        <v/>
      </c>
      <c r="F25" s="76" t="str">
        <f>IF(TUDO!H25="","",TUDO!H25)</f>
        <v/>
      </c>
      <c r="G25" s="77" t="str">
        <f>IF(TUDO!I25="","",TUDO!I25)</f>
        <v/>
      </c>
      <c r="H25" s="77" t="str">
        <f>IF(TUDO!J25="","",TUDO!J25)</f>
        <v/>
      </c>
      <c r="I25" s="78" t="str">
        <f>IF(TUDO!I25="","",TUDO!K25)</f>
        <v/>
      </c>
      <c r="J25" s="76" t="str">
        <f>IF(TUDO!M25="","",TUDO!M25)</f>
        <v/>
      </c>
      <c r="K25" s="77" t="str">
        <f>IF(TUDO!N25="","",TUDO!N25)</f>
        <v/>
      </c>
      <c r="L25" s="77" t="str">
        <f>IF(TUDO!O25="","",TUDO!O25)</f>
        <v/>
      </c>
      <c r="M25" s="78" t="str">
        <f>IF(TUDO!P25="","",TUDO!P25)</f>
        <v/>
      </c>
      <c r="N25" s="76" t="str">
        <f>IF(TUDO!Q25="","",TUDO!Q25)</f>
        <v/>
      </c>
      <c r="O25" s="77" t="str">
        <f>IF(TUDO!S25="","",TUDO!S25)</f>
        <v/>
      </c>
      <c r="P25" s="77" t="str">
        <f>IF(TUDO!T25="","",TUDO!T25)</f>
        <v/>
      </c>
      <c r="Q25" s="79" t="str">
        <f>IF(TUDO!U25="","",TUDO!U25)</f>
        <v/>
      </c>
      <c r="R25" s="35"/>
    </row>
    <row r="26" spans="1:18" ht="33.75" x14ac:dyDescent="0.5">
      <c r="A26" s="59"/>
      <c r="B26" s="76" t="str">
        <f>IF(TUDO!B26="","",PROPER(TUDO!B26))</f>
        <v/>
      </c>
      <c r="C26" s="77" t="str">
        <f>IF(TUDO!D26="","",TUDO!D26)</f>
        <v/>
      </c>
      <c r="D26" s="77" t="str">
        <f>IF(TUDO!E26="","",TUDO!E26)</f>
        <v/>
      </c>
      <c r="E26" s="79" t="str">
        <f>IF(TUDO!F26="","",TUDO!F26)</f>
        <v/>
      </c>
      <c r="F26" s="76" t="str">
        <f>IF(TUDO!H26="","",TUDO!H26)</f>
        <v/>
      </c>
      <c r="G26" s="77" t="str">
        <f>IF(TUDO!I26="","",TUDO!I26)</f>
        <v/>
      </c>
      <c r="H26" s="77" t="str">
        <f>IF(TUDO!J26="","",TUDO!J26)</f>
        <v/>
      </c>
      <c r="I26" s="78" t="str">
        <f>IF(TUDO!I26="","",TUDO!K26)</f>
        <v/>
      </c>
      <c r="J26" s="76" t="str">
        <f>IF(TUDO!M26="","",TUDO!M26)</f>
        <v/>
      </c>
      <c r="K26" s="77" t="str">
        <f>IF(TUDO!N26="","",TUDO!N26)</f>
        <v/>
      </c>
      <c r="L26" s="77" t="str">
        <f>IF(TUDO!O26="","",TUDO!O26)</f>
        <v/>
      </c>
      <c r="M26" s="78" t="str">
        <f>IF(TUDO!P26="","",TUDO!P26)</f>
        <v/>
      </c>
      <c r="N26" s="76" t="str">
        <f>IF(TUDO!Q26="","",TUDO!Q26)</f>
        <v/>
      </c>
      <c r="O26" s="77" t="str">
        <f>IF(TUDO!S26="","",TUDO!S26)</f>
        <v/>
      </c>
      <c r="P26" s="77" t="str">
        <f>IF(TUDO!T26="","",TUDO!T26)</f>
        <v/>
      </c>
      <c r="Q26" s="79" t="str">
        <f>IF(TUDO!U26="","",TUDO!U26)</f>
        <v/>
      </c>
      <c r="R26" s="35"/>
    </row>
    <row r="27" spans="1:18" ht="33.75" x14ac:dyDescent="0.5">
      <c r="A27" s="59"/>
      <c r="B27" s="76" t="str">
        <f>IF(TUDO!B27="","",PROPER(TUDO!B27))</f>
        <v/>
      </c>
      <c r="C27" s="77" t="str">
        <f>IF(TUDO!D27="","",TUDO!D27)</f>
        <v/>
      </c>
      <c r="D27" s="77" t="str">
        <f>IF(TUDO!E27="","",TUDO!E27)</f>
        <v/>
      </c>
      <c r="E27" s="79" t="str">
        <f>IF(TUDO!F27="","",TUDO!F27)</f>
        <v/>
      </c>
      <c r="F27" s="76" t="str">
        <f>IF(TUDO!H27="","",TUDO!H27)</f>
        <v/>
      </c>
      <c r="G27" s="77" t="str">
        <f>IF(TUDO!I27="","",TUDO!I27)</f>
        <v/>
      </c>
      <c r="H27" s="77" t="str">
        <f>IF(TUDO!J27="","",TUDO!J27)</f>
        <v/>
      </c>
      <c r="I27" s="78" t="str">
        <f>IF(TUDO!I27="","",TUDO!K27)</f>
        <v/>
      </c>
      <c r="J27" s="76" t="str">
        <f>IF(TUDO!M27="","",TUDO!M27)</f>
        <v/>
      </c>
      <c r="K27" s="77" t="str">
        <f>IF(TUDO!N27="","",TUDO!N27)</f>
        <v/>
      </c>
      <c r="L27" s="77" t="str">
        <f>IF(TUDO!O27="","",TUDO!O27)</f>
        <v/>
      </c>
      <c r="M27" s="78" t="str">
        <f>IF(TUDO!P27="","",TUDO!P27)</f>
        <v/>
      </c>
      <c r="N27" s="76" t="str">
        <f>IF(TUDO!Q27="","",TUDO!Q27)</f>
        <v/>
      </c>
      <c r="O27" s="77" t="str">
        <f>IF(TUDO!S27="","",TUDO!S27)</f>
        <v/>
      </c>
      <c r="P27" s="77" t="str">
        <f>IF(TUDO!T27="","",TUDO!T27)</f>
        <v/>
      </c>
      <c r="Q27" s="79" t="str">
        <f>IF(TUDO!U27="","",TUDO!U27)</f>
        <v/>
      </c>
      <c r="R27" s="35"/>
    </row>
    <row r="28" spans="1:18" ht="33.75" x14ac:dyDescent="0.5">
      <c r="A28" s="59"/>
      <c r="B28" s="76" t="str">
        <f>IF(TUDO!B28="","",PROPER(TUDO!B28))</f>
        <v/>
      </c>
      <c r="C28" s="77" t="str">
        <f>IF(TUDO!D28="","",TUDO!D28)</f>
        <v/>
      </c>
      <c r="D28" s="77" t="str">
        <f>IF(TUDO!E28="","",TUDO!E28)</f>
        <v/>
      </c>
      <c r="E28" s="79" t="str">
        <f>IF(TUDO!F28="","",TUDO!F28)</f>
        <v/>
      </c>
      <c r="F28" s="76" t="str">
        <f>IF(TUDO!H28="","",TUDO!H28)</f>
        <v/>
      </c>
      <c r="G28" s="77" t="str">
        <f>IF(TUDO!I28="","",TUDO!I28)</f>
        <v/>
      </c>
      <c r="H28" s="77" t="str">
        <f>IF(TUDO!J28="","",TUDO!J28)</f>
        <v/>
      </c>
      <c r="I28" s="78" t="str">
        <f>IF(TUDO!I28="","",TUDO!K28)</f>
        <v/>
      </c>
      <c r="J28" s="76" t="str">
        <f>IF(TUDO!M28="","",TUDO!M28)</f>
        <v/>
      </c>
      <c r="K28" s="77" t="str">
        <f>IF(TUDO!N28="","",TUDO!N28)</f>
        <v/>
      </c>
      <c r="L28" s="77" t="str">
        <f>IF(TUDO!O28="","",TUDO!O28)</f>
        <v/>
      </c>
      <c r="M28" s="78" t="str">
        <f>IF(TUDO!P28="","",TUDO!P28)</f>
        <v/>
      </c>
      <c r="N28" s="76" t="str">
        <f>IF(TUDO!Q28="","",TUDO!Q28)</f>
        <v/>
      </c>
      <c r="O28" s="77" t="str">
        <f>IF(TUDO!S28="","",TUDO!S28)</f>
        <v/>
      </c>
      <c r="P28" s="77" t="str">
        <f>IF(TUDO!T28="","",TUDO!T28)</f>
        <v/>
      </c>
      <c r="Q28" s="79" t="str">
        <f>IF(TUDO!U28="","",TUDO!U28)</f>
        <v/>
      </c>
      <c r="R28" s="35"/>
    </row>
    <row r="29" spans="1:18" ht="33.75" x14ac:dyDescent="0.5">
      <c r="A29" s="59"/>
      <c r="B29" s="76" t="str">
        <f>IF(TUDO!B29="","",PROPER(TUDO!B29))</f>
        <v/>
      </c>
      <c r="C29" s="77" t="str">
        <f>IF(TUDO!D29="","",TUDO!D29)</f>
        <v/>
      </c>
      <c r="D29" s="77" t="str">
        <f>IF(TUDO!E29="","",TUDO!E29)</f>
        <v/>
      </c>
      <c r="E29" s="79" t="str">
        <f>IF(TUDO!F29="","",TUDO!F29)</f>
        <v/>
      </c>
      <c r="F29" s="76" t="str">
        <f>IF(TUDO!H29="","",TUDO!H29)</f>
        <v/>
      </c>
      <c r="G29" s="77" t="str">
        <f>IF(TUDO!I29="","",TUDO!I29)</f>
        <v/>
      </c>
      <c r="H29" s="77" t="str">
        <f>IF(TUDO!J29="","",TUDO!J29)</f>
        <v/>
      </c>
      <c r="I29" s="78" t="str">
        <f>IF(TUDO!I29="","",TUDO!K29)</f>
        <v/>
      </c>
      <c r="J29" s="76" t="str">
        <f>IF(TUDO!M29="","",TUDO!M29)</f>
        <v/>
      </c>
      <c r="K29" s="77" t="str">
        <f>IF(TUDO!N29="","",TUDO!N29)</f>
        <v/>
      </c>
      <c r="L29" s="77" t="str">
        <f>IF(TUDO!O29="","",TUDO!O29)</f>
        <v/>
      </c>
      <c r="M29" s="78" t="str">
        <f>IF(TUDO!P29="","",TUDO!P29)</f>
        <v/>
      </c>
      <c r="N29" s="76" t="str">
        <f>IF(TUDO!Q29="","",TUDO!Q29)</f>
        <v/>
      </c>
      <c r="O29" s="77" t="str">
        <f>IF(TUDO!S29="","",TUDO!S29)</f>
        <v/>
      </c>
      <c r="P29" s="77" t="str">
        <f>IF(TUDO!T29="","",TUDO!T29)</f>
        <v/>
      </c>
      <c r="Q29" s="79" t="str">
        <f>IF(TUDO!U29="","",TUDO!U29)</f>
        <v/>
      </c>
      <c r="R29" s="35"/>
    </row>
    <row r="30" spans="1:18" ht="33.75" x14ac:dyDescent="0.5">
      <c r="A30" s="59"/>
      <c r="B30" s="76" t="str">
        <f>IF(TUDO!B30="","",PROPER(TUDO!B30))</f>
        <v/>
      </c>
      <c r="C30" s="77" t="str">
        <f>IF(TUDO!D30="","",TUDO!D30)</f>
        <v/>
      </c>
      <c r="D30" s="77" t="str">
        <f>IF(TUDO!E30="","",TUDO!E30)</f>
        <v/>
      </c>
      <c r="E30" s="79" t="str">
        <f>IF(TUDO!F30="","",TUDO!F30)</f>
        <v/>
      </c>
      <c r="F30" s="76" t="str">
        <f>IF(TUDO!H30="","",TUDO!H30)</f>
        <v/>
      </c>
      <c r="G30" s="77" t="str">
        <f>IF(TUDO!I30="","",TUDO!I30)</f>
        <v/>
      </c>
      <c r="H30" s="77" t="str">
        <f>IF(TUDO!J30="","",TUDO!J30)</f>
        <v/>
      </c>
      <c r="I30" s="78" t="str">
        <f>IF(TUDO!I30="","",TUDO!K30)</f>
        <v/>
      </c>
      <c r="J30" s="76" t="str">
        <f>IF(TUDO!M30="","",TUDO!M30)</f>
        <v/>
      </c>
      <c r="K30" s="77" t="str">
        <f>IF(TUDO!N30="","",TUDO!N30)</f>
        <v/>
      </c>
      <c r="L30" s="77" t="str">
        <f>IF(TUDO!O30="","",TUDO!O30)</f>
        <v/>
      </c>
      <c r="M30" s="78" t="str">
        <f>IF(TUDO!P30="","",TUDO!P30)</f>
        <v/>
      </c>
      <c r="N30" s="76" t="str">
        <f>IF(TUDO!Q30="","",TUDO!Q30)</f>
        <v/>
      </c>
      <c r="O30" s="77" t="str">
        <f>IF(TUDO!S30="","",TUDO!S30)</f>
        <v/>
      </c>
      <c r="P30" s="77" t="str">
        <f>IF(TUDO!T30="","",TUDO!T30)</f>
        <v/>
      </c>
      <c r="Q30" s="79" t="str">
        <f>IF(TUDO!U30="","",TUDO!U30)</f>
        <v/>
      </c>
      <c r="R30" s="35"/>
    </row>
    <row r="31" spans="1:18" ht="33.75" x14ac:dyDescent="0.5">
      <c r="A31" s="59"/>
      <c r="B31" s="76" t="str">
        <f>IF(TUDO!B31="","",PROPER(TUDO!B31))</f>
        <v/>
      </c>
      <c r="C31" s="77" t="str">
        <f>IF(TUDO!D31="","",TUDO!D31)</f>
        <v/>
      </c>
      <c r="D31" s="77" t="str">
        <f>IF(TUDO!E31="","",TUDO!E31)</f>
        <v/>
      </c>
      <c r="E31" s="79" t="str">
        <f>IF(TUDO!F31="","",TUDO!F31)</f>
        <v/>
      </c>
      <c r="F31" s="76" t="str">
        <f>IF(TUDO!H31="","",TUDO!H31)</f>
        <v/>
      </c>
      <c r="G31" s="77" t="str">
        <f>IF(TUDO!I31="","",TUDO!I31)</f>
        <v/>
      </c>
      <c r="H31" s="77" t="str">
        <f>IF(TUDO!J31="","",TUDO!J31)</f>
        <v/>
      </c>
      <c r="I31" s="78" t="str">
        <f>IF(TUDO!I31="","",TUDO!K31)</f>
        <v/>
      </c>
      <c r="J31" s="76" t="str">
        <f>IF(TUDO!M31="","",TUDO!M31)</f>
        <v/>
      </c>
      <c r="K31" s="77" t="str">
        <f>IF(TUDO!N31="","",TUDO!N31)</f>
        <v/>
      </c>
      <c r="L31" s="77" t="str">
        <f>IF(TUDO!O31="","",TUDO!O31)</f>
        <v/>
      </c>
      <c r="M31" s="78" t="str">
        <f>IF(TUDO!P31="","",TUDO!P31)</f>
        <v/>
      </c>
      <c r="N31" s="76" t="str">
        <f>IF(TUDO!Q31="","",TUDO!Q31)</f>
        <v/>
      </c>
      <c r="O31" s="77" t="str">
        <f>IF(TUDO!S31="","",TUDO!S31)</f>
        <v/>
      </c>
      <c r="P31" s="77" t="str">
        <f>IF(TUDO!T31="","",TUDO!T31)</f>
        <v/>
      </c>
      <c r="Q31" s="79" t="str">
        <f>IF(TUDO!U31="","",TUDO!U31)</f>
        <v/>
      </c>
      <c r="R31" s="35"/>
    </row>
    <row r="32" spans="1:18" ht="33.75" x14ac:dyDescent="0.5">
      <c r="A32" s="59"/>
      <c r="B32" s="76" t="str">
        <f>IF(TUDO!B32="","",PROPER(TUDO!B32))</f>
        <v/>
      </c>
      <c r="C32" s="77" t="str">
        <f>IF(TUDO!D32="","",TUDO!D32)</f>
        <v/>
      </c>
      <c r="D32" s="77" t="str">
        <f>IF(TUDO!E32="","",TUDO!E32)</f>
        <v/>
      </c>
      <c r="E32" s="79" t="str">
        <f>IF(TUDO!F32="","",TUDO!F32)</f>
        <v/>
      </c>
      <c r="F32" s="76" t="str">
        <f>IF(TUDO!H32="","",TUDO!H32)</f>
        <v/>
      </c>
      <c r="G32" s="77" t="str">
        <f>IF(TUDO!I32="","",TUDO!I32)</f>
        <v/>
      </c>
      <c r="H32" s="77" t="str">
        <f>IF(TUDO!J32="","",TUDO!J32)</f>
        <v/>
      </c>
      <c r="I32" s="78" t="str">
        <f>IF(TUDO!I32="","",TUDO!K32)</f>
        <v/>
      </c>
      <c r="J32" s="76" t="str">
        <f>IF(TUDO!M32="","",TUDO!M32)</f>
        <v/>
      </c>
      <c r="K32" s="77" t="str">
        <f>IF(TUDO!N32="","",TUDO!N32)</f>
        <v/>
      </c>
      <c r="L32" s="77" t="str">
        <f>IF(TUDO!O32="","",TUDO!O32)</f>
        <v/>
      </c>
      <c r="M32" s="78" t="str">
        <f>IF(TUDO!P32="","",TUDO!P32)</f>
        <v/>
      </c>
      <c r="N32" s="76" t="str">
        <f>IF(TUDO!Q32="","",TUDO!Q32)</f>
        <v/>
      </c>
      <c r="O32" s="77" t="str">
        <f>IF(TUDO!S32="","",TUDO!S32)</f>
        <v/>
      </c>
      <c r="P32" s="77" t="str">
        <f>IF(TUDO!T32="","",TUDO!T32)</f>
        <v/>
      </c>
      <c r="Q32" s="79" t="str">
        <f>IF(TUDO!U32="","",TUDO!U32)</f>
        <v/>
      </c>
      <c r="R32" s="35"/>
    </row>
    <row r="33" spans="1:18" ht="33.75" x14ac:dyDescent="0.5">
      <c r="A33" s="59"/>
      <c r="B33" s="76" t="str">
        <f>IF(TUDO!B33="","",PROPER(TUDO!B33))</f>
        <v/>
      </c>
      <c r="C33" s="77" t="str">
        <f>IF(TUDO!D33="","",TUDO!D33)</f>
        <v/>
      </c>
      <c r="D33" s="77" t="str">
        <f>IF(TUDO!E33="","",TUDO!E33)</f>
        <v/>
      </c>
      <c r="E33" s="79" t="str">
        <f>IF(TUDO!F33="","",TUDO!F33)</f>
        <v/>
      </c>
      <c r="F33" s="76" t="str">
        <f>IF(TUDO!H33="","",TUDO!H33)</f>
        <v/>
      </c>
      <c r="G33" s="77" t="str">
        <f>IF(TUDO!I33="","",TUDO!I33)</f>
        <v/>
      </c>
      <c r="H33" s="77" t="str">
        <f>IF(TUDO!J33="","",TUDO!J33)</f>
        <v/>
      </c>
      <c r="I33" s="78" t="str">
        <f>IF(TUDO!I33="","",TUDO!K33)</f>
        <v/>
      </c>
      <c r="J33" s="76" t="str">
        <f>IF(TUDO!M33="","",TUDO!M33)</f>
        <v/>
      </c>
      <c r="K33" s="77" t="str">
        <f>IF(TUDO!N33="","",TUDO!N33)</f>
        <v/>
      </c>
      <c r="L33" s="77" t="str">
        <f>IF(TUDO!O33="","",TUDO!O33)</f>
        <v/>
      </c>
      <c r="M33" s="78" t="str">
        <f>IF(TUDO!P33="","",TUDO!P33)</f>
        <v/>
      </c>
      <c r="N33" s="76" t="str">
        <f>IF(TUDO!Q33="","",TUDO!Q33)</f>
        <v/>
      </c>
      <c r="O33" s="77" t="str">
        <f>IF(TUDO!S33="","",TUDO!S33)</f>
        <v/>
      </c>
      <c r="P33" s="77" t="str">
        <f>IF(TUDO!T33="","",TUDO!T33)</f>
        <v/>
      </c>
      <c r="Q33" s="79" t="str">
        <f>IF(TUDO!U33="","",TUDO!U33)</f>
        <v/>
      </c>
      <c r="R33" s="35"/>
    </row>
    <row r="34" spans="1:18" ht="33.75" x14ac:dyDescent="0.5">
      <c r="A34" s="59"/>
      <c r="B34" s="76" t="str">
        <f>IF(TUDO!B34="","",PROPER(TUDO!B34))</f>
        <v/>
      </c>
      <c r="C34" s="77" t="str">
        <f>IF(TUDO!D34="","",TUDO!D34)</f>
        <v/>
      </c>
      <c r="D34" s="77" t="str">
        <f>IF(TUDO!E34="","",TUDO!E34)</f>
        <v/>
      </c>
      <c r="E34" s="79" t="str">
        <f>IF(TUDO!F34="","",TUDO!F34)</f>
        <v/>
      </c>
      <c r="F34" s="76" t="str">
        <f>IF(TUDO!H34="","",TUDO!H34)</f>
        <v/>
      </c>
      <c r="G34" s="77" t="str">
        <f>IF(TUDO!I34="","",TUDO!I34)</f>
        <v/>
      </c>
      <c r="H34" s="77" t="str">
        <f>IF(TUDO!J34="","",TUDO!J34)</f>
        <v/>
      </c>
      <c r="I34" s="78" t="str">
        <f>IF(TUDO!I34="","",TUDO!K34)</f>
        <v/>
      </c>
      <c r="J34" s="76" t="str">
        <f>IF(TUDO!M34="","",TUDO!M34)</f>
        <v/>
      </c>
      <c r="K34" s="77" t="str">
        <f>IF(TUDO!N34="","",TUDO!N34)</f>
        <v/>
      </c>
      <c r="L34" s="77" t="str">
        <f>IF(TUDO!O34="","",TUDO!O34)</f>
        <v/>
      </c>
      <c r="M34" s="78" t="str">
        <f>IF(TUDO!P34="","",TUDO!P34)</f>
        <v/>
      </c>
      <c r="N34" s="76" t="str">
        <f>IF(TUDO!Q34="","",TUDO!Q34)</f>
        <v/>
      </c>
      <c r="O34" s="77" t="str">
        <f>IF(TUDO!S34="","",TUDO!S34)</f>
        <v/>
      </c>
      <c r="P34" s="77" t="str">
        <f>IF(TUDO!T34="","",TUDO!T34)</f>
        <v/>
      </c>
      <c r="Q34" s="79" t="str">
        <f>IF(TUDO!U34="","",TUDO!U34)</f>
        <v/>
      </c>
      <c r="R34" s="35"/>
    </row>
    <row r="35" spans="1:18" ht="33.75" x14ac:dyDescent="0.5">
      <c r="A35" s="59"/>
      <c r="B35" s="76" t="str">
        <f>IF(TUDO!B35="","",PROPER(TUDO!B35))</f>
        <v/>
      </c>
      <c r="C35" s="77" t="str">
        <f>IF(TUDO!D35="","",TUDO!D35)</f>
        <v/>
      </c>
      <c r="D35" s="77" t="str">
        <f>IF(TUDO!E35="","",TUDO!E35)</f>
        <v/>
      </c>
      <c r="E35" s="79" t="str">
        <f>IF(TUDO!F35="","",TUDO!F35)</f>
        <v/>
      </c>
      <c r="F35" s="76" t="str">
        <f>IF(TUDO!H35="","",TUDO!H35)</f>
        <v/>
      </c>
      <c r="G35" s="77" t="str">
        <f>IF(TUDO!I35="","",TUDO!I35)</f>
        <v/>
      </c>
      <c r="H35" s="77" t="str">
        <f>IF(TUDO!J35="","",TUDO!J35)</f>
        <v/>
      </c>
      <c r="I35" s="78" t="str">
        <f>IF(TUDO!I35="","",TUDO!K35)</f>
        <v/>
      </c>
      <c r="J35" s="76" t="str">
        <f>IF(TUDO!M35="","",TUDO!M35)</f>
        <v/>
      </c>
      <c r="K35" s="77" t="str">
        <f>IF(TUDO!N35="","",TUDO!N35)</f>
        <v/>
      </c>
      <c r="L35" s="77" t="str">
        <f>IF(TUDO!O35="","",TUDO!O35)</f>
        <v/>
      </c>
      <c r="M35" s="78" t="str">
        <f>IF(TUDO!P35="","",TUDO!P35)</f>
        <v/>
      </c>
      <c r="N35" s="76" t="str">
        <f>IF(TUDO!Q35="","",TUDO!Q35)</f>
        <v/>
      </c>
      <c r="O35" s="77" t="str">
        <f>IF(TUDO!S35="","",TUDO!S35)</f>
        <v/>
      </c>
      <c r="P35" s="77" t="str">
        <f>IF(TUDO!T35="","",TUDO!T35)</f>
        <v/>
      </c>
      <c r="Q35" s="79" t="str">
        <f>IF(TUDO!U35="","",TUDO!U35)</f>
        <v/>
      </c>
      <c r="R35" s="35"/>
    </row>
    <row r="36" spans="1:18" ht="33.75" x14ac:dyDescent="0.5">
      <c r="A36" s="59"/>
      <c r="B36" s="76" t="str">
        <f>IF(TUDO!B36="","",PROPER(TUDO!B36))</f>
        <v/>
      </c>
      <c r="C36" s="77" t="str">
        <f>IF(TUDO!D36="","",TUDO!D36)</f>
        <v/>
      </c>
      <c r="D36" s="77" t="str">
        <f>IF(TUDO!E36="","",TUDO!E36)</f>
        <v/>
      </c>
      <c r="E36" s="79" t="str">
        <f>IF(TUDO!F36="","",TUDO!F36)</f>
        <v/>
      </c>
      <c r="F36" s="76" t="str">
        <f>IF(TUDO!H36="","",TUDO!H36)</f>
        <v/>
      </c>
      <c r="G36" s="77" t="str">
        <f>IF(TUDO!I36="","",TUDO!I36)</f>
        <v/>
      </c>
      <c r="H36" s="77" t="str">
        <f>IF(TUDO!J36="","",TUDO!J36)</f>
        <v/>
      </c>
      <c r="I36" s="78" t="str">
        <f>IF(TUDO!I36="","",TUDO!K36)</f>
        <v/>
      </c>
      <c r="J36" s="76" t="str">
        <f>IF(TUDO!M36="","",TUDO!M36)</f>
        <v/>
      </c>
      <c r="K36" s="77" t="str">
        <f>IF(TUDO!N36="","",TUDO!N36)</f>
        <v/>
      </c>
      <c r="L36" s="77" t="str">
        <f>IF(TUDO!O36="","",TUDO!O36)</f>
        <v/>
      </c>
      <c r="M36" s="78" t="str">
        <f>IF(TUDO!P36="","",TUDO!P36)</f>
        <v/>
      </c>
      <c r="N36" s="76" t="str">
        <f>IF(TUDO!Q36="","",TUDO!Q36)</f>
        <v/>
      </c>
      <c r="O36" s="77" t="str">
        <f>IF(TUDO!S36="","",TUDO!S36)</f>
        <v/>
      </c>
      <c r="P36" s="77" t="str">
        <f>IF(TUDO!T36="","",TUDO!T36)</f>
        <v/>
      </c>
      <c r="Q36" s="79" t="str">
        <f>IF(TUDO!U36="","",TUDO!U36)</f>
        <v/>
      </c>
      <c r="R36" s="35"/>
    </row>
    <row r="37" spans="1:18" ht="33.75" x14ac:dyDescent="0.5">
      <c r="A37" s="59"/>
      <c r="B37" s="76" t="str">
        <f>IF(TUDO!B37="","",PROPER(TUDO!B37))</f>
        <v/>
      </c>
      <c r="C37" s="77" t="str">
        <f>IF(TUDO!D37="","",TUDO!D37)</f>
        <v/>
      </c>
      <c r="D37" s="77" t="str">
        <f>IF(TUDO!E37="","",TUDO!E37)</f>
        <v/>
      </c>
      <c r="E37" s="79" t="str">
        <f>IF(TUDO!F37="","",TUDO!F37)</f>
        <v/>
      </c>
      <c r="F37" s="76" t="str">
        <f>IF(TUDO!H37="","",TUDO!H37)</f>
        <v/>
      </c>
      <c r="G37" s="77" t="str">
        <f>IF(TUDO!I37="","",TUDO!I37)</f>
        <v/>
      </c>
      <c r="H37" s="77" t="str">
        <f>IF(TUDO!J37="","",TUDO!J37)</f>
        <v/>
      </c>
      <c r="I37" s="78" t="str">
        <f>IF(TUDO!I37="","",TUDO!K37)</f>
        <v/>
      </c>
      <c r="J37" s="76" t="str">
        <f>IF(TUDO!M37="","",TUDO!M37)</f>
        <v/>
      </c>
      <c r="K37" s="77" t="str">
        <f>IF(TUDO!N37="","",TUDO!N37)</f>
        <v/>
      </c>
      <c r="L37" s="77" t="str">
        <f>IF(TUDO!O37="","",TUDO!O37)</f>
        <v/>
      </c>
      <c r="M37" s="78" t="str">
        <f>IF(TUDO!P37="","",TUDO!P37)</f>
        <v/>
      </c>
      <c r="N37" s="76" t="str">
        <f>IF(TUDO!Q37="","",TUDO!Q37)</f>
        <v/>
      </c>
      <c r="O37" s="77" t="str">
        <f>IF(TUDO!S37="","",TUDO!S37)</f>
        <v/>
      </c>
      <c r="P37" s="77" t="str">
        <f>IF(TUDO!T37="","",TUDO!T37)</f>
        <v/>
      </c>
      <c r="Q37" s="79" t="str">
        <f>IF(TUDO!U37="","",TUDO!U37)</f>
        <v/>
      </c>
      <c r="R37" s="35"/>
    </row>
    <row r="38" spans="1:18" ht="33.75" x14ac:dyDescent="0.5">
      <c r="A38" s="59"/>
      <c r="B38" s="76" t="str">
        <f>IF(TUDO!B38="","",PROPER(TUDO!B38))</f>
        <v/>
      </c>
      <c r="C38" s="77" t="str">
        <f>IF(TUDO!D38="","",TUDO!D38)</f>
        <v/>
      </c>
      <c r="D38" s="77" t="str">
        <f>IF(TUDO!E38="","",TUDO!E38)</f>
        <v/>
      </c>
      <c r="E38" s="79" t="str">
        <f>IF(TUDO!F38="","",TUDO!F38)</f>
        <v/>
      </c>
      <c r="F38" s="76" t="str">
        <f>IF(TUDO!H38="","",TUDO!H38)</f>
        <v/>
      </c>
      <c r="G38" s="77" t="str">
        <f>IF(TUDO!I38="","",TUDO!I38)</f>
        <v/>
      </c>
      <c r="H38" s="77" t="str">
        <f>IF(TUDO!J38="","",TUDO!J38)</f>
        <v/>
      </c>
      <c r="I38" s="78" t="str">
        <f>IF(TUDO!I38="","",TUDO!K38)</f>
        <v/>
      </c>
      <c r="J38" s="76" t="str">
        <f>IF(TUDO!M38="","",TUDO!M38)</f>
        <v/>
      </c>
      <c r="K38" s="77" t="str">
        <f>IF(TUDO!N38="","",TUDO!N38)</f>
        <v/>
      </c>
      <c r="L38" s="77" t="str">
        <f>IF(TUDO!O38="","",TUDO!O38)</f>
        <v/>
      </c>
      <c r="M38" s="78" t="str">
        <f>IF(TUDO!P38="","",TUDO!P38)</f>
        <v/>
      </c>
      <c r="N38" s="76" t="str">
        <f>IF(TUDO!Q38="","",TUDO!Q38)</f>
        <v/>
      </c>
      <c r="O38" s="77" t="str">
        <f>IF(TUDO!S38="","",TUDO!S38)</f>
        <v/>
      </c>
      <c r="P38" s="77" t="str">
        <f>IF(TUDO!T38="","",TUDO!T38)</f>
        <v/>
      </c>
      <c r="Q38" s="79" t="str">
        <f>IF(TUDO!U38="","",TUDO!U38)</f>
        <v/>
      </c>
      <c r="R38" s="35"/>
    </row>
    <row r="39" spans="1:18" ht="33.75" x14ac:dyDescent="0.5">
      <c r="A39" s="59"/>
      <c r="B39" s="76" t="str">
        <f>IF(TUDO!B39="","",PROPER(TUDO!B39))</f>
        <v/>
      </c>
      <c r="C39" s="77" t="str">
        <f>IF(TUDO!D39="","",TUDO!D39)</f>
        <v/>
      </c>
      <c r="D39" s="77" t="str">
        <f>IF(TUDO!E39="","",TUDO!E39)</f>
        <v/>
      </c>
      <c r="E39" s="79" t="str">
        <f>IF(TUDO!F39="","",TUDO!F39)</f>
        <v/>
      </c>
      <c r="F39" s="76" t="str">
        <f>IF(TUDO!H39="","",TUDO!H39)</f>
        <v/>
      </c>
      <c r="G39" s="77" t="str">
        <f>IF(TUDO!I39="","",TUDO!I39)</f>
        <v/>
      </c>
      <c r="H39" s="77" t="str">
        <f>IF(TUDO!J39="","",TUDO!J39)</f>
        <v/>
      </c>
      <c r="I39" s="78" t="str">
        <f>IF(TUDO!I39="","",TUDO!K39)</f>
        <v/>
      </c>
      <c r="J39" s="76" t="str">
        <f>IF(TUDO!M39="","",TUDO!M39)</f>
        <v/>
      </c>
      <c r="K39" s="77" t="str">
        <f>IF(TUDO!N39="","",TUDO!N39)</f>
        <v/>
      </c>
      <c r="L39" s="77" t="str">
        <f>IF(TUDO!O39="","",TUDO!O39)</f>
        <v/>
      </c>
      <c r="M39" s="78" t="str">
        <f>IF(TUDO!P39="","",TUDO!P39)</f>
        <v/>
      </c>
      <c r="N39" s="76" t="str">
        <f>IF(TUDO!Q39="","",TUDO!Q39)</f>
        <v/>
      </c>
      <c r="O39" s="77" t="str">
        <f>IF(TUDO!S39="","",TUDO!S39)</f>
        <v/>
      </c>
      <c r="P39" s="77" t="str">
        <f>IF(TUDO!T39="","",TUDO!T39)</f>
        <v/>
      </c>
      <c r="Q39" s="79" t="str">
        <f>IF(TUDO!U39="","",TUDO!U39)</f>
        <v/>
      </c>
      <c r="R39" s="35"/>
    </row>
    <row r="40" spans="1:18" ht="33.75" x14ac:dyDescent="0.5">
      <c r="A40" s="59"/>
      <c r="B40" s="76" t="str">
        <f>IF(TUDO!B40="","",PROPER(TUDO!B40))</f>
        <v/>
      </c>
      <c r="C40" s="77" t="str">
        <f>IF(TUDO!D40="","",TUDO!D40)</f>
        <v/>
      </c>
      <c r="D40" s="77" t="str">
        <f>IF(TUDO!E40="","",TUDO!E40)</f>
        <v/>
      </c>
      <c r="E40" s="79" t="str">
        <f>IF(TUDO!F40="","",TUDO!F40)</f>
        <v/>
      </c>
      <c r="F40" s="76" t="str">
        <f>IF(TUDO!H40="","",TUDO!H40)</f>
        <v/>
      </c>
      <c r="G40" s="77" t="str">
        <f>IF(TUDO!I40="","",TUDO!I40)</f>
        <v/>
      </c>
      <c r="H40" s="77" t="str">
        <f>IF(TUDO!J40="","",TUDO!J40)</f>
        <v/>
      </c>
      <c r="I40" s="78" t="str">
        <f>IF(TUDO!I40="","",TUDO!K40)</f>
        <v/>
      </c>
      <c r="J40" s="76" t="str">
        <f>IF(TUDO!M40="","",TUDO!M40)</f>
        <v/>
      </c>
      <c r="K40" s="77" t="str">
        <f>IF(TUDO!N40="","",TUDO!N40)</f>
        <v/>
      </c>
      <c r="L40" s="77" t="str">
        <f>IF(TUDO!O40="","",TUDO!O40)</f>
        <v/>
      </c>
      <c r="M40" s="78" t="str">
        <f>IF(TUDO!P40="","",TUDO!P40)</f>
        <v/>
      </c>
      <c r="N40" s="76" t="str">
        <f>IF(TUDO!Q40="","",TUDO!Q40)</f>
        <v/>
      </c>
      <c r="O40" s="77" t="str">
        <f>IF(TUDO!S40="","",TUDO!S40)</f>
        <v/>
      </c>
      <c r="P40" s="77" t="str">
        <f>IF(TUDO!T40="","",TUDO!T40)</f>
        <v/>
      </c>
      <c r="Q40" s="79" t="str">
        <f>IF(TUDO!U40="","",TUDO!U40)</f>
        <v/>
      </c>
      <c r="R40" s="35"/>
    </row>
    <row r="41" spans="1:18" ht="33.75" x14ac:dyDescent="0.5">
      <c r="A41" s="59"/>
      <c r="B41" s="76" t="str">
        <f>IF(TUDO!B41="","",PROPER(TUDO!B41))</f>
        <v/>
      </c>
      <c r="C41" s="77" t="str">
        <f>IF(TUDO!D41="","",TUDO!D41)</f>
        <v/>
      </c>
      <c r="D41" s="77" t="str">
        <f>IF(TUDO!E41="","",TUDO!E41)</f>
        <v/>
      </c>
      <c r="E41" s="79" t="str">
        <f>IF(TUDO!F41="","",TUDO!F41)</f>
        <v/>
      </c>
      <c r="F41" s="76" t="str">
        <f>IF(TUDO!H41="","",TUDO!H41)</f>
        <v/>
      </c>
      <c r="G41" s="77" t="str">
        <f>IF(TUDO!I41="","",TUDO!I41)</f>
        <v/>
      </c>
      <c r="H41" s="77" t="str">
        <f>IF(TUDO!J41="","",TUDO!J41)</f>
        <v/>
      </c>
      <c r="I41" s="78" t="str">
        <f>IF(TUDO!I41="","",TUDO!K41)</f>
        <v/>
      </c>
      <c r="J41" s="76" t="str">
        <f>IF(TUDO!M41="","",TUDO!M41)</f>
        <v/>
      </c>
      <c r="K41" s="77" t="str">
        <f>IF(TUDO!N41="","",TUDO!N41)</f>
        <v/>
      </c>
      <c r="L41" s="77" t="str">
        <f>IF(TUDO!O41="","",TUDO!O41)</f>
        <v/>
      </c>
      <c r="M41" s="78" t="str">
        <f>IF(TUDO!P41="","",TUDO!P41)</f>
        <v/>
      </c>
      <c r="N41" s="76" t="str">
        <f>IF(TUDO!Q41="","",TUDO!Q41)</f>
        <v/>
      </c>
      <c r="O41" s="77" t="str">
        <f>IF(TUDO!S41="","",TUDO!S41)</f>
        <v/>
      </c>
      <c r="P41" s="77" t="str">
        <f>IF(TUDO!T41="","",TUDO!T41)</f>
        <v/>
      </c>
      <c r="Q41" s="79" t="str">
        <f>IF(TUDO!U41="","",TUDO!U41)</f>
        <v/>
      </c>
      <c r="R41" s="35"/>
    </row>
    <row r="42" spans="1:18" ht="33.75" x14ac:dyDescent="0.5">
      <c r="A42" s="59"/>
      <c r="B42" s="76" t="str">
        <f>IF(TUDO!B42="","",PROPER(TUDO!B42))</f>
        <v/>
      </c>
      <c r="C42" s="77" t="str">
        <f>IF(TUDO!D42="","",TUDO!D42)</f>
        <v/>
      </c>
      <c r="D42" s="77" t="str">
        <f>IF(TUDO!E42="","",TUDO!E42)</f>
        <v/>
      </c>
      <c r="E42" s="79" t="str">
        <f>IF(TUDO!F42="","",TUDO!F42)</f>
        <v/>
      </c>
      <c r="F42" s="76" t="str">
        <f>IF(TUDO!H42="","",TUDO!H42)</f>
        <v/>
      </c>
      <c r="G42" s="77" t="str">
        <f>IF(TUDO!I42="","",TUDO!I42)</f>
        <v/>
      </c>
      <c r="H42" s="77" t="str">
        <f>IF(TUDO!J42="","",TUDO!J42)</f>
        <v/>
      </c>
      <c r="I42" s="78" t="str">
        <f>IF(TUDO!I42="","",TUDO!K42)</f>
        <v/>
      </c>
      <c r="J42" s="76" t="str">
        <f>IF(TUDO!M42="","",TUDO!M42)</f>
        <v/>
      </c>
      <c r="K42" s="77" t="str">
        <f>IF(TUDO!N42="","",TUDO!N42)</f>
        <v/>
      </c>
      <c r="L42" s="77" t="str">
        <f>IF(TUDO!O42="","",TUDO!O42)</f>
        <v/>
      </c>
      <c r="M42" s="78" t="str">
        <f>IF(TUDO!P42="","",TUDO!P42)</f>
        <v/>
      </c>
      <c r="N42" s="76" t="str">
        <f>IF(TUDO!Q42="","",TUDO!Q42)</f>
        <v/>
      </c>
      <c r="O42" s="77" t="str">
        <f>IF(TUDO!S42="","",TUDO!S42)</f>
        <v/>
      </c>
      <c r="P42" s="77" t="str">
        <f>IF(TUDO!T42="","",TUDO!T42)</f>
        <v/>
      </c>
      <c r="Q42" s="79" t="str">
        <f>IF(TUDO!U42="","",TUDO!U42)</f>
        <v/>
      </c>
      <c r="R42" s="35"/>
    </row>
    <row r="43" spans="1:18" ht="33.75" x14ac:dyDescent="0.5">
      <c r="A43" s="59"/>
      <c r="B43" s="76" t="str">
        <f>IF(TUDO!B43="","",PROPER(TUDO!B43))</f>
        <v/>
      </c>
      <c r="C43" s="77" t="str">
        <f>IF(TUDO!D43="","",TUDO!D43)</f>
        <v/>
      </c>
      <c r="D43" s="77" t="str">
        <f>IF(TUDO!E43="","",TUDO!E43)</f>
        <v/>
      </c>
      <c r="E43" s="79" t="str">
        <f>IF(TUDO!F43="","",TUDO!F43)</f>
        <v/>
      </c>
      <c r="F43" s="76" t="str">
        <f>IF(TUDO!H43="","",TUDO!H43)</f>
        <v/>
      </c>
      <c r="G43" s="77" t="str">
        <f>IF(TUDO!I43="","",TUDO!I43)</f>
        <v/>
      </c>
      <c r="H43" s="77" t="str">
        <f>IF(TUDO!J43="","",TUDO!J43)</f>
        <v/>
      </c>
      <c r="I43" s="78" t="str">
        <f>IF(TUDO!I43="","",TUDO!K43)</f>
        <v/>
      </c>
      <c r="J43" s="76" t="str">
        <f>IF(TUDO!M43="","",TUDO!M43)</f>
        <v/>
      </c>
      <c r="K43" s="77" t="str">
        <f>IF(TUDO!N43="","",TUDO!N43)</f>
        <v/>
      </c>
      <c r="L43" s="77" t="str">
        <f>IF(TUDO!O43="","",TUDO!O43)</f>
        <v/>
      </c>
      <c r="M43" s="78" t="str">
        <f>IF(TUDO!P43="","",TUDO!P43)</f>
        <v/>
      </c>
      <c r="N43" s="76" t="str">
        <f>IF(TUDO!Q43="","",TUDO!Q43)</f>
        <v/>
      </c>
      <c r="O43" s="77" t="str">
        <f>IF(TUDO!S43="","",TUDO!S43)</f>
        <v/>
      </c>
      <c r="P43" s="77" t="str">
        <f>IF(TUDO!T43="","",TUDO!T43)</f>
        <v/>
      </c>
      <c r="Q43" s="79" t="str">
        <f>IF(TUDO!U43="","",TUDO!U43)</f>
        <v/>
      </c>
      <c r="R43" s="35"/>
    </row>
    <row r="44" spans="1:18" ht="33.75" x14ac:dyDescent="0.5">
      <c r="A44" s="59"/>
      <c r="B44" s="76" t="str">
        <f>IF(TUDO!B44="","",PROPER(TUDO!B44))</f>
        <v/>
      </c>
      <c r="C44" s="77" t="str">
        <f>IF(TUDO!D44="","",TUDO!D44)</f>
        <v/>
      </c>
      <c r="D44" s="77" t="str">
        <f>IF(TUDO!E44="","",TUDO!E44)</f>
        <v/>
      </c>
      <c r="E44" s="79" t="str">
        <f>IF(TUDO!F44="","",TUDO!F44)</f>
        <v/>
      </c>
      <c r="F44" s="76" t="str">
        <f>IF(TUDO!H44="","",TUDO!H44)</f>
        <v/>
      </c>
      <c r="G44" s="77" t="str">
        <f>IF(TUDO!I44="","",TUDO!I44)</f>
        <v/>
      </c>
      <c r="H44" s="77" t="str">
        <f>IF(TUDO!J44="","",TUDO!J44)</f>
        <v/>
      </c>
      <c r="I44" s="78" t="str">
        <f>IF(TUDO!I44="","",TUDO!K44)</f>
        <v/>
      </c>
      <c r="J44" s="76" t="str">
        <f>IF(TUDO!M44="","",TUDO!M44)</f>
        <v/>
      </c>
      <c r="K44" s="77" t="str">
        <f>IF(TUDO!N44="","",TUDO!N44)</f>
        <v/>
      </c>
      <c r="L44" s="77" t="str">
        <f>IF(TUDO!O44="","",TUDO!O44)</f>
        <v/>
      </c>
      <c r="M44" s="78" t="str">
        <f>IF(TUDO!P44="","",TUDO!P44)</f>
        <v/>
      </c>
      <c r="N44" s="76" t="str">
        <f>IF(TUDO!Q44="","",TUDO!Q44)</f>
        <v/>
      </c>
      <c r="O44" s="77" t="str">
        <f>IF(TUDO!S44="","",TUDO!S44)</f>
        <v/>
      </c>
      <c r="P44" s="77" t="str">
        <f>IF(TUDO!T44="","",TUDO!T44)</f>
        <v/>
      </c>
      <c r="Q44" s="79" t="str">
        <f>IF(TUDO!U44="","",TUDO!U44)</f>
        <v/>
      </c>
      <c r="R44" s="35"/>
    </row>
    <row r="45" spans="1:18" ht="33.75" x14ac:dyDescent="0.5">
      <c r="A45" s="59"/>
      <c r="B45" s="76" t="str">
        <f>IF(TUDO!B45="","",PROPER(TUDO!B45))</f>
        <v/>
      </c>
      <c r="C45" s="77" t="str">
        <f>IF(TUDO!D45="","",TUDO!D45)</f>
        <v/>
      </c>
      <c r="D45" s="77" t="str">
        <f>IF(TUDO!E45="","",TUDO!E45)</f>
        <v/>
      </c>
      <c r="E45" s="79" t="str">
        <f>IF(TUDO!F45="","",TUDO!F45)</f>
        <v/>
      </c>
      <c r="F45" s="76" t="str">
        <f>IF(TUDO!H45="","",TUDO!H45)</f>
        <v/>
      </c>
      <c r="G45" s="77" t="str">
        <f>IF(TUDO!I45="","",TUDO!I45)</f>
        <v/>
      </c>
      <c r="H45" s="77" t="str">
        <f>IF(TUDO!J45="","",TUDO!J45)</f>
        <v/>
      </c>
      <c r="I45" s="78" t="str">
        <f>IF(TUDO!I45="","",TUDO!K45)</f>
        <v/>
      </c>
      <c r="J45" s="76" t="str">
        <f>IF(TUDO!M45="","",TUDO!M45)</f>
        <v/>
      </c>
      <c r="K45" s="77" t="str">
        <f>IF(TUDO!N45="","",TUDO!N45)</f>
        <v/>
      </c>
      <c r="L45" s="77" t="str">
        <f>IF(TUDO!O45="","",TUDO!O45)</f>
        <v/>
      </c>
      <c r="M45" s="78" t="str">
        <f>IF(TUDO!P45="","",TUDO!P45)</f>
        <v/>
      </c>
      <c r="N45" s="76" t="str">
        <f>IF(TUDO!Q45="","",TUDO!Q45)</f>
        <v/>
      </c>
      <c r="O45" s="77" t="str">
        <f>IF(TUDO!S45="","",TUDO!S45)</f>
        <v/>
      </c>
      <c r="P45" s="77" t="str">
        <f>IF(TUDO!T45="","",TUDO!T45)</f>
        <v/>
      </c>
      <c r="Q45" s="79" t="str">
        <f>IF(TUDO!U45="","",TUDO!U45)</f>
        <v/>
      </c>
      <c r="R45" s="35"/>
    </row>
    <row r="46" spans="1:18" ht="33.75" x14ac:dyDescent="0.5">
      <c r="A46" s="59"/>
      <c r="B46" s="76" t="str">
        <f>IF(TUDO!B46="","",PROPER(TUDO!B46))</f>
        <v/>
      </c>
      <c r="C46" s="77" t="str">
        <f>IF(TUDO!D46="","",TUDO!D46)</f>
        <v/>
      </c>
      <c r="D46" s="77" t="str">
        <f>IF(TUDO!E46="","",TUDO!E46)</f>
        <v/>
      </c>
      <c r="E46" s="79" t="str">
        <f>IF(TUDO!F46="","",TUDO!F46)</f>
        <v/>
      </c>
      <c r="F46" s="76" t="str">
        <f>IF(TUDO!H46="","",TUDO!H46)</f>
        <v/>
      </c>
      <c r="G46" s="77" t="str">
        <f>IF(TUDO!I46="","",TUDO!I46)</f>
        <v/>
      </c>
      <c r="H46" s="77" t="str">
        <f>IF(TUDO!J46="","",TUDO!J46)</f>
        <v/>
      </c>
      <c r="I46" s="78" t="str">
        <f>IF(TUDO!I46="","",TUDO!K46)</f>
        <v/>
      </c>
      <c r="J46" s="76" t="str">
        <f>IF(TUDO!M46="","",TUDO!M46)</f>
        <v/>
      </c>
      <c r="K46" s="77" t="str">
        <f>IF(TUDO!N46="","",TUDO!N46)</f>
        <v/>
      </c>
      <c r="L46" s="77" t="str">
        <f>IF(TUDO!O46="","",TUDO!O46)</f>
        <v/>
      </c>
      <c r="M46" s="78" t="str">
        <f>IF(TUDO!P46="","",TUDO!P46)</f>
        <v/>
      </c>
      <c r="N46" s="76" t="str">
        <f>IF(TUDO!Q46="","",TUDO!Q46)</f>
        <v/>
      </c>
      <c r="O46" s="77" t="str">
        <f>IF(TUDO!S46="","",TUDO!S46)</f>
        <v/>
      </c>
      <c r="P46" s="77" t="str">
        <f>IF(TUDO!T46="","",TUDO!T46)</f>
        <v/>
      </c>
      <c r="Q46" s="79" t="str">
        <f>IF(TUDO!U46="","",TUDO!U46)</f>
        <v/>
      </c>
      <c r="R46" s="35"/>
    </row>
    <row r="47" spans="1:18" ht="33.75" x14ac:dyDescent="0.5">
      <c r="A47" s="59"/>
      <c r="B47" s="76" t="str">
        <f>IF(TUDO!B47="","",PROPER(TUDO!B47))</f>
        <v/>
      </c>
      <c r="C47" s="77" t="str">
        <f>IF(TUDO!D47="","",TUDO!D47)</f>
        <v/>
      </c>
      <c r="D47" s="77" t="str">
        <f>IF(TUDO!E47="","",TUDO!E47)</f>
        <v/>
      </c>
      <c r="E47" s="79" t="str">
        <f>IF(TUDO!F47="","",TUDO!F47)</f>
        <v/>
      </c>
      <c r="F47" s="76" t="str">
        <f>IF(TUDO!H47="","",TUDO!H47)</f>
        <v/>
      </c>
      <c r="G47" s="77" t="str">
        <f>IF(TUDO!I47="","",TUDO!I47)</f>
        <v/>
      </c>
      <c r="H47" s="77" t="str">
        <f>IF(TUDO!J47="","",TUDO!J47)</f>
        <v/>
      </c>
      <c r="I47" s="78" t="str">
        <f>IF(TUDO!I47="","",TUDO!K47)</f>
        <v/>
      </c>
      <c r="J47" s="76" t="str">
        <f>IF(TUDO!M47="","",TUDO!M47)</f>
        <v/>
      </c>
      <c r="K47" s="77" t="str">
        <f>IF(TUDO!N47="","",TUDO!N47)</f>
        <v/>
      </c>
      <c r="L47" s="77" t="str">
        <f>IF(TUDO!O47="","",TUDO!O47)</f>
        <v/>
      </c>
      <c r="M47" s="78" t="str">
        <f>IF(TUDO!P47="","",TUDO!P47)</f>
        <v/>
      </c>
      <c r="N47" s="76" t="str">
        <f>IF(TUDO!Q47="","",TUDO!Q47)</f>
        <v/>
      </c>
      <c r="O47" s="77" t="str">
        <f>IF(TUDO!S47="","",TUDO!S47)</f>
        <v/>
      </c>
      <c r="P47" s="77" t="str">
        <f>IF(TUDO!T47="","",TUDO!T47)</f>
        <v/>
      </c>
      <c r="Q47" s="79" t="str">
        <f>IF(TUDO!U47="","",TUDO!U47)</f>
        <v/>
      </c>
      <c r="R47" s="35"/>
    </row>
    <row r="48" spans="1:18" ht="33.75" x14ac:dyDescent="0.5">
      <c r="A48" s="59"/>
      <c r="B48" s="76" t="str">
        <f>IF(TUDO!B48="","",PROPER(TUDO!B48))</f>
        <v/>
      </c>
      <c r="C48" s="77" t="str">
        <f>IF(TUDO!D48="","",TUDO!D48)</f>
        <v/>
      </c>
      <c r="D48" s="77" t="str">
        <f>IF(TUDO!E48="","",TUDO!E48)</f>
        <v/>
      </c>
      <c r="E48" s="79" t="str">
        <f>IF(TUDO!F48="","",TUDO!F48)</f>
        <v/>
      </c>
      <c r="F48" s="76" t="str">
        <f>IF(TUDO!H48="","",TUDO!H48)</f>
        <v/>
      </c>
      <c r="G48" s="77" t="str">
        <f>IF(TUDO!I48="","",TUDO!I48)</f>
        <v/>
      </c>
      <c r="H48" s="77" t="str">
        <f>IF(TUDO!J48="","",TUDO!J48)</f>
        <v/>
      </c>
      <c r="I48" s="78" t="str">
        <f>IF(TUDO!I48="","",TUDO!K48)</f>
        <v/>
      </c>
      <c r="J48" s="76" t="str">
        <f>IF(TUDO!M48="","",TUDO!M48)</f>
        <v/>
      </c>
      <c r="K48" s="77" t="str">
        <f>IF(TUDO!N48="","",TUDO!N48)</f>
        <v/>
      </c>
      <c r="L48" s="77" t="str">
        <f>IF(TUDO!O48="","",TUDO!O48)</f>
        <v/>
      </c>
      <c r="M48" s="78" t="str">
        <f>IF(TUDO!P48="","",TUDO!P48)</f>
        <v/>
      </c>
      <c r="N48" s="76" t="str">
        <f>IF(TUDO!Q48="","",TUDO!Q48)</f>
        <v/>
      </c>
      <c r="O48" s="77" t="str">
        <f>IF(TUDO!S48="","",TUDO!S48)</f>
        <v/>
      </c>
      <c r="P48" s="77" t="str">
        <f>IF(TUDO!T48="","",TUDO!T48)</f>
        <v/>
      </c>
      <c r="Q48" s="79" t="str">
        <f>IF(TUDO!U48="","",TUDO!U48)</f>
        <v/>
      </c>
      <c r="R48" s="35"/>
    </row>
    <row r="49" spans="1:18" ht="33.75" x14ac:dyDescent="0.5">
      <c r="A49" s="59"/>
      <c r="B49" s="76" t="str">
        <f>IF(TUDO!B49="","",PROPER(TUDO!B49))</f>
        <v/>
      </c>
      <c r="C49" s="77" t="str">
        <f>IF(TUDO!D49="","",TUDO!D49)</f>
        <v/>
      </c>
      <c r="D49" s="77" t="str">
        <f>IF(TUDO!E49="","",TUDO!E49)</f>
        <v/>
      </c>
      <c r="E49" s="79" t="str">
        <f>IF(TUDO!F49="","",TUDO!F49)</f>
        <v/>
      </c>
      <c r="F49" s="76" t="str">
        <f>IF(TUDO!H49="","",TUDO!H49)</f>
        <v/>
      </c>
      <c r="G49" s="77" t="str">
        <f>IF(TUDO!I49="","",TUDO!I49)</f>
        <v/>
      </c>
      <c r="H49" s="77" t="str">
        <f>IF(TUDO!J49="","",TUDO!J49)</f>
        <v/>
      </c>
      <c r="I49" s="78" t="str">
        <f>IF(TUDO!I49="","",TUDO!K49)</f>
        <v/>
      </c>
      <c r="J49" s="76" t="str">
        <f>IF(TUDO!M49="","",TUDO!M49)</f>
        <v/>
      </c>
      <c r="K49" s="77" t="str">
        <f>IF(TUDO!N49="","",TUDO!N49)</f>
        <v/>
      </c>
      <c r="L49" s="77" t="str">
        <f>IF(TUDO!O49="","",TUDO!O49)</f>
        <v/>
      </c>
      <c r="M49" s="78" t="str">
        <f>IF(TUDO!P49="","",TUDO!P49)</f>
        <v/>
      </c>
      <c r="N49" s="76" t="str">
        <f>IF(TUDO!Q49="","",TUDO!Q49)</f>
        <v/>
      </c>
      <c r="O49" s="77" t="str">
        <f>IF(TUDO!S49="","",TUDO!S49)</f>
        <v/>
      </c>
      <c r="P49" s="77" t="str">
        <f>IF(TUDO!T49="","",TUDO!T49)</f>
        <v/>
      </c>
      <c r="Q49" s="79" t="str">
        <f>IF(TUDO!U49="","",TUDO!U49)</f>
        <v/>
      </c>
      <c r="R49" s="35"/>
    </row>
    <row r="50" spans="1:18" ht="33.75" x14ac:dyDescent="0.5">
      <c r="A50" s="59"/>
      <c r="B50" s="76" t="str">
        <f>IF(TUDO!B50="","",PROPER(TUDO!B50))</f>
        <v/>
      </c>
      <c r="C50" s="77" t="str">
        <f>IF(TUDO!D50="","",TUDO!D50)</f>
        <v/>
      </c>
      <c r="D50" s="77" t="str">
        <f>IF(TUDO!E50="","",TUDO!E50)</f>
        <v/>
      </c>
      <c r="E50" s="79" t="str">
        <f>IF(TUDO!F50="","",TUDO!F50)</f>
        <v/>
      </c>
      <c r="F50" s="76" t="str">
        <f>IF(TUDO!H50="","",TUDO!H50)</f>
        <v/>
      </c>
      <c r="G50" s="77" t="str">
        <f>IF(TUDO!I50="","",TUDO!I50)</f>
        <v/>
      </c>
      <c r="H50" s="77" t="str">
        <f>IF(TUDO!J50="","",TUDO!J50)</f>
        <v/>
      </c>
      <c r="I50" s="78" t="str">
        <f>IF(TUDO!I50="","",TUDO!K50)</f>
        <v/>
      </c>
      <c r="J50" s="76" t="str">
        <f>IF(TUDO!M50="","",TUDO!M50)</f>
        <v/>
      </c>
      <c r="K50" s="77" t="str">
        <f>IF(TUDO!N50="","",TUDO!N50)</f>
        <v/>
      </c>
      <c r="L50" s="77" t="str">
        <f>IF(TUDO!O50="","",TUDO!O50)</f>
        <v/>
      </c>
      <c r="M50" s="78" t="str">
        <f>IF(TUDO!P50="","",TUDO!P50)</f>
        <v/>
      </c>
      <c r="N50" s="76" t="str">
        <f>IF(TUDO!Q50="","",TUDO!Q50)</f>
        <v/>
      </c>
      <c r="O50" s="77" t="str">
        <f>IF(TUDO!S50="","",TUDO!S50)</f>
        <v/>
      </c>
      <c r="P50" s="77" t="str">
        <f>IF(TUDO!T50="","",TUDO!T50)</f>
        <v/>
      </c>
      <c r="Q50" s="79" t="str">
        <f>IF(TUDO!U50="","",TUDO!U50)</f>
        <v/>
      </c>
      <c r="R50" s="35"/>
    </row>
    <row r="51" spans="1:18" ht="33.75" x14ac:dyDescent="0.5">
      <c r="A51" s="59"/>
      <c r="B51" s="76" t="str">
        <f>IF(TUDO!B51="","",PROPER(TUDO!B51))</f>
        <v/>
      </c>
      <c r="C51" s="77" t="str">
        <f>IF(TUDO!D51="","",TUDO!D51)</f>
        <v/>
      </c>
      <c r="D51" s="77" t="str">
        <f>IF(TUDO!E51="","",TUDO!E51)</f>
        <v/>
      </c>
      <c r="E51" s="79" t="str">
        <f>IF(TUDO!F51="","",TUDO!F51)</f>
        <v/>
      </c>
      <c r="F51" s="76" t="str">
        <f>IF(TUDO!H51="","",TUDO!H51)</f>
        <v/>
      </c>
      <c r="G51" s="77" t="str">
        <f>IF(TUDO!I51="","",TUDO!I51)</f>
        <v/>
      </c>
      <c r="H51" s="77" t="str">
        <f>IF(TUDO!J51="","",TUDO!J51)</f>
        <v/>
      </c>
      <c r="I51" s="78" t="str">
        <f>IF(TUDO!I51="","",TUDO!K51)</f>
        <v/>
      </c>
      <c r="J51" s="76" t="str">
        <f>IF(TUDO!M51="","",TUDO!M51)</f>
        <v/>
      </c>
      <c r="K51" s="77" t="str">
        <f>IF(TUDO!N51="","",TUDO!N51)</f>
        <v/>
      </c>
      <c r="L51" s="77" t="str">
        <f>IF(TUDO!O51="","",TUDO!O51)</f>
        <v/>
      </c>
      <c r="M51" s="78" t="str">
        <f>IF(TUDO!P51="","",TUDO!P51)</f>
        <v/>
      </c>
      <c r="N51" s="76" t="str">
        <f>IF(TUDO!Q51="","",TUDO!Q51)</f>
        <v/>
      </c>
      <c r="O51" s="77" t="str">
        <f>IF(TUDO!S51="","",TUDO!S51)</f>
        <v/>
      </c>
      <c r="P51" s="77" t="str">
        <f>IF(TUDO!T51="","",TUDO!T51)</f>
        <v/>
      </c>
      <c r="Q51" s="79" t="str">
        <f>IF(TUDO!U51="","",TUDO!U51)</f>
        <v/>
      </c>
      <c r="R51" s="35"/>
    </row>
    <row r="52" spans="1:18" ht="33.75" x14ac:dyDescent="0.5">
      <c r="A52" s="59"/>
      <c r="B52" s="76" t="str">
        <f>IF(TUDO!B52="","",PROPER(TUDO!B52))</f>
        <v/>
      </c>
      <c r="C52" s="77" t="str">
        <f>IF(TUDO!D52="","",TUDO!D52)</f>
        <v/>
      </c>
      <c r="D52" s="77" t="str">
        <f>IF(TUDO!E52="","",TUDO!E52)</f>
        <v/>
      </c>
      <c r="E52" s="79" t="str">
        <f>IF(TUDO!F52="","",TUDO!F52)</f>
        <v/>
      </c>
      <c r="F52" s="76" t="str">
        <f>IF(TUDO!H52="","",TUDO!H52)</f>
        <v/>
      </c>
      <c r="G52" s="77" t="str">
        <f>IF(TUDO!I52="","",TUDO!I52)</f>
        <v/>
      </c>
      <c r="H52" s="77" t="str">
        <f>IF(TUDO!J52="","",TUDO!J52)</f>
        <v/>
      </c>
      <c r="I52" s="78" t="str">
        <f>IF(TUDO!I52="","",TUDO!K52)</f>
        <v/>
      </c>
      <c r="J52" s="76" t="str">
        <f>IF(TUDO!M52="","",TUDO!M52)</f>
        <v/>
      </c>
      <c r="K52" s="77" t="str">
        <f>IF(TUDO!N52="","",TUDO!N52)</f>
        <v/>
      </c>
      <c r="L52" s="77" t="str">
        <f>IF(TUDO!O52="","",TUDO!O52)</f>
        <v/>
      </c>
      <c r="M52" s="78" t="str">
        <f>IF(TUDO!P52="","",TUDO!P52)</f>
        <v/>
      </c>
      <c r="N52" s="76" t="str">
        <f>IF(TUDO!Q52="","",TUDO!Q52)</f>
        <v/>
      </c>
      <c r="O52" s="77" t="str">
        <f>IF(TUDO!S52="","",TUDO!S52)</f>
        <v/>
      </c>
      <c r="P52" s="77" t="str">
        <f>IF(TUDO!T52="","",TUDO!T52)</f>
        <v/>
      </c>
      <c r="Q52" s="79" t="str">
        <f>IF(TUDO!U52="","",TUDO!U52)</f>
        <v/>
      </c>
      <c r="R52" s="35"/>
    </row>
    <row r="53" spans="1:18" ht="33.75" x14ac:dyDescent="0.5">
      <c r="A53" s="59"/>
      <c r="B53" s="76" t="str">
        <f>IF(TUDO!B53="","",PROPER(TUDO!B53))</f>
        <v/>
      </c>
      <c r="C53" s="77" t="str">
        <f>IF(TUDO!D53="","",TUDO!D53)</f>
        <v/>
      </c>
      <c r="D53" s="77" t="str">
        <f>IF(TUDO!E53="","",TUDO!E53)</f>
        <v/>
      </c>
      <c r="E53" s="79" t="str">
        <f>IF(TUDO!F53="","",TUDO!F53)</f>
        <v/>
      </c>
      <c r="F53" s="76" t="str">
        <f>IF(TUDO!H53="","",TUDO!H53)</f>
        <v/>
      </c>
      <c r="G53" s="77" t="str">
        <f>IF(TUDO!I53="","",TUDO!I53)</f>
        <v/>
      </c>
      <c r="H53" s="77" t="str">
        <f>IF(TUDO!J53="","",TUDO!J53)</f>
        <v/>
      </c>
      <c r="I53" s="78" t="str">
        <f>IF(TUDO!I53="","",TUDO!K53)</f>
        <v/>
      </c>
      <c r="J53" s="76" t="str">
        <f>IF(TUDO!M53="","",TUDO!M53)</f>
        <v/>
      </c>
      <c r="K53" s="77" t="str">
        <f>IF(TUDO!N53="","",TUDO!N53)</f>
        <v/>
      </c>
      <c r="L53" s="77" t="str">
        <f>IF(TUDO!O53="","",TUDO!O53)</f>
        <v/>
      </c>
      <c r="M53" s="78" t="str">
        <f>IF(TUDO!P53="","",TUDO!P53)</f>
        <v/>
      </c>
      <c r="N53" s="76" t="str">
        <f>IF(TUDO!Q53="","",TUDO!Q53)</f>
        <v/>
      </c>
      <c r="O53" s="77" t="str">
        <f>IF(TUDO!S53="","",TUDO!S53)</f>
        <v/>
      </c>
      <c r="P53" s="77" t="str">
        <f>IF(TUDO!T53="","",TUDO!T53)</f>
        <v/>
      </c>
      <c r="Q53" s="79" t="str">
        <f>IF(TUDO!U53="","",TUDO!U53)</f>
        <v/>
      </c>
      <c r="R53" s="35"/>
    </row>
    <row r="54" spans="1:18" ht="33.75" x14ac:dyDescent="0.5">
      <c r="A54" s="59"/>
      <c r="B54" s="76" t="str">
        <f>IF(TUDO!B54="","",PROPER(TUDO!B54))</f>
        <v/>
      </c>
      <c r="C54" s="77" t="str">
        <f>IF(TUDO!D54="","",TUDO!D54)</f>
        <v/>
      </c>
      <c r="D54" s="77" t="str">
        <f>IF(TUDO!E54="","",TUDO!E54)</f>
        <v/>
      </c>
      <c r="E54" s="79" t="str">
        <f>IF(TUDO!F54="","",TUDO!F54)</f>
        <v/>
      </c>
      <c r="F54" s="76" t="str">
        <f>IF(TUDO!H54="","",TUDO!H54)</f>
        <v/>
      </c>
      <c r="G54" s="77" t="str">
        <f>IF(TUDO!I54="","",TUDO!I54)</f>
        <v/>
      </c>
      <c r="H54" s="77" t="str">
        <f>IF(TUDO!J54="","",TUDO!J54)</f>
        <v/>
      </c>
      <c r="I54" s="78" t="str">
        <f>IF(TUDO!I54="","",TUDO!K54)</f>
        <v/>
      </c>
      <c r="J54" s="76" t="str">
        <f>IF(TUDO!M54="","",TUDO!M54)</f>
        <v/>
      </c>
      <c r="K54" s="77" t="str">
        <f>IF(TUDO!N54="","",TUDO!N54)</f>
        <v/>
      </c>
      <c r="L54" s="77" t="str">
        <f>IF(TUDO!O54="","",TUDO!O54)</f>
        <v/>
      </c>
      <c r="M54" s="78" t="str">
        <f>IF(TUDO!P54="","",TUDO!P54)</f>
        <v/>
      </c>
      <c r="N54" s="76" t="str">
        <f>IF(TUDO!Q54="","",TUDO!Q54)</f>
        <v/>
      </c>
      <c r="O54" s="77" t="str">
        <f>IF(TUDO!S54="","",TUDO!S54)</f>
        <v/>
      </c>
      <c r="P54" s="77" t="str">
        <f>IF(TUDO!T54="","",TUDO!T54)</f>
        <v/>
      </c>
      <c r="Q54" s="79" t="str">
        <f>IF(TUDO!U54="","",TUDO!U54)</f>
        <v/>
      </c>
      <c r="R54" s="35"/>
    </row>
    <row r="55" spans="1:18" ht="33.75" x14ac:dyDescent="0.5">
      <c r="A55" s="59"/>
      <c r="B55" s="76" t="str">
        <f>IF(TUDO!B55="","",PROPER(TUDO!B55))</f>
        <v/>
      </c>
      <c r="C55" s="77" t="str">
        <f>IF(TUDO!D55="","",TUDO!D55)</f>
        <v/>
      </c>
      <c r="D55" s="77" t="str">
        <f>IF(TUDO!E55="","",TUDO!E55)</f>
        <v/>
      </c>
      <c r="E55" s="79" t="str">
        <f>IF(TUDO!F55="","",TUDO!F55)</f>
        <v/>
      </c>
      <c r="F55" s="76" t="str">
        <f>IF(TUDO!H55="","",TUDO!H55)</f>
        <v/>
      </c>
      <c r="G55" s="77" t="str">
        <f>IF(TUDO!I55="","",TUDO!I55)</f>
        <v/>
      </c>
      <c r="H55" s="77" t="str">
        <f>IF(TUDO!J55="","",TUDO!J55)</f>
        <v/>
      </c>
      <c r="I55" s="78" t="str">
        <f>IF(TUDO!I55="","",TUDO!K55)</f>
        <v/>
      </c>
      <c r="J55" s="76" t="str">
        <f>IF(TUDO!M55="","",TUDO!M55)</f>
        <v/>
      </c>
      <c r="K55" s="77" t="str">
        <f>IF(TUDO!N55="","",TUDO!N55)</f>
        <v/>
      </c>
      <c r="L55" s="77" t="str">
        <f>IF(TUDO!O55="","",TUDO!O55)</f>
        <v/>
      </c>
      <c r="M55" s="78" t="str">
        <f>IF(TUDO!P55="","",TUDO!P55)</f>
        <v/>
      </c>
      <c r="N55" s="76" t="str">
        <f>IF(TUDO!Q55="","",TUDO!Q55)</f>
        <v/>
      </c>
      <c r="O55" s="77" t="str">
        <f>IF(TUDO!S55="","",TUDO!S55)</f>
        <v/>
      </c>
      <c r="P55" s="77" t="str">
        <f>IF(TUDO!T55="","",TUDO!T55)</f>
        <v/>
      </c>
      <c r="Q55" s="79" t="str">
        <f>IF(TUDO!U55="","",TUDO!U55)</f>
        <v/>
      </c>
      <c r="R55" s="35"/>
    </row>
    <row r="56" spans="1:18" ht="33.75" x14ac:dyDescent="0.5">
      <c r="A56" s="59"/>
      <c r="B56" s="76" t="str">
        <f>IF(TUDO!B56="","",PROPER(TUDO!B56))</f>
        <v/>
      </c>
      <c r="C56" s="77" t="str">
        <f>IF(TUDO!D56="","",TUDO!D56)</f>
        <v/>
      </c>
      <c r="D56" s="77" t="str">
        <f>IF(TUDO!E56="","",TUDO!E56)</f>
        <v/>
      </c>
      <c r="E56" s="79" t="str">
        <f>IF(TUDO!F56="","",TUDO!F56)</f>
        <v/>
      </c>
      <c r="F56" s="76" t="str">
        <f>IF(TUDO!H56="","",TUDO!H56)</f>
        <v/>
      </c>
      <c r="G56" s="77" t="str">
        <f>IF(TUDO!I56="","",TUDO!I56)</f>
        <v/>
      </c>
      <c r="H56" s="77" t="str">
        <f>IF(TUDO!J56="","",TUDO!J56)</f>
        <v/>
      </c>
      <c r="I56" s="78" t="str">
        <f>IF(TUDO!I56="","",TUDO!K56)</f>
        <v/>
      </c>
      <c r="J56" s="76" t="str">
        <f>IF(TUDO!M56="","",TUDO!M56)</f>
        <v/>
      </c>
      <c r="K56" s="77" t="str">
        <f>IF(TUDO!N56="","",TUDO!N56)</f>
        <v/>
      </c>
      <c r="L56" s="77" t="str">
        <f>IF(TUDO!O56="","",TUDO!O56)</f>
        <v/>
      </c>
      <c r="M56" s="78" t="str">
        <f>IF(TUDO!P56="","",TUDO!P56)</f>
        <v/>
      </c>
      <c r="N56" s="76" t="str">
        <f>IF(TUDO!Q56="","",TUDO!Q56)</f>
        <v/>
      </c>
      <c r="O56" s="77" t="str">
        <f>IF(TUDO!S56="","",TUDO!S56)</f>
        <v/>
      </c>
      <c r="P56" s="77" t="str">
        <f>IF(TUDO!T56="","",TUDO!T56)</f>
        <v/>
      </c>
      <c r="Q56" s="79" t="str">
        <f>IF(TUDO!U56="","",TUDO!U56)</f>
        <v/>
      </c>
      <c r="R56" s="35"/>
    </row>
    <row r="57" spans="1:18" ht="33.75" x14ac:dyDescent="0.5">
      <c r="A57" s="59"/>
      <c r="B57" s="76" t="str">
        <f>IF(TUDO!B57="","",PROPER(TUDO!B57))</f>
        <v/>
      </c>
      <c r="C57" s="77" t="str">
        <f>IF(TUDO!D57="","",TUDO!D57)</f>
        <v/>
      </c>
      <c r="D57" s="77" t="str">
        <f>IF(TUDO!E57="","",TUDO!E57)</f>
        <v/>
      </c>
      <c r="E57" s="79" t="str">
        <f>IF(TUDO!F57="","",TUDO!F57)</f>
        <v/>
      </c>
      <c r="F57" s="76" t="str">
        <f>IF(TUDO!H57="","",TUDO!H57)</f>
        <v/>
      </c>
      <c r="G57" s="77" t="str">
        <f>IF(TUDO!I57="","",TUDO!I57)</f>
        <v/>
      </c>
      <c r="H57" s="77" t="str">
        <f>IF(TUDO!J57="","",TUDO!J57)</f>
        <v/>
      </c>
      <c r="I57" s="78" t="str">
        <f>IF(TUDO!I57="","",TUDO!K57)</f>
        <v/>
      </c>
      <c r="J57" s="76" t="str">
        <f>IF(TUDO!M57="","",TUDO!M57)</f>
        <v/>
      </c>
      <c r="K57" s="77" t="str">
        <f>IF(TUDO!N57="","",TUDO!N57)</f>
        <v/>
      </c>
      <c r="L57" s="77" t="str">
        <f>IF(TUDO!O57="","",TUDO!O57)</f>
        <v/>
      </c>
      <c r="M57" s="78" t="str">
        <f>IF(TUDO!P57="","",TUDO!P57)</f>
        <v/>
      </c>
      <c r="N57" s="76" t="str">
        <f>IF(TUDO!Q57="","",TUDO!Q57)</f>
        <v/>
      </c>
      <c r="O57" s="77" t="str">
        <f>IF(TUDO!S57="","",TUDO!S57)</f>
        <v/>
      </c>
      <c r="P57" s="77" t="str">
        <f>IF(TUDO!T57="","",TUDO!T57)</f>
        <v/>
      </c>
      <c r="Q57" s="79" t="str">
        <f>IF(TUDO!U57="","",TUDO!U57)</f>
        <v/>
      </c>
      <c r="R57" s="35"/>
    </row>
    <row r="58" spans="1:18" ht="33.75" x14ac:dyDescent="0.5">
      <c r="A58" s="59"/>
      <c r="B58" s="76" t="str">
        <f>IF(TUDO!B58="","",PROPER(TUDO!B58))</f>
        <v/>
      </c>
      <c r="C58" s="77" t="str">
        <f>IF(TUDO!D58="","",TUDO!D58)</f>
        <v/>
      </c>
      <c r="D58" s="77" t="str">
        <f>IF(TUDO!E58="","",TUDO!E58)</f>
        <v/>
      </c>
      <c r="E58" s="79" t="str">
        <f>IF(TUDO!F58="","",TUDO!F58)</f>
        <v/>
      </c>
      <c r="F58" s="76" t="str">
        <f>IF(TUDO!H58="","",TUDO!H58)</f>
        <v/>
      </c>
      <c r="G58" s="77" t="str">
        <f>IF(TUDO!I58="","",TUDO!I58)</f>
        <v/>
      </c>
      <c r="H58" s="77" t="str">
        <f>IF(TUDO!J58="","",TUDO!J58)</f>
        <v/>
      </c>
      <c r="I58" s="78" t="str">
        <f>IF(TUDO!I58="","",TUDO!K58)</f>
        <v/>
      </c>
      <c r="J58" s="76" t="str">
        <f>IF(TUDO!M58="","",TUDO!M58)</f>
        <v/>
      </c>
      <c r="K58" s="77" t="str">
        <f>IF(TUDO!N58="","",TUDO!N58)</f>
        <v/>
      </c>
      <c r="L58" s="77" t="str">
        <f>IF(TUDO!O58="","",TUDO!O58)</f>
        <v/>
      </c>
      <c r="M58" s="78" t="str">
        <f>IF(TUDO!P58="","",TUDO!P58)</f>
        <v/>
      </c>
      <c r="N58" s="76" t="str">
        <f>IF(TUDO!Q58="","",TUDO!Q58)</f>
        <v/>
      </c>
      <c r="O58" s="77" t="str">
        <f>IF(TUDO!S58="","",TUDO!S58)</f>
        <v/>
      </c>
      <c r="P58" s="77" t="str">
        <f>IF(TUDO!T58="","",TUDO!T58)</f>
        <v/>
      </c>
      <c r="Q58" s="79" t="str">
        <f>IF(TUDO!U58="","",TUDO!U58)</f>
        <v/>
      </c>
      <c r="R58" s="35"/>
    </row>
    <row r="59" spans="1:18" ht="33.75" x14ac:dyDescent="0.5">
      <c r="A59" s="59"/>
      <c r="B59" s="76" t="str">
        <f>IF(TUDO!B59="","",PROPER(TUDO!B59))</f>
        <v/>
      </c>
      <c r="C59" s="77" t="str">
        <f>IF(TUDO!D59="","",TUDO!D59)</f>
        <v/>
      </c>
      <c r="D59" s="77" t="str">
        <f>IF(TUDO!E59="","",TUDO!E59)</f>
        <v/>
      </c>
      <c r="E59" s="79" t="str">
        <f>IF(TUDO!F59="","",TUDO!F59)</f>
        <v/>
      </c>
      <c r="F59" s="76" t="str">
        <f>IF(TUDO!H59="","",TUDO!H59)</f>
        <v/>
      </c>
      <c r="G59" s="77" t="str">
        <f>IF(TUDO!I59="","",TUDO!I59)</f>
        <v/>
      </c>
      <c r="H59" s="77" t="str">
        <f>IF(TUDO!J59="","",TUDO!J59)</f>
        <v/>
      </c>
      <c r="I59" s="78" t="str">
        <f>IF(TUDO!I59="","",TUDO!K59)</f>
        <v/>
      </c>
      <c r="J59" s="76" t="str">
        <f>IF(TUDO!M59="","",TUDO!M59)</f>
        <v/>
      </c>
      <c r="K59" s="77" t="str">
        <f>IF(TUDO!N59="","",TUDO!N59)</f>
        <v/>
      </c>
      <c r="L59" s="77" t="str">
        <f>IF(TUDO!O59="","",TUDO!O59)</f>
        <v/>
      </c>
      <c r="M59" s="78" t="str">
        <f>IF(TUDO!P59="","",TUDO!P59)</f>
        <v/>
      </c>
      <c r="N59" s="76" t="str">
        <f>IF(TUDO!Q59="","",TUDO!Q59)</f>
        <v/>
      </c>
      <c r="O59" s="77" t="str">
        <f>IF(TUDO!S59="","",TUDO!S59)</f>
        <v/>
      </c>
      <c r="P59" s="77" t="str">
        <f>IF(TUDO!T59="","",TUDO!T59)</f>
        <v/>
      </c>
      <c r="Q59" s="79" t="str">
        <f>IF(TUDO!U59="","",TUDO!U59)</f>
        <v/>
      </c>
      <c r="R59" s="35"/>
    </row>
    <row r="60" spans="1:18" ht="33.75" x14ac:dyDescent="0.5">
      <c r="A60" s="59"/>
      <c r="B60" s="76" t="str">
        <f>IF(TUDO!B60="","",PROPER(TUDO!B60))</f>
        <v/>
      </c>
      <c r="C60" s="77" t="str">
        <f>IF(TUDO!D60="","",TUDO!D60)</f>
        <v/>
      </c>
      <c r="D60" s="77" t="str">
        <f>IF(TUDO!E60="","",TUDO!E60)</f>
        <v/>
      </c>
      <c r="E60" s="79" t="str">
        <f>IF(TUDO!F60="","",TUDO!F60)</f>
        <v/>
      </c>
      <c r="F60" s="76" t="str">
        <f>IF(TUDO!H60="","",TUDO!H60)</f>
        <v/>
      </c>
      <c r="G60" s="77" t="str">
        <f>IF(TUDO!I60="","",TUDO!I60)</f>
        <v/>
      </c>
      <c r="H60" s="77" t="str">
        <f>IF(TUDO!J60="","",TUDO!J60)</f>
        <v/>
      </c>
      <c r="I60" s="78" t="str">
        <f>IF(TUDO!I60="","",TUDO!K60)</f>
        <v/>
      </c>
      <c r="J60" s="76" t="str">
        <f>IF(TUDO!M60="","",TUDO!M60)</f>
        <v/>
      </c>
      <c r="K60" s="77" t="str">
        <f>IF(TUDO!N60="","",TUDO!N60)</f>
        <v/>
      </c>
      <c r="L60" s="77" t="str">
        <f>IF(TUDO!O60="","",TUDO!O60)</f>
        <v/>
      </c>
      <c r="M60" s="78" t="str">
        <f>IF(TUDO!P60="","",TUDO!P60)</f>
        <v/>
      </c>
      <c r="N60" s="76" t="str">
        <f>IF(TUDO!Q60="","",TUDO!Q60)</f>
        <v/>
      </c>
      <c r="O60" s="77" t="str">
        <f>IF(TUDO!S60="","",TUDO!S60)</f>
        <v/>
      </c>
      <c r="P60" s="77" t="str">
        <f>IF(TUDO!T60="","",TUDO!T60)</f>
        <v/>
      </c>
      <c r="Q60" s="79" t="str">
        <f>IF(TUDO!U60="","",TUDO!U60)</f>
        <v/>
      </c>
      <c r="R60" s="35"/>
    </row>
    <row r="61" spans="1:18" ht="33.75" x14ac:dyDescent="0.5">
      <c r="A61" s="59"/>
      <c r="B61" s="76" t="str">
        <f>IF(TUDO!B61="","",PROPER(TUDO!B61))</f>
        <v/>
      </c>
      <c r="C61" s="77" t="str">
        <f>IF(TUDO!D61="","",TUDO!D61)</f>
        <v/>
      </c>
      <c r="D61" s="77" t="str">
        <f>IF(TUDO!E61="","",TUDO!E61)</f>
        <v/>
      </c>
      <c r="E61" s="79" t="str">
        <f>IF(TUDO!F61="","",TUDO!F61)</f>
        <v/>
      </c>
      <c r="F61" s="76" t="str">
        <f>IF(TUDO!H61="","",TUDO!H61)</f>
        <v/>
      </c>
      <c r="G61" s="77" t="str">
        <f>IF(TUDO!I61="","",TUDO!I61)</f>
        <v/>
      </c>
      <c r="H61" s="77" t="str">
        <f>IF(TUDO!J61="","",TUDO!J61)</f>
        <v/>
      </c>
      <c r="I61" s="78" t="str">
        <f>IF(TUDO!I61="","",TUDO!K61)</f>
        <v/>
      </c>
      <c r="J61" s="76" t="str">
        <f>IF(TUDO!M61="","",TUDO!M61)</f>
        <v/>
      </c>
      <c r="K61" s="77" t="str">
        <f>IF(TUDO!N61="","",TUDO!N61)</f>
        <v/>
      </c>
      <c r="L61" s="77" t="str">
        <f>IF(TUDO!O61="","",TUDO!O61)</f>
        <v/>
      </c>
      <c r="M61" s="78" t="str">
        <f>IF(TUDO!P61="","",TUDO!P61)</f>
        <v/>
      </c>
      <c r="N61" s="76" t="str">
        <f>IF(TUDO!Q61="","",TUDO!Q61)</f>
        <v/>
      </c>
      <c r="O61" s="77" t="str">
        <f>IF(TUDO!S61="","",TUDO!S61)</f>
        <v/>
      </c>
      <c r="P61" s="77" t="str">
        <f>IF(TUDO!T61="","",TUDO!T61)</f>
        <v/>
      </c>
      <c r="Q61" s="79" t="str">
        <f>IF(TUDO!U61="","",TUDO!U61)</f>
        <v/>
      </c>
      <c r="R61" s="35"/>
    </row>
    <row r="62" spans="1:18" ht="33.75" x14ac:dyDescent="0.5">
      <c r="A62" s="59"/>
      <c r="B62" s="76" t="str">
        <f>IF(TUDO!B62="","",PROPER(TUDO!B62))</f>
        <v/>
      </c>
      <c r="C62" s="77" t="str">
        <f>IF(TUDO!D62="","",TUDO!D62)</f>
        <v/>
      </c>
      <c r="D62" s="77" t="str">
        <f>IF(TUDO!E62="","",TUDO!E62)</f>
        <v/>
      </c>
      <c r="E62" s="79" t="str">
        <f>IF(TUDO!F62="","",TUDO!F62)</f>
        <v/>
      </c>
      <c r="F62" s="76" t="str">
        <f>IF(TUDO!H62="","",TUDO!H62)</f>
        <v/>
      </c>
      <c r="G62" s="77" t="str">
        <f>IF(TUDO!I62="","",TUDO!I62)</f>
        <v/>
      </c>
      <c r="H62" s="77" t="str">
        <f>IF(TUDO!J62="","",TUDO!J62)</f>
        <v/>
      </c>
      <c r="I62" s="78" t="str">
        <f>IF(TUDO!I62="","",TUDO!K62)</f>
        <v/>
      </c>
      <c r="J62" s="76" t="str">
        <f>IF(TUDO!M62="","",TUDO!M62)</f>
        <v/>
      </c>
      <c r="K62" s="77" t="str">
        <f>IF(TUDO!N62="","",TUDO!N62)</f>
        <v/>
      </c>
      <c r="L62" s="77" t="str">
        <f>IF(TUDO!O62="","",TUDO!O62)</f>
        <v/>
      </c>
      <c r="M62" s="78" t="str">
        <f>IF(TUDO!P62="","",TUDO!P62)</f>
        <v/>
      </c>
      <c r="N62" s="76" t="str">
        <f>IF(TUDO!Q62="","",TUDO!Q62)</f>
        <v/>
      </c>
      <c r="O62" s="77" t="str">
        <f>IF(TUDO!S62="","",TUDO!S62)</f>
        <v/>
      </c>
      <c r="P62" s="77" t="str">
        <f>IF(TUDO!T62="","",TUDO!T62)</f>
        <v/>
      </c>
      <c r="Q62" s="79" t="str">
        <f>IF(TUDO!U62="","",TUDO!U62)</f>
        <v/>
      </c>
      <c r="R62" s="35"/>
    </row>
    <row r="63" spans="1:18" ht="33.75" x14ac:dyDescent="0.5">
      <c r="A63" s="59"/>
      <c r="B63" s="76" t="str">
        <f>IF(TUDO!B63="","",PROPER(TUDO!B63))</f>
        <v/>
      </c>
      <c r="C63" s="77" t="str">
        <f>IF(TUDO!D63="","",TUDO!D63)</f>
        <v/>
      </c>
      <c r="D63" s="77" t="str">
        <f>IF(TUDO!E63="","",TUDO!E63)</f>
        <v/>
      </c>
      <c r="E63" s="79" t="str">
        <f>IF(TUDO!F63="","",TUDO!F63)</f>
        <v/>
      </c>
      <c r="F63" s="76" t="str">
        <f>IF(TUDO!H63="","",TUDO!H63)</f>
        <v/>
      </c>
      <c r="G63" s="77" t="str">
        <f>IF(TUDO!I63="","",TUDO!I63)</f>
        <v/>
      </c>
      <c r="H63" s="77" t="str">
        <f>IF(TUDO!J63="","",TUDO!J63)</f>
        <v/>
      </c>
      <c r="I63" s="78" t="str">
        <f>IF(TUDO!I63="","",TUDO!K63)</f>
        <v/>
      </c>
      <c r="J63" s="76" t="str">
        <f>IF(TUDO!M63="","",TUDO!M63)</f>
        <v/>
      </c>
      <c r="K63" s="77" t="str">
        <f>IF(TUDO!N63="","",TUDO!N63)</f>
        <v/>
      </c>
      <c r="L63" s="77" t="str">
        <f>IF(TUDO!O63="","",TUDO!O63)</f>
        <v/>
      </c>
      <c r="M63" s="78" t="str">
        <f>IF(TUDO!P63="","",TUDO!P63)</f>
        <v/>
      </c>
      <c r="N63" s="76" t="str">
        <f>IF(TUDO!Q63="","",TUDO!Q63)</f>
        <v/>
      </c>
      <c r="O63" s="77" t="str">
        <f>IF(TUDO!S63="","",TUDO!S63)</f>
        <v/>
      </c>
      <c r="P63" s="77" t="str">
        <f>IF(TUDO!T63="","",TUDO!T63)</f>
        <v/>
      </c>
      <c r="Q63" s="79" t="str">
        <f>IF(TUDO!U63="","",TUDO!U63)</f>
        <v/>
      </c>
      <c r="R63" s="35"/>
    </row>
    <row r="64" spans="1:18" ht="33.75" x14ac:dyDescent="0.5">
      <c r="A64" s="59"/>
      <c r="B64" s="76" t="str">
        <f>IF(TUDO!B64="","",PROPER(TUDO!B64))</f>
        <v/>
      </c>
      <c r="C64" s="77" t="str">
        <f>IF(TUDO!D64="","",TUDO!D64)</f>
        <v/>
      </c>
      <c r="D64" s="77" t="str">
        <f>IF(TUDO!E64="","",TUDO!E64)</f>
        <v/>
      </c>
      <c r="E64" s="79" t="str">
        <f>IF(TUDO!F64="","",TUDO!F64)</f>
        <v/>
      </c>
      <c r="F64" s="76" t="str">
        <f>IF(TUDO!H64="","",TUDO!H64)</f>
        <v/>
      </c>
      <c r="G64" s="77" t="str">
        <f>IF(TUDO!I64="","",TUDO!I64)</f>
        <v/>
      </c>
      <c r="H64" s="77" t="str">
        <f>IF(TUDO!J64="","",TUDO!J64)</f>
        <v/>
      </c>
      <c r="I64" s="78" t="str">
        <f>IF(TUDO!I64="","",TUDO!K64)</f>
        <v/>
      </c>
      <c r="J64" s="76" t="str">
        <f>IF(TUDO!M64="","",TUDO!M64)</f>
        <v/>
      </c>
      <c r="K64" s="77" t="str">
        <f>IF(TUDO!N64="","",TUDO!N64)</f>
        <v/>
      </c>
      <c r="L64" s="77" t="str">
        <f>IF(TUDO!O64="","",TUDO!O64)</f>
        <v/>
      </c>
      <c r="M64" s="78" t="str">
        <f>IF(TUDO!P64="","",TUDO!P64)</f>
        <v/>
      </c>
      <c r="N64" s="76" t="str">
        <f>IF(TUDO!Q64="","",TUDO!Q64)</f>
        <v/>
      </c>
      <c r="O64" s="77" t="str">
        <f>IF(TUDO!S64="","",TUDO!S64)</f>
        <v/>
      </c>
      <c r="P64" s="77" t="str">
        <f>IF(TUDO!T64="","",TUDO!T64)</f>
        <v/>
      </c>
      <c r="Q64" s="79" t="str">
        <f>IF(TUDO!U64="","",TUDO!U64)</f>
        <v/>
      </c>
      <c r="R64" s="35"/>
    </row>
    <row r="65" spans="1:18" ht="33.75" x14ac:dyDescent="0.5">
      <c r="A65" s="59"/>
      <c r="B65" s="76" t="str">
        <f>IF(TUDO!B65="","",PROPER(TUDO!B65))</f>
        <v/>
      </c>
      <c r="C65" s="77" t="str">
        <f>IF(TUDO!D65="","",TUDO!D65)</f>
        <v/>
      </c>
      <c r="D65" s="77" t="str">
        <f>IF(TUDO!E65="","",TUDO!E65)</f>
        <v/>
      </c>
      <c r="E65" s="79" t="str">
        <f>IF(TUDO!F65="","",TUDO!F65)</f>
        <v/>
      </c>
      <c r="F65" s="76" t="str">
        <f>IF(TUDO!H65="","",TUDO!H65)</f>
        <v/>
      </c>
      <c r="G65" s="77" t="str">
        <f>IF(TUDO!I65="","",TUDO!I65)</f>
        <v/>
      </c>
      <c r="H65" s="77" t="str">
        <f>IF(TUDO!J65="","",TUDO!J65)</f>
        <v/>
      </c>
      <c r="I65" s="78" t="str">
        <f>IF(TUDO!I65="","",TUDO!K65)</f>
        <v/>
      </c>
      <c r="J65" s="76" t="str">
        <f>IF(TUDO!M65="","",TUDO!M65)</f>
        <v/>
      </c>
      <c r="K65" s="77" t="str">
        <f>IF(TUDO!N65="","",TUDO!N65)</f>
        <v/>
      </c>
      <c r="L65" s="77" t="str">
        <f>IF(TUDO!O65="","",TUDO!O65)</f>
        <v/>
      </c>
      <c r="M65" s="78" t="str">
        <f>IF(TUDO!P65="","",TUDO!P65)</f>
        <v/>
      </c>
      <c r="N65" s="76" t="str">
        <f>IF(TUDO!Q65="","",TUDO!Q65)</f>
        <v/>
      </c>
      <c r="O65" s="77" t="str">
        <f>IF(TUDO!S65="","",TUDO!S65)</f>
        <v/>
      </c>
      <c r="P65" s="77" t="str">
        <f>IF(TUDO!T65="","",TUDO!T65)</f>
        <v/>
      </c>
      <c r="Q65" s="79" t="str">
        <f>IF(TUDO!U65="","",TUDO!U65)</f>
        <v/>
      </c>
      <c r="R65" s="35"/>
    </row>
    <row r="66" spans="1:18" ht="33.75" x14ac:dyDescent="0.5">
      <c r="A66" s="59"/>
      <c r="B66" s="76" t="str">
        <f>IF(TUDO!B66="","",PROPER(TUDO!B66))</f>
        <v/>
      </c>
      <c r="C66" s="77" t="str">
        <f>IF(TUDO!D66="","",TUDO!D66)</f>
        <v/>
      </c>
      <c r="D66" s="77" t="str">
        <f>IF(TUDO!E66="","",TUDO!E66)</f>
        <v/>
      </c>
      <c r="E66" s="79" t="str">
        <f>IF(TUDO!F66="","",TUDO!F66)</f>
        <v/>
      </c>
      <c r="F66" s="76" t="str">
        <f>IF(TUDO!H66="","",TUDO!H66)</f>
        <v/>
      </c>
      <c r="G66" s="77" t="str">
        <f>IF(TUDO!I66="","",TUDO!I66)</f>
        <v/>
      </c>
      <c r="H66" s="77" t="str">
        <f>IF(TUDO!J66="","",TUDO!J66)</f>
        <v/>
      </c>
      <c r="I66" s="78" t="str">
        <f>IF(TUDO!I66="","",TUDO!K66)</f>
        <v/>
      </c>
      <c r="J66" s="76" t="str">
        <f>IF(TUDO!M66="","",TUDO!M66)</f>
        <v/>
      </c>
      <c r="K66" s="77" t="str">
        <f>IF(TUDO!N66="","",TUDO!N66)</f>
        <v/>
      </c>
      <c r="L66" s="77" t="str">
        <f>IF(TUDO!O66="","",TUDO!O66)</f>
        <v/>
      </c>
      <c r="M66" s="78" t="str">
        <f>IF(TUDO!P66="","",TUDO!P66)</f>
        <v/>
      </c>
      <c r="N66" s="76" t="str">
        <f>IF(TUDO!Q66="","",TUDO!Q66)</f>
        <v/>
      </c>
      <c r="O66" s="77" t="str">
        <f>IF(TUDO!S66="","",TUDO!S66)</f>
        <v/>
      </c>
      <c r="P66" s="77" t="str">
        <f>IF(TUDO!T66="","",TUDO!T66)</f>
        <v/>
      </c>
      <c r="Q66" s="79" t="str">
        <f>IF(TUDO!U66="","",TUDO!U66)</f>
        <v/>
      </c>
      <c r="R66" s="35"/>
    </row>
    <row r="67" spans="1:18" ht="33.75" x14ac:dyDescent="0.5">
      <c r="A67" s="59"/>
      <c r="B67" s="76" t="str">
        <f>IF(TUDO!B67="","",PROPER(TUDO!B67))</f>
        <v/>
      </c>
      <c r="C67" s="77" t="str">
        <f>IF(TUDO!D67="","",TUDO!D67)</f>
        <v/>
      </c>
      <c r="D67" s="77" t="str">
        <f>IF(TUDO!E67="","",TUDO!E67)</f>
        <v/>
      </c>
      <c r="E67" s="79" t="str">
        <f>IF(TUDO!F67="","",TUDO!F67)</f>
        <v/>
      </c>
      <c r="F67" s="76" t="str">
        <f>IF(TUDO!H67="","",TUDO!H67)</f>
        <v/>
      </c>
      <c r="G67" s="77" t="str">
        <f>IF(TUDO!I67="","",TUDO!I67)</f>
        <v/>
      </c>
      <c r="H67" s="77" t="str">
        <f>IF(TUDO!J67="","",TUDO!J67)</f>
        <v/>
      </c>
      <c r="I67" s="78" t="str">
        <f>IF(TUDO!I67="","",TUDO!K67)</f>
        <v/>
      </c>
      <c r="J67" s="76" t="str">
        <f>IF(TUDO!M67="","",TUDO!M67)</f>
        <v/>
      </c>
      <c r="K67" s="77" t="str">
        <f>IF(TUDO!N67="","",TUDO!N67)</f>
        <v/>
      </c>
      <c r="L67" s="77" t="str">
        <f>IF(TUDO!O67="","",TUDO!O67)</f>
        <v/>
      </c>
      <c r="M67" s="78" t="str">
        <f>IF(TUDO!P67="","",TUDO!P67)</f>
        <v/>
      </c>
      <c r="N67" s="76" t="str">
        <f>IF(TUDO!Q67="","",TUDO!Q67)</f>
        <v/>
      </c>
      <c r="O67" s="77" t="str">
        <f>IF(TUDO!S67="","",TUDO!S67)</f>
        <v/>
      </c>
      <c r="P67" s="77" t="str">
        <f>IF(TUDO!T67="","",TUDO!T67)</f>
        <v/>
      </c>
      <c r="Q67" s="79" t="str">
        <f>IF(TUDO!U67="","",TUDO!U67)</f>
        <v/>
      </c>
      <c r="R67" s="35"/>
    </row>
    <row r="68" spans="1:18" ht="33.75" x14ac:dyDescent="0.5">
      <c r="A68" s="59"/>
      <c r="B68" s="76" t="str">
        <f>IF(TUDO!B68="","",PROPER(TUDO!B68))</f>
        <v/>
      </c>
      <c r="C68" s="77" t="str">
        <f>IF(TUDO!D68="","",TUDO!D68)</f>
        <v/>
      </c>
      <c r="D68" s="77" t="str">
        <f>IF(TUDO!E68="","",TUDO!E68)</f>
        <v/>
      </c>
      <c r="E68" s="79" t="str">
        <f>IF(TUDO!F68="","",TUDO!F68)</f>
        <v/>
      </c>
      <c r="F68" s="76" t="str">
        <f>IF(TUDO!H68="","",TUDO!H68)</f>
        <v/>
      </c>
      <c r="G68" s="77" t="str">
        <f>IF(TUDO!I68="","",TUDO!I68)</f>
        <v/>
      </c>
      <c r="H68" s="77" t="str">
        <f>IF(TUDO!J68="","",TUDO!J68)</f>
        <v/>
      </c>
      <c r="I68" s="78" t="str">
        <f>IF(TUDO!I68="","",TUDO!K68)</f>
        <v/>
      </c>
      <c r="J68" s="76" t="str">
        <f>IF(TUDO!M68="","",TUDO!M68)</f>
        <v/>
      </c>
      <c r="K68" s="77" t="str">
        <f>IF(TUDO!N68="","",TUDO!N68)</f>
        <v/>
      </c>
      <c r="L68" s="77" t="str">
        <f>IF(TUDO!O68="","",TUDO!O68)</f>
        <v/>
      </c>
      <c r="M68" s="78" t="str">
        <f>IF(TUDO!P68="","",TUDO!P68)</f>
        <v/>
      </c>
      <c r="N68" s="76" t="str">
        <f>IF(TUDO!Q68="","",TUDO!Q68)</f>
        <v/>
      </c>
      <c r="O68" s="77" t="str">
        <f>IF(TUDO!S68="","",TUDO!S68)</f>
        <v/>
      </c>
      <c r="P68" s="77" t="str">
        <f>IF(TUDO!T68="","",TUDO!T68)</f>
        <v/>
      </c>
      <c r="Q68" s="79" t="str">
        <f>IF(TUDO!U68="","",TUDO!U68)</f>
        <v/>
      </c>
      <c r="R68" s="35"/>
    </row>
    <row r="69" spans="1:18" ht="33.75" x14ac:dyDescent="0.5">
      <c r="A69" s="59"/>
      <c r="B69" s="76" t="str">
        <f>IF(TUDO!B69="","",PROPER(TUDO!B69))</f>
        <v/>
      </c>
      <c r="C69" s="77" t="str">
        <f>IF(TUDO!D69="","",TUDO!D69)</f>
        <v/>
      </c>
      <c r="D69" s="77" t="str">
        <f>IF(TUDO!E69="","",TUDO!E69)</f>
        <v/>
      </c>
      <c r="E69" s="79" t="str">
        <f>IF(TUDO!F69="","",TUDO!F69)</f>
        <v/>
      </c>
      <c r="F69" s="76" t="str">
        <f>IF(TUDO!H69="","",TUDO!H69)</f>
        <v/>
      </c>
      <c r="G69" s="77" t="str">
        <f>IF(TUDO!I69="","",TUDO!I69)</f>
        <v/>
      </c>
      <c r="H69" s="77" t="str">
        <f>IF(TUDO!J69="","",TUDO!J69)</f>
        <v/>
      </c>
      <c r="I69" s="78" t="str">
        <f>IF(TUDO!I69="","",TUDO!K69)</f>
        <v/>
      </c>
      <c r="J69" s="76" t="str">
        <f>IF(TUDO!M69="","",TUDO!M69)</f>
        <v/>
      </c>
      <c r="K69" s="77" t="str">
        <f>IF(TUDO!N69="","",TUDO!N69)</f>
        <v/>
      </c>
      <c r="L69" s="77" t="str">
        <f>IF(TUDO!O69="","",TUDO!O69)</f>
        <v/>
      </c>
      <c r="M69" s="78" t="str">
        <f>IF(TUDO!P69="","",TUDO!P69)</f>
        <v/>
      </c>
      <c r="N69" s="76" t="str">
        <f>IF(TUDO!Q69="","",TUDO!Q69)</f>
        <v/>
      </c>
      <c r="O69" s="77" t="str">
        <f>IF(TUDO!S69="","",TUDO!S69)</f>
        <v/>
      </c>
      <c r="P69" s="77" t="str">
        <f>IF(TUDO!T69="","",TUDO!T69)</f>
        <v/>
      </c>
      <c r="Q69" s="79" t="str">
        <f>IF(TUDO!U69="","",TUDO!U69)</f>
        <v/>
      </c>
      <c r="R69" s="35"/>
    </row>
    <row r="70" spans="1:18" ht="33.75" x14ac:dyDescent="0.5">
      <c r="A70" s="59"/>
      <c r="B70" s="76" t="str">
        <f>IF(TUDO!B70="","",PROPER(TUDO!B70))</f>
        <v/>
      </c>
      <c r="C70" s="77" t="str">
        <f>IF(TUDO!D70="","",TUDO!D70)</f>
        <v/>
      </c>
      <c r="D70" s="77" t="str">
        <f>IF(TUDO!E70="","",TUDO!E70)</f>
        <v/>
      </c>
      <c r="E70" s="79" t="str">
        <f>IF(TUDO!F70="","",TUDO!F70)</f>
        <v/>
      </c>
      <c r="F70" s="76" t="str">
        <f>IF(TUDO!H70="","",TUDO!H70)</f>
        <v/>
      </c>
      <c r="G70" s="77" t="str">
        <f>IF(TUDO!I70="","",TUDO!I70)</f>
        <v/>
      </c>
      <c r="H70" s="77" t="str">
        <f>IF(TUDO!J70="","",TUDO!J70)</f>
        <v/>
      </c>
      <c r="I70" s="78" t="str">
        <f>IF(TUDO!I70="","",TUDO!K70)</f>
        <v/>
      </c>
      <c r="J70" s="76" t="str">
        <f>IF(TUDO!M70="","",TUDO!M70)</f>
        <v/>
      </c>
      <c r="K70" s="77" t="str">
        <f>IF(TUDO!N70="","",TUDO!N70)</f>
        <v/>
      </c>
      <c r="L70" s="77" t="str">
        <f>IF(TUDO!O70="","",TUDO!O70)</f>
        <v/>
      </c>
      <c r="M70" s="78" t="str">
        <f>IF(TUDO!P70="","",TUDO!P70)</f>
        <v/>
      </c>
      <c r="N70" s="76" t="str">
        <f>IF(TUDO!Q70="","",TUDO!Q70)</f>
        <v/>
      </c>
      <c r="O70" s="77" t="str">
        <f>IF(TUDO!S70="","",TUDO!S70)</f>
        <v/>
      </c>
      <c r="P70" s="77" t="str">
        <f>IF(TUDO!T70="","",TUDO!T70)</f>
        <v/>
      </c>
      <c r="Q70" s="79" t="str">
        <f>IF(TUDO!U70="","",TUDO!U70)</f>
        <v/>
      </c>
      <c r="R70" s="35"/>
    </row>
    <row r="71" spans="1:18" ht="33.75" x14ac:dyDescent="0.5">
      <c r="A71" s="59"/>
      <c r="B71" s="76" t="str">
        <f>IF(TUDO!B71="","",PROPER(TUDO!B71))</f>
        <v/>
      </c>
      <c r="C71" s="77" t="str">
        <f>IF(TUDO!D71="","",TUDO!D71)</f>
        <v/>
      </c>
      <c r="D71" s="77" t="str">
        <f>IF(TUDO!E71="","",TUDO!E71)</f>
        <v/>
      </c>
      <c r="E71" s="79" t="str">
        <f>IF(TUDO!F71="","",TUDO!F71)</f>
        <v/>
      </c>
      <c r="F71" s="76" t="str">
        <f>IF(TUDO!H71="","",TUDO!H71)</f>
        <v/>
      </c>
      <c r="G71" s="77" t="str">
        <f>IF(TUDO!I71="","",TUDO!I71)</f>
        <v/>
      </c>
      <c r="H71" s="77" t="str">
        <f>IF(TUDO!J71="","",TUDO!J71)</f>
        <v/>
      </c>
      <c r="I71" s="78" t="str">
        <f>IF(TUDO!I71="","",TUDO!K71)</f>
        <v/>
      </c>
      <c r="J71" s="76" t="str">
        <f>IF(TUDO!M71="","",TUDO!M71)</f>
        <v/>
      </c>
      <c r="K71" s="77" t="str">
        <f>IF(TUDO!N71="","",TUDO!N71)</f>
        <v/>
      </c>
      <c r="L71" s="77" t="str">
        <f>IF(TUDO!O71="","",TUDO!O71)</f>
        <v/>
      </c>
      <c r="M71" s="78" t="str">
        <f>IF(TUDO!P71="","",TUDO!P71)</f>
        <v/>
      </c>
      <c r="N71" s="76" t="str">
        <f>IF(TUDO!Q71="","",TUDO!Q71)</f>
        <v/>
      </c>
      <c r="O71" s="77" t="str">
        <f>IF(TUDO!S71="","",TUDO!S71)</f>
        <v/>
      </c>
      <c r="P71" s="77" t="str">
        <f>IF(TUDO!T71="","",TUDO!T71)</f>
        <v/>
      </c>
      <c r="Q71" s="79" t="str">
        <f>IF(TUDO!U71="","",TUDO!U71)</f>
        <v/>
      </c>
      <c r="R71" s="35"/>
    </row>
    <row r="72" spans="1:18" ht="33.75" x14ac:dyDescent="0.5">
      <c r="A72" s="59"/>
      <c r="B72" s="76" t="str">
        <f>IF(TUDO!B72="","",PROPER(TUDO!B72))</f>
        <v/>
      </c>
      <c r="C72" s="77" t="str">
        <f>IF(TUDO!D72="","",TUDO!D72)</f>
        <v/>
      </c>
      <c r="D72" s="77" t="str">
        <f>IF(TUDO!E72="","",TUDO!E72)</f>
        <v/>
      </c>
      <c r="E72" s="79" t="str">
        <f>IF(TUDO!F72="","",TUDO!F72)</f>
        <v/>
      </c>
      <c r="F72" s="76" t="str">
        <f>IF(TUDO!H72="","",TUDO!H72)</f>
        <v/>
      </c>
      <c r="G72" s="77" t="str">
        <f>IF(TUDO!I72="","",TUDO!I72)</f>
        <v/>
      </c>
      <c r="H72" s="77" t="str">
        <f>IF(TUDO!J72="","",TUDO!J72)</f>
        <v/>
      </c>
      <c r="I72" s="78" t="str">
        <f>IF(TUDO!I72="","",TUDO!K72)</f>
        <v/>
      </c>
      <c r="J72" s="76" t="str">
        <f>IF(TUDO!M72="","",TUDO!M72)</f>
        <v/>
      </c>
      <c r="K72" s="77" t="str">
        <f>IF(TUDO!N72="","",TUDO!N72)</f>
        <v/>
      </c>
      <c r="L72" s="77" t="str">
        <f>IF(TUDO!O72="","",TUDO!O72)</f>
        <v/>
      </c>
      <c r="M72" s="78" t="str">
        <f>IF(TUDO!P72="","",TUDO!P72)</f>
        <v/>
      </c>
      <c r="N72" s="76" t="str">
        <f>IF(TUDO!Q72="","",TUDO!Q72)</f>
        <v/>
      </c>
      <c r="O72" s="77" t="str">
        <f>IF(TUDO!S72="","",TUDO!S72)</f>
        <v/>
      </c>
      <c r="P72" s="77" t="str">
        <f>IF(TUDO!T72="","",TUDO!T72)</f>
        <v/>
      </c>
      <c r="Q72" s="79" t="str">
        <f>IF(TUDO!U72="","",TUDO!U72)</f>
        <v/>
      </c>
      <c r="R72" s="35"/>
    </row>
    <row r="73" spans="1:18" ht="33.75" x14ac:dyDescent="0.5">
      <c r="A73" s="59"/>
      <c r="B73" s="76" t="str">
        <f>IF(TUDO!B73="","",PROPER(TUDO!B73))</f>
        <v/>
      </c>
      <c r="C73" s="77" t="str">
        <f>IF(TUDO!D73="","",TUDO!D73)</f>
        <v/>
      </c>
      <c r="D73" s="77" t="str">
        <f>IF(TUDO!E73="","",TUDO!E73)</f>
        <v/>
      </c>
      <c r="E73" s="79" t="str">
        <f>IF(TUDO!F73="","",TUDO!F73)</f>
        <v/>
      </c>
      <c r="F73" s="76" t="str">
        <f>IF(TUDO!H73="","",TUDO!H73)</f>
        <v/>
      </c>
      <c r="G73" s="77" t="str">
        <f>IF(TUDO!I73="","",TUDO!I73)</f>
        <v/>
      </c>
      <c r="H73" s="77" t="str">
        <f>IF(TUDO!J73="","",TUDO!J73)</f>
        <v/>
      </c>
      <c r="I73" s="78" t="str">
        <f>IF(TUDO!I73="","",TUDO!K73)</f>
        <v/>
      </c>
      <c r="J73" s="76" t="str">
        <f>IF(TUDO!M73="","",TUDO!M73)</f>
        <v/>
      </c>
      <c r="K73" s="77" t="str">
        <f>IF(TUDO!N73="","",TUDO!N73)</f>
        <v/>
      </c>
      <c r="L73" s="77" t="str">
        <f>IF(TUDO!O73="","",TUDO!O73)</f>
        <v/>
      </c>
      <c r="M73" s="78" t="str">
        <f>IF(TUDO!P73="","",TUDO!P73)</f>
        <v/>
      </c>
      <c r="N73" s="76" t="str">
        <f>IF(TUDO!Q73="","",TUDO!Q73)</f>
        <v/>
      </c>
      <c r="O73" s="77" t="str">
        <f>IF(TUDO!S73="","",TUDO!S73)</f>
        <v/>
      </c>
      <c r="P73" s="77" t="str">
        <f>IF(TUDO!T73="","",TUDO!T73)</f>
        <v/>
      </c>
      <c r="Q73" s="79" t="str">
        <f>IF(TUDO!U73="","",TUDO!U73)</f>
        <v/>
      </c>
      <c r="R73" s="35"/>
    </row>
    <row r="74" spans="1:18" ht="33.75" x14ac:dyDescent="0.5">
      <c r="A74" s="59"/>
      <c r="B74" s="76" t="str">
        <f>IF(TUDO!B74="","",PROPER(TUDO!B74))</f>
        <v/>
      </c>
      <c r="C74" s="77" t="str">
        <f>IF(TUDO!D74="","",TUDO!D74)</f>
        <v/>
      </c>
      <c r="D74" s="77" t="str">
        <f>IF(TUDO!E74="","",TUDO!E74)</f>
        <v/>
      </c>
      <c r="E74" s="79" t="str">
        <f>IF(TUDO!F74="","",TUDO!F74)</f>
        <v/>
      </c>
      <c r="F74" s="76" t="str">
        <f>IF(TUDO!H74="","",TUDO!H74)</f>
        <v/>
      </c>
      <c r="G74" s="77" t="str">
        <f>IF(TUDO!I74="","",TUDO!I74)</f>
        <v/>
      </c>
      <c r="H74" s="77" t="str">
        <f>IF(TUDO!J74="","",TUDO!J74)</f>
        <v/>
      </c>
      <c r="I74" s="78" t="str">
        <f>IF(TUDO!I74="","",TUDO!K74)</f>
        <v/>
      </c>
      <c r="J74" s="76" t="str">
        <f>IF(TUDO!M74="","",TUDO!M74)</f>
        <v/>
      </c>
      <c r="K74" s="77" t="str">
        <f>IF(TUDO!N74="","",TUDO!N74)</f>
        <v/>
      </c>
      <c r="L74" s="77" t="str">
        <f>IF(TUDO!O74="","",TUDO!O74)</f>
        <v/>
      </c>
      <c r="M74" s="78" t="str">
        <f>IF(TUDO!P74="","",TUDO!P74)</f>
        <v/>
      </c>
      <c r="N74" s="76" t="str">
        <f>IF(TUDO!Q74="","",TUDO!Q74)</f>
        <v/>
      </c>
      <c r="O74" s="77" t="str">
        <f>IF(TUDO!S74="","",TUDO!S74)</f>
        <v/>
      </c>
      <c r="P74" s="77" t="str">
        <f>IF(TUDO!T74="","",TUDO!T74)</f>
        <v/>
      </c>
      <c r="Q74" s="79" t="str">
        <f>IF(TUDO!U74="","",TUDO!U74)</f>
        <v/>
      </c>
      <c r="R74" s="35"/>
    </row>
    <row r="75" spans="1:18" ht="33.75" x14ac:dyDescent="0.5">
      <c r="A75" s="59"/>
      <c r="B75" s="76" t="str">
        <f>IF(TUDO!B75="","",PROPER(TUDO!B75))</f>
        <v/>
      </c>
      <c r="C75" s="77" t="str">
        <f>IF(TUDO!D75="","",TUDO!D75)</f>
        <v/>
      </c>
      <c r="D75" s="77" t="str">
        <f>IF(TUDO!E75="","",TUDO!E75)</f>
        <v/>
      </c>
      <c r="E75" s="79" t="str">
        <f>IF(TUDO!F75="","",TUDO!F75)</f>
        <v/>
      </c>
      <c r="F75" s="76" t="str">
        <f>IF(TUDO!H75="","",TUDO!H75)</f>
        <v/>
      </c>
      <c r="G75" s="77" t="str">
        <f>IF(TUDO!I75="","",TUDO!I75)</f>
        <v/>
      </c>
      <c r="H75" s="77" t="str">
        <f>IF(TUDO!J75="","",TUDO!J75)</f>
        <v/>
      </c>
      <c r="I75" s="78" t="str">
        <f>IF(TUDO!I75="","",TUDO!K75)</f>
        <v/>
      </c>
      <c r="J75" s="76" t="str">
        <f>IF(TUDO!M75="","",TUDO!M75)</f>
        <v/>
      </c>
      <c r="K75" s="77" t="str">
        <f>IF(TUDO!N75="","",TUDO!N75)</f>
        <v/>
      </c>
      <c r="L75" s="77" t="str">
        <f>IF(TUDO!O75="","",TUDO!O75)</f>
        <v/>
      </c>
      <c r="M75" s="78" t="str">
        <f>IF(TUDO!P75="","",TUDO!P75)</f>
        <v/>
      </c>
      <c r="N75" s="76" t="str">
        <f>IF(TUDO!Q75="","",TUDO!Q75)</f>
        <v/>
      </c>
      <c r="O75" s="77" t="str">
        <f>IF(TUDO!S75="","",TUDO!S75)</f>
        <v/>
      </c>
      <c r="P75" s="77" t="str">
        <f>IF(TUDO!T75="","",TUDO!T75)</f>
        <v/>
      </c>
      <c r="Q75" s="79" t="str">
        <f>IF(TUDO!U75="","",TUDO!U75)</f>
        <v/>
      </c>
      <c r="R75" s="35"/>
    </row>
    <row r="76" spans="1:18" ht="33.75" x14ac:dyDescent="0.5">
      <c r="A76" s="59"/>
      <c r="B76" s="76" t="str">
        <f>IF(TUDO!B76="","",PROPER(TUDO!B76))</f>
        <v/>
      </c>
      <c r="C76" s="77" t="str">
        <f>IF(TUDO!D76="","",TUDO!D76)</f>
        <v/>
      </c>
      <c r="D76" s="77" t="str">
        <f>IF(TUDO!E76="","",TUDO!E76)</f>
        <v/>
      </c>
      <c r="E76" s="79" t="str">
        <f>IF(TUDO!F76="","",TUDO!F76)</f>
        <v/>
      </c>
      <c r="F76" s="76" t="str">
        <f>IF(TUDO!H76="","",TUDO!H76)</f>
        <v/>
      </c>
      <c r="G76" s="77" t="str">
        <f>IF(TUDO!I76="","",TUDO!I76)</f>
        <v/>
      </c>
      <c r="H76" s="77" t="str">
        <f>IF(TUDO!J76="","",TUDO!J76)</f>
        <v/>
      </c>
      <c r="I76" s="78" t="str">
        <f>IF(TUDO!I76="","",TUDO!K76)</f>
        <v/>
      </c>
      <c r="J76" s="76" t="str">
        <f>IF(TUDO!M76="","",TUDO!M76)</f>
        <v/>
      </c>
      <c r="K76" s="77" t="str">
        <f>IF(TUDO!N76="","",TUDO!N76)</f>
        <v/>
      </c>
      <c r="L76" s="77" t="str">
        <f>IF(TUDO!O76="","",TUDO!O76)</f>
        <v/>
      </c>
      <c r="M76" s="78" t="str">
        <f>IF(TUDO!P76="","",TUDO!P76)</f>
        <v/>
      </c>
      <c r="N76" s="76" t="str">
        <f>IF(TUDO!Q76="","",TUDO!Q76)</f>
        <v/>
      </c>
      <c r="O76" s="77" t="str">
        <f>IF(TUDO!S76="","",TUDO!S76)</f>
        <v/>
      </c>
      <c r="P76" s="77" t="str">
        <f>IF(TUDO!T76="","",TUDO!T76)</f>
        <v/>
      </c>
      <c r="Q76" s="79" t="str">
        <f>IF(TUDO!U76="","",TUDO!U76)</f>
        <v/>
      </c>
      <c r="R76" s="35"/>
    </row>
    <row r="77" spans="1:18" ht="33.75" x14ac:dyDescent="0.5">
      <c r="A77" s="59"/>
      <c r="B77" s="76" t="str">
        <f>IF(TUDO!B77="","",PROPER(TUDO!B77))</f>
        <v/>
      </c>
      <c r="C77" s="77" t="str">
        <f>IF(TUDO!D77="","",TUDO!D77)</f>
        <v/>
      </c>
      <c r="D77" s="77" t="str">
        <f>IF(TUDO!E77="","",TUDO!E77)</f>
        <v/>
      </c>
      <c r="E77" s="79" t="str">
        <f>IF(TUDO!F77="","",TUDO!F77)</f>
        <v/>
      </c>
      <c r="F77" s="76" t="str">
        <f>IF(TUDO!H77="","",TUDO!H77)</f>
        <v/>
      </c>
      <c r="G77" s="77" t="str">
        <f>IF(TUDO!I77="","",TUDO!I77)</f>
        <v/>
      </c>
      <c r="H77" s="77" t="str">
        <f>IF(TUDO!J77="","",TUDO!J77)</f>
        <v/>
      </c>
      <c r="I77" s="78" t="str">
        <f>IF(TUDO!I77="","",TUDO!K77)</f>
        <v/>
      </c>
      <c r="J77" s="76" t="str">
        <f>IF(TUDO!M77="","",TUDO!M77)</f>
        <v/>
      </c>
      <c r="K77" s="77" t="str">
        <f>IF(TUDO!N77="","",TUDO!N77)</f>
        <v/>
      </c>
      <c r="L77" s="77" t="str">
        <f>IF(TUDO!O77="","",TUDO!O77)</f>
        <v/>
      </c>
      <c r="M77" s="78" t="str">
        <f>IF(TUDO!P77="","",TUDO!P77)</f>
        <v/>
      </c>
      <c r="N77" s="76" t="str">
        <f>IF(TUDO!Q77="","",TUDO!Q77)</f>
        <v/>
      </c>
      <c r="O77" s="77" t="str">
        <f>IF(TUDO!S77="","",TUDO!S77)</f>
        <v/>
      </c>
      <c r="P77" s="77" t="str">
        <f>IF(TUDO!T77="","",TUDO!T77)</f>
        <v/>
      </c>
      <c r="Q77" s="79" t="str">
        <f>IF(TUDO!U77="","",TUDO!U77)</f>
        <v/>
      </c>
      <c r="R77" s="35"/>
    </row>
    <row r="78" spans="1:18" ht="33.75" x14ac:dyDescent="0.5">
      <c r="A78" s="59"/>
      <c r="B78" s="76" t="str">
        <f>IF(TUDO!B78="","",PROPER(TUDO!B78))</f>
        <v/>
      </c>
      <c r="C78" s="77" t="str">
        <f>IF(TUDO!D78="","",TUDO!D78)</f>
        <v/>
      </c>
      <c r="D78" s="77" t="str">
        <f>IF(TUDO!E78="","",TUDO!E78)</f>
        <v/>
      </c>
      <c r="E78" s="79" t="str">
        <f>IF(TUDO!F78="","",TUDO!F78)</f>
        <v/>
      </c>
      <c r="F78" s="76" t="str">
        <f>IF(TUDO!H78="","",TUDO!H78)</f>
        <v/>
      </c>
      <c r="G78" s="77" t="str">
        <f>IF(TUDO!I78="","",TUDO!I78)</f>
        <v/>
      </c>
      <c r="H78" s="77" t="str">
        <f>IF(TUDO!J78="","",TUDO!J78)</f>
        <v/>
      </c>
      <c r="I78" s="78" t="str">
        <f>IF(TUDO!I78="","",TUDO!K78)</f>
        <v/>
      </c>
      <c r="J78" s="76" t="str">
        <f>IF(TUDO!M78="","",TUDO!M78)</f>
        <v/>
      </c>
      <c r="K78" s="77" t="str">
        <f>IF(TUDO!N78="","",TUDO!N78)</f>
        <v/>
      </c>
      <c r="L78" s="77" t="str">
        <f>IF(TUDO!O78="","",TUDO!O78)</f>
        <v/>
      </c>
      <c r="M78" s="78" t="str">
        <f>IF(TUDO!P78="","",TUDO!P78)</f>
        <v/>
      </c>
      <c r="N78" s="76" t="str">
        <f>IF(TUDO!Q78="","",TUDO!Q78)</f>
        <v/>
      </c>
      <c r="O78" s="77" t="str">
        <f>IF(TUDO!S78="","",TUDO!S78)</f>
        <v/>
      </c>
      <c r="P78" s="77" t="str">
        <f>IF(TUDO!T78="","",TUDO!T78)</f>
        <v/>
      </c>
      <c r="Q78" s="79" t="str">
        <f>IF(TUDO!U78="","",TUDO!U78)</f>
        <v/>
      </c>
      <c r="R78" s="35"/>
    </row>
    <row r="79" spans="1:18" ht="33.75" x14ac:dyDescent="0.5">
      <c r="A79" s="59"/>
      <c r="B79" s="76" t="str">
        <f>IF(TUDO!B79="","",PROPER(TUDO!B79))</f>
        <v/>
      </c>
      <c r="C79" s="77" t="str">
        <f>IF(TUDO!D79="","",TUDO!D79)</f>
        <v/>
      </c>
      <c r="D79" s="77" t="str">
        <f>IF(TUDO!E79="","",TUDO!E79)</f>
        <v/>
      </c>
      <c r="E79" s="79" t="str">
        <f>IF(TUDO!F79="","",TUDO!F79)</f>
        <v/>
      </c>
      <c r="F79" s="76" t="str">
        <f>IF(TUDO!H79="","",TUDO!H79)</f>
        <v/>
      </c>
      <c r="G79" s="77" t="str">
        <f>IF(TUDO!I79="","",TUDO!I79)</f>
        <v/>
      </c>
      <c r="H79" s="77" t="str">
        <f>IF(TUDO!J79="","",TUDO!J79)</f>
        <v/>
      </c>
      <c r="I79" s="78" t="str">
        <f>IF(TUDO!I79="","",TUDO!K79)</f>
        <v/>
      </c>
      <c r="J79" s="76" t="str">
        <f>IF(TUDO!M79="","",TUDO!M79)</f>
        <v/>
      </c>
      <c r="K79" s="77" t="str">
        <f>IF(TUDO!N79="","",TUDO!N79)</f>
        <v/>
      </c>
      <c r="L79" s="77" t="str">
        <f>IF(TUDO!O79="","",TUDO!O79)</f>
        <v/>
      </c>
      <c r="M79" s="78" t="str">
        <f>IF(TUDO!P79="","",TUDO!P79)</f>
        <v/>
      </c>
      <c r="N79" s="76" t="str">
        <f>IF(TUDO!Q79="","",TUDO!Q79)</f>
        <v/>
      </c>
      <c r="O79" s="77" t="str">
        <f>IF(TUDO!S79="","",TUDO!S79)</f>
        <v/>
      </c>
      <c r="P79" s="77" t="str">
        <f>IF(TUDO!T79="","",TUDO!T79)</f>
        <v/>
      </c>
      <c r="Q79" s="79" t="str">
        <f>IF(TUDO!U79="","",TUDO!U79)</f>
        <v/>
      </c>
      <c r="R79" s="35"/>
    </row>
    <row r="80" spans="1:18" ht="33.75" x14ac:dyDescent="0.5">
      <c r="A80" s="59"/>
      <c r="B80" s="76" t="str">
        <f>IF(TUDO!B80="","",PROPER(TUDO!B80))</f>
        <v/>
      </c>
      <c r="C80" s="77" t="str">
        <f>IF(TUDO!D80="","",TUDO!D80)</f>
        <v/>
      </c>
      <c r="D80" s="77" t="str">
        <f>IF(TUDO!E80="","",TUDO!E80)</f>
        <v/>
      </c>
      <c r="E80" s="79" t="str">
        <f>IF(TUDO!F80="","",TUDO!F80)</f>
        <v/>
      </c>
      <c r="F80" s="76" t="str">
        <f>IF(TUDO!H80="","",TUDO!H80)</f>
        <v/>
      </c>
      <c r="G80" s="77" t="str">
        <f>IF(TUDO!I80="","",TUDO!I80)</f>
        <v/>
      </c>
      <c r="H80" s="77" t="str">
        <f>IF(TUDO!J80="","",TUDO!J80)</f>
        <v/>
      </c>
      <c r="I80" s="78" t="str">
        <f>IF(TUDO!I80="","",TUDO!K80)</f>
        <v/>
      </c>
      <c r="J80" s="76" t="str">
        <f>IF(TUDO!M80="","",TUDO!M80)</f>
        <v/>
      </c>
      <c r="K80" s="77" t="str">
        <f>IF(TUDO!N80="","",TUDO!N80)</f>
        <v/>
      </c>
      <c r="L80" s="77" t="str">
        <f>IF(TUDO!O80="","",TUDO!O80)</f>
        <v/>
      </c>
      <c r="M80" s="78" t="str">
        <f>IF(TUDO!P80="","",TUDO!P80)</f>
        <v/>
      </c>
      <c r="N80" s="76" t="str">
        <f>IF(TUDO!Q80="","",TUDO!Q80)</f>
        <v/>
      </c>
      <c r="O80" s="77" t="str">
        <f>IF(TUDO!S80="","",TUDO!S80)</f>
        <v/>
      </c>
      <c r="P80" s="77" t="str">
        <f>IF(TUDO!T80="","",TUDO!T80)</f>
        <v/>
      </c>
      <c r="Q80" s="79" t="str">
        <f>IF(TUDO!U80="","",TUDO!U80)</f>
        <v/>
      </c>
      <c r="R80" s="35"/>
    </row>
    <row r="81" spans="1:18" ht="33.75" x14ac:dyDescent="0.5">
      <c r="A81" s="59"/>
      <c r="B81" s="76" t="str">
        <f>IF(TUDO!B81="","",PROPER(TUDO!B81))</f>
        <v/>
      </c>
      <c r="C81" s="77" t="str">
        <f>IF(TUDO!D81="","",TUDO!D81)</f>
        <v/>
      </c>
      <c r="D81" s="77" t="str">
        <f>IF(TUDO!E81="","",TUDO!E81)</f>
        <v/>
      </c>
      <c r="E81" s="79" t="str">
        <f>IF(TUDO!F81="","",TUDO!F81)</f>
        <v/>
      </c>
      <c r="F81" s="76" t="str">
        <f>IF(TUDO!H81="","",TUDO!H81)</f>
        <v/>
      </c>
      <c r="G81" s="77" t="str">
        <f>IF(TUDO!I81="","",TUDO!I81)</f>
        <v/>
      </c>
      <c r="H81" s="77" t="str">
        <f>IF(TUDO!J81="","",TUDO!J81)</f>
        <v/>
      </c>
      <c r="I81" s="78" t="str">
        <f>IF(TUDO!I81="","",TUDO!K81)</f>
        <v/>
      </c>
      <c r="J81" s="76" t="str">
        <f>IF(TUDO!M81="","",TUDO!M81)</f>
        <v/>
      </c>
      <c r="K81" s="77" t="str">
        <f>IF(TUDO!N81="","",TUDO!N81)</f>
        <v/>
      </c>
      <c r="L81" s="77" t="str">
        <f>IF(TUDO!O81="","",TUDO!O81)</f>
        <v/>
      </c>
      <c r="M81" s="78" t="str">
        <f>IF(TUDO!P81="","",TUDO!P81)</f>
        <v/>
      </c>
      <c r="N81" s="76" t="str">
        <f>IF(TUDO!Q81="","",TUDO!Q81)</f>
        <v/>
      </c>
      <c r="O81" s="77" t="str">
        <f>IF(TUDO!S81="","",TUDO!S81)</f>
        <v/>
      </c>
      <c r="P81" s="77" t="str">
        <f>IF(TUDO!T81="","",TUDO!T81)</f>
        <v/>
      </c>
      <c r="Q81" s="79" t="str">
        <f>IF(TUDO!U81="","",TUDO!U81)</f>
        <v/>
      </c>
      <c r="R81" s="35"/>
    </row>
    <row r="82" spans="1:18" ht="33.75" x14ac:dyDescent="0.5">
      <c r="A82" s="59"/>
      <c r="B82" s="76" t="str">
        <f>IF(TUDO!B82="","",PROPER(TUDO!B82))</f>
        <v/>
      </c>
      <c r="C82" s="77" t="str">
        <f>IF(TUDO!D82="","",TUDO!D82)</f>
        <v/>
      </c>
      <c r="D82" s="77" t="str">
        <f>IF(TUDO!E82="","",TUDO!E82)</f>
        <v/>
      </c>
      <c r="E82" s="79" t="str">
        <f>IF(TUDO!F82="","",TUDO!F82)</f>
        <v/>
      </c>
      <c r="F82" s="76" t="str">
        <f>IF(TUDO!H82="","",TUDO!H82)</f>
        <v/>
      </c>
      <c r="G82" s="77" t="str">
        <f>IF(TUDO!I82="","",TUDO!I82)</f>
        <v/>
      </c>
      <c r="H82" s="77" t="str">
        <f>IF(TUDO!J82="","",TUDO!J82)</f>
        <v/>
      </c>
      <c r="I82" s="78" t="str">
        <f>IF(TUDO!I82="","",TUDO!K82)</f>
        <v/>
      </c>
      <c r="J82" s="76" t="str">
        <f>IF(TUDO!M82="","",TUDO!M82)</f>
        <v/>
      </c>
      <c r="K82" s="77" t="str">
        <f>IF(TUDO!N82="","",TUDO!N82)</f>
        <v/>
      </c>
      <c r="L82" s="77" t="str">
        <f>IF(TUDO!O82="","",TUDO!O82)</f>
        <v/>
      </c>
      <c r="M82" s="78" t="str">
        <f>IF(TUDO!P82="","",TUDO!P82)</f>
        <v/>
      </c>
      <c r="N82" s="76" t="str">
        <f>IF(TUDO!Q82="","",TUDO!Q82)</f>
        <v/>
      </c>
      <c r="O82" s="77" t="str">
        <f>IF(TUDO!S82="","",TUDO!S82)</f>
        <v/>
      </c>
      <c r="P82" s="77" t="str">
        <f>IF(TUDO!T82="","",TUDO!T82)</f>
        <v/>
      </c>
      <c r="Q82" s="79" t="str">
        <f>IF(TUDO!U82="","",TUDO!U82)</f>
        <v/>
      </c>
      <c r="R82" s="35"/>
    </row>
    <row r="83" spans="1:18" ht="33.75" x14ac:dyDescent="0.5">
      <c r="A83" s="59"/>
      <c r="B83" s="76" t="str">
        <f>IF(TUDO!B83="","",PROPER(TUDO!B83))</f>
        <v/>
      </c>
      <c r="C83" s="77" t="str">
        <f>IF(TUDO!D83="","",TUDO!D83)</f>
        <v/>
      </c>
      <c r="D83" s="77" t="str">
        <f>IF(TUDO!E83="","",TUDO!E83)</f>
        <v/>
      </c>
      <c r="E83" s="79" t="str">
        <f>IF(TUDO!F83="","",TUDO!F83)</f>
        <v/>
      </c>
      <c r="F83" s="76" t="str">
        <f>IF(TUDO!H83="","",TUDO!H83)</f>
        <v/>
      </c>
      <c r="G83" s="77" t="str">
        <f>IF(TUDO!I83="","",TUDO!I83)</f>
        <v/>
      </c>
      <c r="H83" s="77" t="str">
        <f>IF(TUDO!J83="","",TUDO!J83)</f>
        <v/>
      </c>
      <c r="I83" s="78" t="str">
        <f>IF(TUDO!I83="","",TUDO!K83)</f>
        <v/>
      </c>
      <c r="J83" s="76" t="str">
        <f>IF(TUDO!M83="","",TUDO!M83)</f>
        <v/>
      </c>
      <c r="K83" s="77" t="str">
        <f>IF(TUDO!N83="","",TUDO!N83)</f>
        <v/>
      </c>
      <c r="L83" s="77" t="str">
        <f>IF(TUDO!O83="","",TUDO!O83)</f>
        <v/>
      </c>
      <c r="M83" s="78" t="str">
        <f>IF(TUDO!P83="","",TUDO!P83)</f>
        <v/>
      </c>
      <c r="N83" s="76" t="str">
        <f>IF(TUDO!Q83="","",TUDO!Q83)</f>
        <v/>
      </c>
      <c r="O83" s="77" t="str">
        <f>IF(TUDO!S83="","",TUDO!S83)</f>
        <v/>
      </c>
      <c r="P83" s="77" t="str">
        <f>IF(TUDO!T83="","",TUDO!T83)</f>
        <v/>
      </c>
      <c r="Q83" s="79" t="str">
        <f>IF(TUDO!U83="","",TUDO!U83)</f>
        <v/>
      </c>
      <c r="R83" s="35"/>
    </row>
    <row r="84" spans="1:18" ht="33.75" x14ac:dyDescent="0.5">
      <c r="A84" s="59"/>
      <c r="B84" s="76" t="str">
        <f>IF(TUDO!B84="","",PROPER(TUDO!B84))</f>
        <v/>
      </c>
      <c r="C84" s="77" t="str">
        <f>IF(TUDO!D84="","",TUDO!D84)</f>
        <v/>
      </c>
      <c r="D84" s="77" t="str">
        <f>IF(TUDO!E84="","",TUDO!E84)</f>
        <v/>
      </c>
      <c r="E84" s="79" t="str">
        <f>IF(TUDO!F84="","",TUDO!F84)</f>
        <v/>
      </c>
      <c r="F84" s="76" t="str">
        <f>IF(TUDO!H84="","",TUDO!H84)</f>
        <v/>
      </c>
      <c r="G84" s="77" t="str">
        <f>IF(TUDO!I84="","",TUDO!I84)</f>
        <v/>
      </c>
      <c r="H84" s="77" t="str">
        <f>IF(TUDO!J84="","",TUDO!J84)</f>
        <v/>
      </c>
      <c r="I84" s="78" t="str">
        <f>IF(TUDO!I84="","",TUDO!K84)</f>
        <v/>
      </c>
      <c r="J84" s="76" t="str">
        <f>IF(TUDO!M84="","",TUDO!M84)</f>
        <v/>
      </c>
      <c r="K84" s="77" t="str">
        <f>IF(TUDO!N84="","",TUDO!N84)</f>
        <v/>
      </c>
      <c r="L84" s="77" t="str">
        <f>IF(TUDO!O84="","",TUDO!O84)</f>
        <v/>
      </c>
      <c r="M84" s="78" t="str">
        <f>IF(TUDO!P84="","",TUDO!P84)</f>
        <v/>
      </c>
      <c r="N84" s="76" t="str">
        <f>IF(TUDO!Q84="","",TUDO!Q84)</f>
        <v/>
      </c>
      <c r="O84" s="77" t="str">
        <f>IF(TUDO!S84="","",TUDO!S84)</f>
        <v/>
      </c>
      <c r="P84" s="77" t="str">
        <f>IF(TUDO!T84="","",TUDO!T84)</f>
        <v/>
      </c>
      <c r="Q84" s="79" t="str">
        <f>IF(TUDO!U84="","",TUDO!U84)</f>
        <v/>
      </c>
      <c r="R84" s="35"/>
    </row>
    <row r="85" spans="1:18" ht="33.75" x14ac:dyDescent="0.5">
      <c r="A85" s="59"/>
      <c r="B85" s="76" t="str">
        <f>IF(TUDO!B85="","",PROPER(TUDO!B85))</f>
        <v/>
      </c>
      <c r="C85" s="77" t="str">
        <f>IF(TUDO!D85="","",TUDO!D85)</f>
        <v/>
      </c>
      <c r="D85" s="77" t="str">
        <f>IF(TUDO!E85="","",TUDO!E85)</f>
        <v/>
      </c>
      <c r="E85" s="79" t="str">
        <f>IF(TUDO!F85="","",TUDO!F85)</f>
        <v/>
      </c>
      <c r="F85" s="76" t="str">
        <f>IF(TUDO!H85="","",TUDO!H85)</f>
        <v/>
      </c>
      <c r="G85" s="77" t="str">
        <f>IF(TUDO!I85="","",TUDO!I85)</f>
        <v/>
      </c>
      <c r="H85" s="77" t="str">
        <f>IF(TUDO!J85="","",TUDO!J85)</f>
        <v/>
      </c>
      <c r="I85" s="78" t="str">
        <f>IF(TUDO!I85="","",TUDO!K85)</f>
        <v/>
      </c>
      <c r="J85" s="76" t="str">
        <f>IF(TUDO!M85="","",TUDO!M85)</f>
        <v/>
      </c>
      <c r="K85" s="77" t="str">
        <f>IF(TUDO!N85="","",TUDO!N85)</f>
        <v/>
      </c>
      <c r="L85" s="77" t="str">
        <f>IF(TUDO!O85="","",TUDO!O85)</f>
        <v/>
      </c>
      <c r="M85" s="78" t="str">
        <f>IF(TUDO!P85="","",TUDO!P85)</f>
        <v/>
      </c>
      <c r="N85" s="76" t="str">
        <f>IF(TUDO!Q85="","",TUDO!Q85)</f>
        <v/>
      </c>
      <c r="O85" s="77" t="str">
        <f>IF(TUDO!S85="","",TUDO!S85)</f>
        <v/>
      </c>
      <c r="P85" s="77" t="str">
        <f>IF(TUDO!T85="","",TUDO!T85)</f>
        <v/>
      </c>
      <c r="Q85" s="79" t="str">
        <f>IF(TUDO!U85="","",TUDO!U85)</f>
        <v/>
      </c>
      <c r="R85" s="35"/>
    </row>
    <row r="86" spans="1:18" ht="33.75" x14ac:dyDescent="0.5">
      <c r="A86" s="59"/>
      <c r="B86" s="76" t="str">
        <f>IF(TUDO!B86="","",PROPER(TUDO!B86))</f>
        <v/>
      </c>
      <c r="C86" s="77" t="str">
        <f>IF(TUDO!D86="","",TUDO!D86)</f>
        <v/>
      </c>
      <c r="D86" s="77" t="str">
        <f>IF(TUDO!E86="","",TUDO!E86)</f>
        <v/>
      </c>
      <c r="E86" s="79" t="str">
        <f>IF(TUDO!F86="","",TUDO!F86)</f>
        <v/>
      </c>
      <c r="F86" s="76" t="str">
        <f>IF(TUDO!H86="","",TUDO!H86)</f>
        <v/>
      </c>
      <c r="G86" s="77" t="str">
        <f>IF(TUDO!I86="","",TUDO!I86)</f>
        <v/>
      </c>
      <c r="H86" s="77" t="str">
        <f>IF(TUDO!J86="","",TUDO!J86)</f>
        <v/>
      </c>
      <c r="I86" s="78" t="str">
        <f>IF(TUDO!I86="","",TUDO!K86)</f>
        <v/>
      </c>
      <c r="J86" s="76" t="str">
        <f>IF(TUDO!M86="","",TUDO!M86)</f>
        <v/>
      </c>
      <c r="K86" s="77" t="str">
        <f>IF(TUDO!N86="","",TUDO!N86)</f>
        <v/>
      </c>
      <c r="L86" s="77" t="str">
        <f>IF(TUDO!O86="","",TUDO!O86)</f>
        <v/>
      </c>
      <c r="M86" s="78" t="str">
        <f>IF(TUDO!P86="","",TUDO!P86)</f>
        <v/>
      </c>
      <c r="N86" s="76" t="str">
        <f>IF(TUDO!Q86="","",TUDO!Q86)</f>
        <v/>
      </c>
      <c r="O86" s="77" t="str">
        <f>IF(TUDO!S86="","",TUDO!S86)</f>
        <v/>
      </c>
      <c r="P86" s="77" t="str">
        <f>IF(TUDO!T86="","",TUDO!T86)</f>
        <v/>
      </c>
      <c r="Q86" s="79" t="str">
        <f>IF(TUDO!U86="","",TUDO!U86)</f>
        <v/>
      </c>
      <c r="R86" s="35"/>
    </row>
    <row r="87" spans="1:18" ht="33.75" x14ac:dyDescent="0.5">
      <c r="A87" s="59"/>
      <c r="B87" s="76" t="str">
        <f>IF(TUDO!B87="","",PROPER(TUDO!B87))</f>
        <v/>
      </c>
      <c r="C87" s="77" t="str">
        <f>IF(TUDO!D87="","",TUDO!D87)</f>
        <v/>
      </c>
      <c r="D87" s="77" t="str">
        <f>IF(TUDO!E87="","",TUDO!E87)</f>
        <v/>
      </c>
      <c r="E87" s="79" t="str">
        <f>IF(TUDO!F87="","",TUDO!F87)</f>
        <v/>
      </c>
      <c r="F87" s="76" t="str">
        <f>IF(TUDO!H87="","",TUDO!H87)</f>
        <v/>
      </c>
      <c r="G87" s="77" t="str">
        <f>IF(TUDO!I87="","",TUDO!I87)</f>
        <v/>
      </c>
      <c r="H87" s="77" t="str">
        <f>IF(TUDO!J87="","",TUDO!J87)</f>
        <v/>
      </c>
      <c r="I87" s="78" t="str">
        <f>IF(TUDO!I87="","",TUDO!K87)</f>
        <v/>
      </c>
      <c r="J87" s="76" t="str">
        <f>IF(TUDO!M87="","",TUDO!M87)</f>
        <v/>
      </c>
      <c r="K87" s="77" t="str">
        <f>IF(TUDO!N87="","",TUDO!N87)</f>
        <v/>
      </c>
      <c r="L87" s="77" t="str">
        <f>IF(TUDO!O87="","",TUDO!O87)</f>
        <v/>
      </c>
      <c r="M87" s="78" t="str">
        <f>IF(TUDO!P87="","",TUDO!P87)</f>
        <v/>
      </c>
      <c r="N87" s="76" t="str">
        <f>IF(TUDO!Q87="","",TUDO!Q87)</f>
        <v/>
      </c>
      <c r="O87" s="77" t="str">
        <f>IF(TUDO!S87="","",TUDO!S87)</f>
        <v/>
      </c>
      <c r="P87" s="77" t="str">
        <f>IF(TUDO!T87="","",TUDO!T87)</f>
        <v/>
      </c>
      <c r="Q87" s="79" t="str">
        <f>IF(TUDO!U87="","",TUDO!U87)</f>
        <v/>
      </c>
      <c r="R87" s="35"/>
    </row>
    <row r="88" spans="1:18" ht="33.75" x14ac:dyDescent="0.5">
      <c r="A88" s="59"/>
      <c r="B88" s="76" t="str">
        <f>IF(TUDO!B88="","",PROPER(TUDO!B88))</f>
        <v/>
      </c>
      <c r="C88" s="77" t="str">
        <f>IF(TUDO!D88="","",TUDO!D88)</f>
        <v/>
      </c>
      <c r="D88" s="77" t="str">
        <f>IF(TUDO!E88="","",TUDO!E88)</f>
        <v/>
      </c>
      <c r="E88" s="79" t="str">
        <f>IF(TUDO!F88="","",TUDO!F88)</f>
        <v/>
      </c>
      <c r="F88" s="76" t="str">
        <f>IF(TUDO!H88="","",TUDO!H88)</f>
        <v/>
      </c>
      <c r="G88" s="77" t="str">
        <f>IF(TUDO!I88="","",TUDO!I88)</f>
        <v/>
      </c>
      <c r="H88" s="77" t="str">
        <f>IF(TUDO!J88="","",TUDO!J88)</f>
        <v/>
      </c>
      <c r="I88" s="78" t="str">
        <f>IF(TUDO!I88="","",TUDO!K88)</f>
        <v/>
      </c>
      <c r="J88" s="76" t="str">
        <f>IF(TUDO!M88="","",TUDO!M88)</f>
        <v/>
      </c>
      <c r="K88" s="77" t="str">
        <f>IF(TUDO!N88="","",TUDO!N88)</f>
        <v/>
      </c>
      <c r="L88" s="77" t="str">
        <f>IF(TUDO!O88="","",TUDO!O88)</f>
        <v/>
      </c>
      <c r="M88" s="78" t="str">
        <f>IF(TUDO!P88="","",TUDO!P88)</f>
        <v/>
      </c>
      <c r="N88" s="76" t="str">
        <f>IF(TUDO!Q88="","",TUDO!Q88)</f>
        <v/>
      </c>
      <c r="O88" s="77" t="str">
        <f>IF(TUDO!S88="","",TUDO!S88)</f>
        <v/>
      </c>
      <c r="P88" s="77" t="str">
        <f>IF(TUDO!T88="","",TUDO!T88)</f>
        <v/>
      </c>
      <c r="Q88" s="79" t="str">
        <f>IF(TUDO!U88="","",TUDO!U88)</f>
        <v/>
      </c>
      <c r="R88" s="35"/>
    </row>
    <row r="89" spans="1:18" ht="33.75" x14ac:dyDescent="0.5">
      <c r="A89" s="59"/>
      <c r="B89" s="76" t="str">
        <f>IF(TUDO!B89="","",PROPER(TUDO!B89))</f>
        <v/>
      </c>
      <c r="C89" s="77" t="str">
        <f>IF(TUDO!D89="","",TUDO!D89)</f>
        <v/>
      </c>
      <c r="D89" s="77" t="str">
        <f>IF(TUDO!E89="","",TUDO!E89)</f>
        <v/>
      </c>
      <c r="E89" s="79" t="str">
        <f>IF(TUDO!F89="","",TUDO!F89)</f>
        <v/>
      </c>
      <c r="F89" s="76" t="str">
        <f>IF(TUDO!H89="","",TUDO!H89)</f>
        <v/>
      </c>
      <c r="G89" s="77" t="str">
        <f>IF(TUDO!I89="","",TUDO!I89)</f>
        <v/>
      </c>
      <c r="H89" s="77" t="str">
        <f>IF(TUDO!J89="","",TUDO!J89)</f>
        <v/>
      </c>
      <c r="I89" s="78" t="str">
        <f>IF(TUDO!I89="","",TUDO!K89)</f>
        <v/>
      </c>
      <c r="J89" s="76" t="str">
        <f>IF(TUDO!M89="","",TUDO!M89)</f>
        <v/>
      </c>
      <c r="K89" s="77" t="str">
        <f>IF(TUDO!N89="","",TUDO!N89)</f>
        <v/>
      </c>
      <c r="L89" s="77" t="str">
        <f>IF(TUDO!O89="","",TUDO!O89)</f>
        <v/>
      </c>
      <c r="M89" s="78" t="str">
        <f>IF(TUDO!P89="","",TUDO!P89)</f>
        <v/>
      </c>
      <c r="N89" s="76" t="str">
        <f>IF(TUDO!Q89="","",TUDO!Q89)</f>
        <v/>
      </c>
      <c r="O89" s="77" t="str">
        <f>IF(TUDO!S89="","",TUDO!S89)</f>
        <v/>
      </c>
      <c r="P89" s="77" t="str">
        <f>IF(TUDO!T89="","",TUDO!T89)</f>
        <v/>
      </c>
      <c r="Q89" s="79" t="str">
        <f>IF(TUDO!U89="","",TUDO!U89)</f>
        <v/>
      </c>
      <c r="R89" s="35"/>
    </row>
    <row r="90" spans="1:18" ht="33.75" x14ac:dyDescent="0.5">
      <c r="A90" s="59"/>
      <c r="B90" s="76" t="str">
        <f>IF(TUDO!B90="","",PROPER(TUDO!B90))</f>
        <v/>
      </c>
      <c r="C90" s="77" t="str">
        <f>IF(TUDO!D90="","",TUDO!D90)</f>
        <v/>
      </c>
      <c r="D90" s="77" t="str">
        <f>IF(TUDO!E90="","",TUDO!E90)</f>
        <v/>
      </c>
      <c r="E90" s="79" t="str">
        <f>IF(TUDO!F90="","",TUDO!F90)</f>
        <v/>
      </c>
      <c r="F90" s="76" t="str">
        <f>IF(TUDO!H90="","",TUDO!H90)</f>
        <v/>
      </c>
      <c r="G90" s="77" t="str">
        <f>IF(TUDO!I90="","",TUDO!I90)</f>
        <v/>
      </c>
      <c r="H90" s="77" t="str">
        <f>IF(TUDO!J90="","",TUDO!J90)</f>
        <v/>
      </c>
      <c r="I90" s="78" t="str">
        <f>IF(TUDO!I90="","",TUDO!K90)</f>
        <v/>
      </c>
      <c r="J90" s="76" t="str">
        <f>IF(TUDO!M90="","",TUDO!M90)</f>
        <v/>
      </c>
      <c r="K90" s="77" t="str">
        <f>IF(TUDO!N90="","",TUDO!N90)</f>
        <v/>
      </c>
      <c r="L90" s="77" t="str">
        <f>IF(TUDO!O90="","",TUDO!O90)</f>
        <v/>
      </c>
      <c r="M90" s="78" t="str">
        <f>IF(TUDO!P90="","",TUDO!P90)</f>
        <v/>
      </c>
      <c r="N90" s="76" t="str">
        <f>IF(TUDO!Q90="","",TUDO!Q90)</f>
        <v/>
      </c>
      <c r="O90" s="77" t="str">
        <f>IF(TUDO!S90="","",TUDO!S90)</f>
        <v/>
      </c>
      <c r="P90" s="77" t="str">
        <f>IF(TUDO!T90="","",TUDO!T90)</f>
        <v/>
      </c>
      <c r="Q90" s="79" t="str">
        <f>IF(TUDO!U90="","",TUDO!U90)</f>
        <v/>
      </c>
      <c r="R90" s="35"/>
    </row>
    <row r="91" spans="1:18" ht="33.75" x14ac:dyDescent="0.5">
      <c r="A91" s="59"/>
      <c r="B91" s="76" t="str">
        <f>IF(TUDO!B91="","",PROPER(TUDO!B91))</f>
        <v/>
      </c>
      <c r="C91" s="77" t="str">
        <f>IF(TUDO!D91="","",TUDO!D91)</f>
        <v/>
      </c>
      <c r="D91" s="77" t="str">
        <f>IF(TUDO!E91="","",TUDO!E91)</f>
        <v/>
      </c>
      <c r="E91" s="79" t="str">
        <f>IF(TUDO!F91="","",TUDO!F91)</f>
        <v/>
      </c>
      <c r="F91" s="76" t="str">
        <f>IF(TUDO!H91="","",TUDO!H91)</f>
        <v/>
      </c>
      <c r="G91" s="77" t="str">
        <f>IF(TUDO!I91="","",TUDO!I91)</f>
        <v/>
      </c>
      <c r="H91" s="77" t="str">
        <f>IF(TUDO!J91="","",TUDO!J91)</f>
        <v/>
      </c>
      <c r="I91" s="78" t="str">
        <f>IF(TUDO!I91="","",TUDO!K91)</f>
        <v/>
      </c>
      <c r="J91" s="76" t="str">
        <f>IF(TUDO!M91="","",TUDO!M91)</f>
        <v/>
      </c>
      <c r="K91" s="77" t="str">
        <f>IF(TUDO!N91="","",TUDO!N91)</f>
        <v/>
      </c>
      <c r="L91" s="77" t="str">
        <f>IF(TUDO!O91="","",TUDO!O91)</f>
        <v/>
      </c>
      <c r="M91" s="78" t="str">
        <f>IF(TUDO!P91="","",TUDO!P91)</f>
        <v/>
      </c>
      <c r="N91" s="76" t="str">
        <f>IF(TUDO!Q91="","",TUDO!Q91)</f>
        <v/>
      </c>
      <c r="O91" s="77" t="str">
        <f>IF(TUDO!S91="","",TUDO!S91)</f>
        <v/>
      </c>
      <c r="P91" s="77" t="str">
        <f>IF(TUDO!T91="","",TUDO!T91)</f>
        <v/>
      </c>
      <c r="Q91" s="79" t="str">
        <f>IF(TUDO!U91="","",TUDO!U91)</f>
        <v/>
      </c>
      <c r="R91" s="35"/>
    </row>
    <row r="92" spans="1:18" ht="33.75" x14ac:dyDescent="0.5">
      <c r="A92" s="59"/>
      <c r="B92" s="76" t="str">
        <f>IF(TUDO!B92="","",PROPER(TUDO!B92))</f>
        <v/>
      </c>
      <c r="C92" s="77" t="str">
        <f>IF(TUDO!D92="","",TUDO!D92)</f>
        <v/>
      </c>
      <c r="D92" s="77" t="str">
        <f>IF(TUDO!E92="","",TUDO!E92)</f>
        <v/>
      </c>
      <c r="E92" s="79" t="str">
        <f>IF(TUDO!F92="","",TUDO!F92)</f>
        <v/>
      </c>
      <c r="F92" s="76" t="str">
        <f>IF(TUDO!H92="","",TUDO!H92)</f>
        <v/>
      </c>
      <c r="G92" s="77" t="str">
        <f>IF(TUDO!I92="","",TUDO!I92)</f>
        <v/>
      </c>
      <c r="H92" s="77" t="str">
        <f>IF(TUDO!J92="","",TUDO!J92)</f>
        <v/>
      </c>
      <c r="I92" s="78" t="str">
        <f>IF(TUDO!I92="","",TUDO!K92)</f>
        <v/>
      </c>
      <c r="J92" s="76" t="str">
        <f>IF(TUDO!M92="","",TUDO!M92)</f>
        <v/>
      </c>
      <c r="K92" s="77" t="str">
        <f>IF(TUDO!N92="","",TUDO!N92)</f>
        <v/>
      </c>
      <c r="L92" s="77" t="str">
        <f>IF(TUDO!O92="","",TUDO!O92)</f>
        <v/>
      </c>
      <c r="M92" s="78" t="str">
        <f>IF(TUDO!P92="","",TUDO!P92)</f>
        <v/>
      </c>
      <c r="N92" s="76" t="str">
        <f>IF(TUDO!Q92="","",TUDO!Q92)</f>
        <v/>
      </c>
      <c r="O92" s="77" t="str">
        <f>IF(TUDO!S92="","",TUDO!S92)</f>
        <v/>
      </c>
      <c r="P92" s="77" t="str">
        <f>IF(TUDO!T92="","",TUDO!T92)</f>
        <v/>
      </c>
      <c r="Q92" s="79" t="str">
        <f>IF(TUDO!U92="","",TUDO!U92)</f>
        <v/>
      </c>
      <c r="R92" s="35"/>
    </row>
    <row r="93" spans="1:18" ht="33.75" x14ac:dyDescent="0.5">
      <c r="A93" s="59"/>
      <c r="B93" s="76" t="str">
        <f>IF(TUDO!B93="","",PROPER(TUDO!B93))</f>
        <v/>
      </c>
      <c r="C93" s="77" t="str">
        <f>IF(TUDO!D93="","",TUDO!D93)</f>
        <v/>
      </c>
      <c r="D93" s="77" t="str">
        <f>IF(TUDO!E93="","",TUDO!E93)</f>
        <v/>
      </c>
      <c r="E93" s="79" t="str">
        <f>IF(TUDO!F93="","",TUDO!F93)</f>
        <v/>
      </c>
      <c r="F93" s="76" t="str">
        <f>IF(TUDO!H93="","",TUDO!H93)</f>
        <v/>
      </c>
      <c r="G93" s="77" t="str">
        <f>IF(TUDO!I93="","",TUDO!I93)</f>
        <v/>
      </c>
      <c r="H93" s="77" t="str">
        <f>IF(TUDO!J93="","",TUDO!J93)</f>
        <v/>
      </c>
      <c r="I93" s="78" t="str">
        <f>IF(TUDO!I93="","",TUDO!K93)</f>
        <v/>
      </c>
      <c r="J93" s="76" t="str">
        <f>IF(TUDO!M93="","",TUDO!M93)</f>
        <v/>
      </c>
      <c r="K93" s="77" t="str">
        <f>IF(TUDO!N93="","",TUDO!N93)</f>
        <v/>
      </c>
      <c r="L93" s="77" t="str">
        <f>IF(TUDO!O93="","",TUDO!O93)</f>
        <v/>
      </c>
      <c r="M93" s="78" t="str">
        <f>IF(TUDO!P93="","",TUDO!P93)</f>
        <v/>
      </c>
      <c r="N93" s="76" t="str">
        <f>IF(TUDO!Q93="","",TUDO!Q93)</f>
        <v/>
      </c>
      <c r="O93" s="77" t="str">
        <f>IF(TUDO!S93="","",TUDO!S93)</f>
        <v/>
      </c>
      <c r="P93" s="77" t="str">
        <f>IF(TUDO!T93="","",TUDO!T93)</f>
        <v/>
      </c>
      <c r="Q93" s="79" t="str">
        <f>IF(TUDO!U93="","",TUDO!U93)</f>
        <v/>
      </c>
      <c r="R93" s="35"/>
    </row>
    <row r="94" spans="1:18" ht="33.75" x14ac:dyDescent="0.5">
      <c r="A94" s="59"/>
      <c r="B94" s="76" t="str">
        <f>IF(TUDO!B94="","",PROPER(TUDO!B94))</f>
        <v/>
      </c>
      <c r="C94" s="77" t="str">
        <f>IF(TUDO!D94="","",TUDO!D94)</f>
        <v/>
      </c>
      <c r="D94" s="77" t="str">
        <f>IF(TUDO!E94="","",TUDO!E94)</f>
        <v/>
      </c>
      <c r="E94" s="79" t="str">
        <f>IF(TUDO!F94="","",TUDO!F94)</f>
        <v/>
      </c>
      <c r="F94" s="76" t="str">
        <f>IF(TUDO!H94="","",TUDO!H94)</f>
        <v/>
      </c>
      <c r="G94" s="77" t="str">
        <f>IF(TUDO!I94="","",TUDO!I94)</f>
        <v/>
      </c>
      <c r="H94" s="77" t="str">
        <f>IF(TUDO!J94="","",TUDO!J94)</f>
        <v/>
      </c>
      <c r="I94" s="78" t="str">
        <f>IF(TUDO!I94="","",TUDO!K94)</f>
        <v/>
      </c>
      <c r="J94" s="76" t="str">
        <f>IF(TUDO!M94="","",TUDO!M94)</f>
        <v/>
      </c>
      <c r="K94" s="77" t="str">
        <f>IF(TUDO!N94="","",TUDO!N94)</f>
        <v/>
      </c>
      <c r="L94" s="77" t="str">
        <f>IF(TUDO!O94="","",TUDO!O94)</f>
        <v/>
      </c>
      <c r="M94" s="78" t="str">
        <f>IF(TUDO!P94="","",TUDO!P94)</f>
        <v/>
      </c>
      <c r="N94" s="76" t="str">
        <f>IF(TUDO!Q94="","",TUDO!Q94)</f>
        <v/>
      </c>
      <c r="O94" s="77" t="str">
        <f>IF(TUDO!S94="","",TUDO!S94)</f>
        <v/>
      </c>
      <c r="P94" s="77" t="str">
        <f>IF(TUDO!T94="","",TUDO!T94)</f>
        <v/>
      </c>
      <c r="Q94" s="79" t="str">
        <f>IF(TUDO!U94="","",TUDO!U94)</f>
        <v/>
      </c>
      <c r="R94" s="35"/>
    </row>
    <row r="95" spans="1:18" ht="33.75" x14ac:dyDescent="0.5">
      <c r="A95" s="59"/>
      <c r="B95" s="76" t="str">
        <f>IF(TUDO!B95="","",PROPER(TUDO!B95))</f>
        <v/>
      </c>
      <c r="C95" s="77" t="str">
        <f>IF(TUDO!D95="","",TUDO!D95)</f>
        <v/>
      </c>
      <c r="D95" s="77" t="str">
        <f>IF(TUDO!E95="","",TUDO!E95)</f>
        <v/>
      </c>
      <c r="E95" s="79" t="str">
        <f>IF(TUDO!F95="","",TUDO!F95)</f>
        <v/>
      </c>
      <c r="F95" s="76" t="str">
        <f>IF(TUDO!H95="","",TUDO!H95)</f>
        <v/>
      </c>
      <c r="G95" s="77" t="str">
        <f>IF(TUDO!I95="","",TUDO!I95)</f>
        <v/>
      </c>
      <c r="H95" s="77" t="str">
        <f>IF(TUDO!J95="","",TUDO!J95)</f>
        <v/>
      </c>
      <c r="I95" s="78" t="str">
        <f>IF(TUDO!I95="","",TUDO!K95)</f>
        <v/>
      </c>
      <c r="J95" s="76" t="str">
        <f>IF(TUDO!M95="","",TUDO!M95)</f>
        <v/>
      </c>
      <c r="K95" s="77" t="str">
        <f>IF(TUDO!N95="","",TUDO!N95)</f>
        <v/>
      </c>
      <c r="L95" s="77" t="str">
        <f>IF(TUDO!O95="","",TUDO!O95)</f>
        <v/>
      </c>
      <c r="M95" s="78" t="str">
        <f>IF(TUDO!P95="","",TUDO!P95)</f>
        <v/>
      </c>
      <c r="N95" s="76" t="str">
        <f>IF(TUDO!Q95="","",TUDO!Q95)</f>
        <v/>
      </c>
      <c r="O95" s="77" t="str">
        <f>IF(TUDO!S95="","",TUDO!S95)</f>
        <v/>
      </c>
      <c r="P95" s="77" t="str">
        <f>IF(TUDO!T95="","",TUDO!T95)</f>
        <v/>
      </c>
      <c r="Q95" s="79" t="str">
        <f>IF(TUDO!U95="","",TUDO!U95)</f>
        <v/>
      </c>
      <c r="R95" s="35"/>
    </row>
    <row r="96" spans="1:18" ht="33.75" x14ac:dyDescent="0.5">
      <c r="A96" s="59"/>
      <c r="B96" s="76" t="str">
        <f>IF(TUDO!B96="","",PROPER(TUDO!B96))</f>
        <v/>
      </c>
      <c r="C96" s="77" t="str">
        <f>IF(TUDO!D96="","",TUDO!D96)</f>
        <v/>
      </c>
      <c r="D96" s="77" t="str">
        <f>IF(TUDO!E96="","",TUDO!E96)</f>
        <v/>
      </c>
      <c r="E96" s="79" t="str">
        <f>IF(TUDO!F96="","",TUDO!F96)</f>
        <v/>
      </c>
      <c r="F96" s="76" t="str">
        <f>IF(TUDO!H96="","",TUDO!H96)</f>
        <v/>
      </c>
      <c r="G96" s="77" t="str">
        <f>IF(TUDO!I96="","",TUDO!I96)</f>
        <v/>
      </c>
      <c r="H96" s="77" t="str">
        <f>IF(TUDO!J96="","",TUDO!J96)</f>
        <v/>
      </c>
      <c r="I96" s="78" t="str">
        <f>IF(TUDO!I96="","",TUDO!K96)</f>
        <v/>
      </c>
      <c r="J96" s="76" t="str">
        <f>IF(TUDO!M96="","",TUDO!M96)</f>
        <v/>
      </c>
      <c r="K96" s="77" t="str">
        <f>IF(TUDO!N96="","",TUDO!N96)</f>
        <v/>
      </c>
      <c r="L96" s="77" t="str">
        <f>IF(TUDO!O96="","",TUDO!O96)</f>
        <v/>
      </c>
      <c r="M96" s="78" t="str">
        <f>IF(TUDO!P96="","",TUDO!P96)</f>
        <v/>
      </c>
      <c r="N96" s="76" t="str">
        <f>IF(TUDO!Q96="","",TUDO!Q96)</f>
        <v/>
      </c>
      <c r="O96" s="77" t="str">
        <f>IF(TUDO!S96="","",TUDO!S96)</f>
        <v/>
      </c>
      <c r="P96" s="77" t="str">
        <f>IF(TUDO!T96="","",TUDO!T96)</f>
        <v/>
      </c>
      <c r="Q96" s="79" t="str">
        <f>IF(TUDO!U96="","",TUDO!U96)</f>
        <v/>
      </c>
      <c r="R96" s="35"/>
    </row>
    <row r="97" spans="1:18" ht="33.75" x14ac:dyDescent="0.5">
      <c r="A97" s="59"/>
      <c r="B97" s="76" t="str">
        <f>IF(TUDO!B97="","",PROPER(TUDO!B97))</f>
        <v/>
      </c>
      <c r="C97" s="77" t="str">
        <f>IF(TUDO!D97="","",TUDO!D97)</f>
        <v/>
      </c>
      <c r="D97" s="77" t="str">
        <f>IF(TUDO!E97="","",TUDO!E97)</f>
        <v/>
      </c>
      <c r="E97" s="79" t="str">
        <f>IF(TUDO!F97="","",TUDO!F97)</f>
        <v/>
      </c>
      <c r="F97" s="76" t="str">
        <f>IF(TUDO!H97="","",TUDO!H97)</f>
        <v/>
      </c>
      <c r="G97" s="77" t="str">
        <f>IF(TUDO!I97="","",TUDO!I97)</f>
        <v/>
      </c>
      <c r="H97" s="77" t="str">
        <f>IF(TUDO!J97="","",TUDO!J97)</f>
        <v/>
      </c>
      <c r="I97" s="78" t="str">
        <f>IF(TUDO!I97="","",TUDO!K97)</f>
        <v/>
      </c>
      <c r="J97" s="76" t="str">
        <f>IF(TUDO!M97="","",TUDO!M97)</f>
        <v/>
      </c>
      <c r="K97" s="77" t="str">
        <f>IF(TUDO!N97="","",TUDO!N97)</f>
        <v/>
      </c>
      <c r="L97" s="77" t="str">
        <f>IF(TUDO!O97="","",TUDO!O97)</f>
        <v/>
      </c>
      <c r="M97" s="78" t="str">
        <f>IF(TUDO!P97="","",TUDO!P97)</f>
        <v/>
      </c>
      <c r="N97" s="76" t="str">
        <f>IF(TUDO!Q97="","",TUDO!Q97)</f>
        <v/>
      </c>
      <c r="O97" s="77" t="str">
        <f>IF(TUDO!S97="","",TUDO!S97)</f>
        <v/>
      </c>
      <c r="P97" s="77" t="str">
        <f>IF(TUDO!T97="","",TUDO!T97)</f>
        <v/>
      </c>
      <c r="Q97" s="79" t="str">
        <f>IF(TUDO!U97="","",TUDO!U97)</f>
        <v/>
      </c>
      <c r="R97" s="35"/>
    </row>
    <row r="98" spans="1:18" ht="33.75" x14ac:dyDescent="0.5">
      <c r="A98" s="59"/>
      <c r="B98" s="76" t="str">
        <f>IF(TUDO!B98="","",PROPER(TUDO!B98))</f>
        <v/>
      </c>
      <c r="C98" s="77" t="str">
        <f>IF(TUDO!D98="","",TUDO!D98)</f>
        <v/>
      </c>
      <c r="D98" s="77" t="str">
        <f>IF(TUDO!E98="","",TUDO!E98)</f>
        <v/>
      </c>
      <c r="E98" s="79" t="str">
        <f>IF(TUDO!F98="","",TUDO!F98)</f>
        <v/>
      </c>
      <c r="F98" s="76" t="str">
        <f>IF(TUDO!H98="","",TUDO!H98)</f>
        <v/>
      </c>
      <c r="G98" s="77" t="str">
        <f>IF(TUDO!I98="","",TUDO!I98)</f>
        <v/>
      </c>
      <c r="H98" s="77" t="str">
        <f>IF(TUDO!J98="","",TUDO!J98)</f>
        <v/>
      </c>
      <c r="I98" s="78" t="str">
        <f>IF(TUDO!I98="","",TUDO!K98)</f>
        <v/>
      </c>
      <c r="J98" s="76" t="str">
        <f>IF(TUDO!M98="","",TUDO!M98)</f>
        <v/>
      </c>
      <c r="K98" s="77" t="str">
        <f>IF(TUDO!N98="","",TUDO!N98)</f>
        <v/>
      </c>
      <c r="L98" s="77" t="str">
        <f>IF(TUDO!O98="","",TUDO!O98)</f>
        <v/>
      </c>
      <c r="M98" s="78" t="str">
        <f>IF(TUDO!P98="","",TUDO!P98)</f>
        <v/>
      </c>
      <c r="N98" s="76" t="str">
        <f>IF(TUDO!Q98="","",TUDO!Q98)</f>
        <v/>
      </c>
      <c r="O98" s="77" t="str">
        <f>IF(TUDO!S98="","",TUDO!S98)</f>
        <v/>
      </c>
      <c r="P98" s="77" t="str">
        <f>IF(TUDO!T98="","",TUDO!T98)</f>
        <v/>
      </c>
      <c r="Q98" s="79" t="str">
        <f>IF(TUDO!U98="","",TUDO!U98)</f>
        <v/>
      </c>
      <c r="R98" s="35"/>
    </row>
    <row r="99" spans="1:18" ht="33.75" x14ac:dyDescent="0.5">
      <c r="A99" s="59"/>
      <c r="B99" s="76" t="str">
        <f>IF(TUDO!B99="","",PROPER(TUDO!B99))</f>
        <v/>
      </c>
      <c r="C99" s="77" t="str">
        <f>IF(TUDO!D99="","",TUDO!D99)</f>
        <v/>
      </c>
      <c r="D99" s="77" t="str">
        <f>IF(TUDO!E99="","",TUDO!E99)</f>
        <v/>
      </c>
      <c r="E99" s="79" t="str">
        <f>IF(TUDO!F99="","",TUDO!F99)</f>
        <v/>
      </c>
      <c r="F99" s="76" t="str">
        <f>IF(TUDO!H99="","",TUDO!H99)</f>
        <v/>
      </c>
      <c r="G99" s="77" t="str">
        <f>IF(TUDO!I99="","",TUDO!I99)</f>
        <v/>
      </c>
      <c r="H99" s="77" t="str">
        <f>IF(TUDO!J99="","",TUDO!J99)</f>
        <v/>
      </c>
      <c r="I99" s="78" t="str">
        <f>IF(TUDO!I99="","",TUDO!K99)</f>
        <v/>
      </c>
      <c r="J99" s="76" t="str">
        <f>IF(TUDO!M99="","",TUDO!M99)</f>
        <v/>
      </c>
      <c r="K99" s="77" t="str">
        <f>IF(TUDO!N99="","",TUDO!N99)</f>
        <v/>
      </c>
      <c r="L99" s="77" t="str">
        <f>IF(TUDO!O99="","",TUDO!O99)</f>
        <v/>
      </c>
      <c r="M99" s="78" t="str">
        <f>IF(TUDO!P99="","",TUDO!P99)</f>
        <v/>
      </c>
      <c r="N99" s="76" t="str">
        <f>IF(TUDO!Q99="","",TUDO!Q99)</f>
        <v/>
      </c>
      <c r="O99" s="77" t="str">
        <f>IF(TUDO!S99="","",TUDO!S99)</f>
        <v/>
      </c>
      <c r="P99" s="77" t="str">
        <f>IF(TUDO!T99="","",TUDO!T99)</f>
        <v/>
      </c>
      <c r="Q99" s="79" t="str">
        <f>IF(TUDO!U99="","",TUDO!U99)</f>
        <v/>
      </c>
      <c r="R99" s="35"/>
    </row>
    <row r="100" spans="1:18" ht="28.5" hidden="1" x14ac:dyDescent="0.45">
      <c r="A100" s="59" t="e">
        <f>(D100/Grapic!$J$14)*E100</f>
        <v>#VALUE!</v>
      </c>
      <c r="B100" s="80" t="str">
        <f>IF(TUDO!B100="","",PROPER(TUDO!B100))</f>
        <v/>
      </c>
      <c r="C100" s="81" t="str">
        <f>IF(TUDO!D100="","",TUDO!D100)</f>
        <v/>
      </c>
      <c r="D100" s="81" t="str">
        <f>IF(TUDO!E100="","",TUDO!E100)</f>
        <v/>
      </c>
      <c r="E100" s="80">
        <f>IF(TUDO!F100="","",TUDO!F100)</f>
        <v>362.18</v>
      </c>
      <c r="F100" s="80" t="str">
        <f>IF(TUDO!H100="","",TUDO!H100)</f>
        <v/>
      </c>
      <c r="G100" s="81" t="str">
        <f>IF(TUDO!I100="","",TUDO!I100)</f>
        <v/>
      </c>
      <c r="H100" s="81" t="str">
        <f>IF(TUDO!J100="","",TUDO!J100)</f>
        <v/>
      </c>
      <c r="I100" s="82" t="str">
        <f>IF(TUDO!I100="","",TUDO!K100)</f>
        <v/>
      </c>
      <c r="J100" s="80" t="str">
        <f>IF(TUDO!M100="","",TUDO!M100)</f>
        <v/>
      </c>
      <c r="K100" s="81" t="str">
        <f>IF(TUDO!N100="","",TUDO!N100)</f>
        <v/>
      </c>
      <c r="L100" s="81" t="str">
        <f>IF(TUDO!O100="","",TUDO!O100)</f>
        <v/>
      </c>
      <c r="N100" s="80" t="str">
        <f>IF(TUDO!Q100="","",TUDO!Q100)</f>
        <v/>
      </c>
      <c r="O100" s="81" t="str">
        <f>IF(TUDO!S100="","",TUDO!S100)</f>
        <v/>
      </c>
      <c r="P100" s="81" t="str">
        <f>IF(TUDO!T100="","",TUDO!T100)</f>
        <v/>
      </c>
      <c r="Q100" s="83" t="str">
        <f>IF(TUDO!U100="","",TUDO!U100)</f>
        <v/>
      </c>
    </row>
    <row r="101" spans="1:18" ht="15" hidden="1" x14ac:dyDescent="0.25"/>
    <row r="102" spans="1:18" ht="15" hidden="1" x14ac:dyDescent="0.25"/>
    <row r="103" spans="1:18" ht="15" hidden="1" x14ac:dyDescent="0.25"/>
    <row r="104" spans="1:18" ht="15" hidden="1" x14ac:dyDescent="0.25"/>
    <row r="105" spans="1:18" ht="15" hidden="1" x14ac:dyDescent="0.25"/>
  </sheetData>
  <mergeCells count="5">
    <mergeCell ref="B12:E12"/>
    <mergeCell ref="J12:M12"/>
    <mergeCell ref="N12:Q12"/>
    <mergeCell ref="I11:L11"/>
    <mergeCell ref="F12:I12"/>
  </mergeCells>
  <conditionalFormatting sqref="E14:E99 I14:I99 Q14:Q99 M14:M99">
    <cfRule type="expression" dxfId="6" priority="2">
      <formula>IF(E14&gt;=0,IF(D14&lt;&gt;"",IF(C14&lt;&gt;"",1,0),0),0)</formula>
    </cfRule>
    <cfRule type="expression" dxfId="5" priority="3">
      <formula>E14&lt;0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77B20-6A01-45A0-9735-2966439841F7}">
  <sheetPr codeName="Planilha6"/>
  <dimension ref="A1:XFC105"/>
  <sheetViews>
    <sheetView zoomScale="34" zoomScaleNormal="34" workbookViewId="0">
      <selection activeCell="I14" sqref="I14"/>
    </sheetView>
  </sheetViews>
  <sheetFormatPr defaultColWidth="0" defaultRowHeight="0" customHeight="1" zeroHeight="1" x14ac:dyDescent="0.25"/>
  <cols>
    <col min="1" max="1" width="13.140625" style="37" customWidth="1"/>
    <col min="2" max="2" width="35.7109375" style="37" customWidth="1"/>
    <col min="3" max="4" width="29.7109375" style="37" customWidth="1"/>
    <col min="5" max="5" width="33" style="37" bestFit="1" customWidth="1"/>
    <col min="6" max="6" width="54.7109375" style="37" customWidth="1"/>
    <col min="7" max="8" width="29.7109375" style="37" customWidth="1"/>
    <col min="9" max="9" width="79.28515625" style="37" customWidth="1"/>
    <col min="10" max="10" width="69.85546875" style="37" customWidth="1"/>
    <col min="11" max="11" width="60.85546875" style="37" customWidth="1"/>
    <col min="12" max="12" width="29.7109375" style="37" customWidth="1"/>
    <col min="13" max="13" width="33" style="37" bestFit="1" customWidth="1"/>
    <col min="14" max="14" width="35.7109375" style="37" customWidth="1"/>
    <col min="15" max="16" width="29.7109375" style="37" customWidth="1"/>
    <col min="17" max="17" width="33" style="37" bestFit="1" customWidth="1"/>
    <col min="18" max="18" width="30.7109375" style="37" customWidth="1"/>
    <col min="19" max="22" width="0" style="37" hidden="1" customWidth="1"/>
    <col min="23" max="16383" width="9.140625" style="37" hidden="1"/>
    <col min="16384" max="16384" width="14.28515625" style="37" hidden="1" customWidth="1"/>
  </cols>
  <sheetData>
    <row r="1" spans="1:18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  <c r="R1" s="35"/>
    </row>
    <row r="2" spans="1:18" ht="15" x14ac:dyDescent="0.25">
      <c r="A2" s="35"/>
      <c r="B2" s="35"/>
      <c r="C2" s="35"/>
      <c r="D2" s="35"/>
      <c r="E2" s="35"/>
      <c r="F2" s="35"/>
      <c r="G2" s="35" t="s">
        <v>3</v>
      </c>
      <c r="H2" s="35"/>
      <c r="I2" s="35"/>
      <c r="J2" s="35"/>
      <c r="K2" s="35"/>
      <c r="L2" s="38"/>
      <c r="M2" s="39"/>
      <c r="N2" s="39"/>
      <c r="O2" s="39"/>
      <c r="P2" s="39"/>
      <c r="Q2" s="40"/>
      <c r="R2" s="35"/>
    </row>
    <row r="3" spans="1:18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0"/>
      <c r="M3" s="39"/>
      <c r="N3" s="39"/>
      <c r="O3" s="39"/>
      <c r="P3" s="39"/>
      <c r="Q3" s="40"/>
      <c r="R3" s="35"/>
    </row>
    <row r="4" spans="1:18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0"/>
      <c r="M4" s="39"/>
      <c r="N4" s="39"/>
      <c r="O4" s="39"/>
      <c r="P4" s="39"/>
      <c r="Q4" s="40"/>
      <c r="R4" s="35"/>
    </row>
    <row r="5" spans="1:18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0"/>
      <c r="M5" s="39"/>
      <c r="N5" s="39"/>
      <c r="O5" s="39"/>
      <c r="P5" s="39"/>
      <c r="Q5" s="40"/>
      <c r="R5" s="35"/>
    </row>
    <row r="6" spans="1:18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0"/>
      <c r="M6" s="40"/>
      <c r="N6" s="40"/>
      <c r="O6" s="40"/>
      <c r="P6" s="40"/>
      <c r="Q6" s="40"/>
      <c r="R6" s="35"/>
    </row>
    <row r="7" spans="1:18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8"/>
      <c r="M7" s="38"/>
      <c r="N7" s="38"/>
      <c r="O7" s="38"/>
      <c r="P7" s="38"/>
      <c r="Q7" s="38"/>
      <c r="R7" s="35"/>
    </row>
    <row r="8" spans="1:18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8"/>
      <c r="M8" s="38"/>
      <c r="N8" s="38"/>
      <c r="O8" s="38"/>
      <c r="P8" s="38"/>
      <c r="Q8" s="38"/>
      <c r="R8" s="35"/>
    </row>
    <row r="9" spans="1:18" ht="28.5" x14ac:dyDescent="0.45">
      <c r="A9" s="35"/>
      <c r="B9" s="42"/>
      <c r="C9" s="43"/>
      <c r="D9" s="43"/>
      <c r="E9" s="43"/>
      <c r="F9" s="43"/>
      <c r="G9" s="43"/>
      <c r="H9" s="43"/>
      <c r="I9" s="43"/>
      <c r="J9" s="43"/>
      <c r="K9" s="44"/>
      <c r="L9" s="43"/>
      <c r="M9" s="43"/>
      <c r="N9" s="43"/>
      <c r="O9" s="43"/>
      <c r="P9" s="43"/>
      <c r="Q9" s="43"/>
      <c r="R9" s="35"/>
    </row>
    <row r="10" spans="1:18" ht="28.5" x14ac:dyDescent="0.45">
      <c r="A10" s="35"/>
      <c r="B10" s="42" t="s">
        <v>0</v>
      </c>
      <c r="C10" s="43"/>
      <c r="D10" s="43"/>
      <c r="E10" s="43"/>
      <c r="F10" s="43"/>
      <c r="G10" s="43"/>
      <c r="H10" s="45"/>
      <c r="I10" s="45"/>
      <c r="J10" s="45"/>
      <c r="K10" s="45"/>
      <c r="L10" s="46"/>
      <c r="M10" s="47"/>
      <c r="N10" s="47"/>
      <c r="O10" s="47"/>
      <c r="P10" s="47"/>
      <c r="Q10" s="47"/>
      <c r="R10" s="35"/>
    </row>
    <row r="11" spans="1:18" ht="135.75" customHeight="1" thickBot="1" x14ac:dyDescent="1.4">
      <c r="A11" s="35"/>
      <c r="B11" s="48"/>
      <c r="C11" s="45"/>
      <c r="D11" s="45"/>
      <c r="E11" s="45"/>
      <c r="F11" s="45"/>
      <c r="G11" s="50"/>
      <c r="H11" s="51"/>
      <c r="I11" s="52"/>
      <c r="J11" s="52"/>
      <c r="K11" s="52"/>
      <c r="L11" s="52"/>
      <c r="M11" s="53"/>
      <c r="N11" s="45"/>
      <c r="O11" s="45"/>
      <c r="P11" s="45"/>
      <c r="Q11" s="45"/>
      <c r="R11" s="35"/>
    </row>
    <row r="12" spans="1:18" ht="92.25" x14ac:dyDescent="1.35">
      <c r="A12" s="54"/>
      <c r="B12" s="49"/>
      <c r="C12" s="49"/>
      <c r="D12" s="49"/>
      <c r="E12" s="49"/>
      <c r="F12" s="49"/>
      <c r="G12" s="49"/>
      <c r="H12" s="49"/>
      <c r="I12" s="218" t="s">
        <v>8</v>
      </c>
      <c r="J12" s="219"/>
      <c r="K12" s="220"/>
      <c r="L12" s="49"/>
      <c r="M12" s="49"/>
      <c r="N12" s="49"/>
      <c r="O12" s="49"/>
      <c r="P12" s="49"/>
      <c r="Q12" s="49"/>
      <c r="R12" s="38"/>
    </row>
    <row r="13" spans="1:18" ht="61.5" x14ac:dyDescent="0.55000000000000004">
      <c r="A13" s="41"/>
      <c r="B13" s="56"/>
      <c r="C13" s="56"/>
      <c r="D13" s="56"/>
      <c r="E13" s="56"/>
      <c r="F13" s="56"/>
      <c r="G13" s="56"/>
      <c r="H13" s="56"/>
      <c r="I13" s="84" t="s">
        <v>11</v>
      </c>
      <c r="J13" s="85" t="s">
        <v>9</v>
      </c>
      <c r="K13" s="86" t="s">
        <v>10</v>
      </c>
      <c r="L13" s="56"/>
      <c r="M13" s="56"/>
      <c r="N13" s="56"/>
      <c r="O13" s="56"/>
      <c r="P13" s="56"/>
      <c r="Q13" s="56"/>
      <c r="R13" s="38"/>
    </row>
    <row r="14" spans="1:18" ht="61.5" x14ac:dyDescent="0.45">
      <c r="A14" s="59"/>
      <c r="B14" s="60"/>
      <c r="C14" s="61"/>
      <c r="D14" s="61"/>
      <c r="E14" s="32"/>
      <c r="F14" s="60"/>
      <c r="G14" s="61"/>
      <c r="H14" s="61"/>
      <c r="I14" s="87" t="s">
        <v>7</v>
      </c>
      <c r="J14" s="88">
        <f>SUM(Table!D14:D99)</f>
        <v>1435.72</v>
      </c>
      <c r="K14" s="89">
        <f>J14/SUM($J$14:$J$17)</f>
        <v>0.22222359806212946</v>
      </c>
      <c r="L14" s="61"/>
      <c r="M14" s="65"/>
      <c r="N14" s="60"/>
      <c r="O14" s="61"/>
      <c r="P14" s="61"/>
      <c r="Q14" s="65"/>
      <c r="R14" s="38"/>
    </row>
    <row r="15" spans="1:18" ht="61.5" x14ac:dyDescent="0.45">
      <c r="A15" s="59"/>
      <c r="B15" s="60"/>
      <c r="C15" s="61"/>
      <c r="D15" s="61"/>
      <c r="E15" s="32"/>
      <c r="F15" s="60"/>
      <c r="G15" s="61"/>
      <c r="H15" s="61"/>
      <c r="I15" s="87" t="s">
        <v>4</v>
      </c>
      <c r="J15" s="88">
        <f>SUM(Table!H14:H99)</f>
        <v>4229.68</v>
      </c>
      <c r="K15" s="89">
        <f>J15/SUM($J$14:$J$17)</f>
        <v>0.65467828563468355</v>
      </c>
      <c r="L15" s="61"/>
      <c r="M15" s="65"/>
      <c r="N15" s="60"/>
      <c r="O15" s="61"/>
      <c r="P15" s="61"/>
      <c r="Q15" s="65"/>
      <c r="R15" s="38"/>
    </row>
    <row r="16" spans="1:18" ht="61.5" x14ac:dyDescent="0.45">
      <c r="A16" s="59"/>
      <c r="B16" s="60"/>
      <c r="C16" s="61"/>
      <c r="D16" s="61"/>
      <c r="E16" s="65"/>
      <c r="F16" s="60"/>
      <c r="G16" s="61"/>
      <c r="H16" s="61"/>
      <c r="I16" s="87" t="s">
        <v>5</v>
      </c>
      <c r="J16" s="88">
        <f>SUM(Table!L14:L99)</f>
        <v>630</v>
      </c>
      <c r="K16" s="89">
        <f>J16/SUM($J$14:$J$17)</f>
        <v>9.7512653427647145E-2</v>
      </c>
      <c r="L16" s="61"/>
      <c r="M16" s="65"/>
      <c r="N16" s="60"/>
      <c r="O16" s="61"/>
      <c r="P16" s="61"/>
      <c r="Q16" s="65"/>
      <c r="R16" s="38"/>
    </row>
    <row r="17" spans="1:18" ht="62.25" thickBot="1" x14ac:dyDescent="0.5">
      <c r="A17" s="59"/>
      <c r="B17" s="60"/>
      <c r="C17" s="61"/>
      <c r="D17" s="61"/>
      <c r="E17" s="65"/>
      <c r="F17" s="60"/>
      <c r="G17" s="61"/>
      <c r="H17" s="61"/>
      <c r="I17" s="90" t="s">
        <v>6</v>
      </c>
      <c r="J17" s="91">
        <f>SUM(Table!P14:P99)</f>
        <v>165.3</v>
      </c>
      <c r="K17" s="92">
        <f>J17/SUM($J$14:$J$17)</f>
        <v>2.55854628755398E-2</v>
      </c>
      <c r="L17" s="61"/>
      <c r="M17" s="65"/>
      <c r="N17" s="60"/>
      <c r="O17" s="61"/>
      <c r="P17" s="61"/>
      <c r="Q17" s="65"/>
      <c r="R17" s="38"/>
    </row>
    <row r="18" spans="1:18" ht="62.25" thickBot="1" x14ac:dyDescent="0.5">
      <c r="A18" s="59"/>
      <c r="B18" s="60"/>
      <c r="C18" s="61"/>
      <c r="D18" s="61"/>
      <c r="E18" s="65"/>
      <c r="F18" s="60"/>
      <c r="G18" s="61"/>
      <c r="H18" s="61"/>
      <c r="I18" s="93" t="s">
        <v>12</v>
      </c>
      <c r="J18" s="94">
        <f>SUM(J14:J17)</f>
        <v>6460.7000000000007</v>
      </c>
      <c r="K18" s="95"/>
      <c r="L18" s="61"/>
      <c r="M18" s="65"/>
      <c r="N18" s="60"/>
      <c r="O18" s="61"/>
      <c r="P18" s="61"/>
      <c r="Q18" s="65"/>
      <c r="R18" s="38"/>
    </row>
    <row r="19" spans="1:18" ht="28.5" x14ac:dyDescent="0.45">
      <c r="A19" s="59"/>
      <c r="B19" s="60"/>
      <c r="C19" s="61"/>
      <c r="D19" s="61"/>
      <c r="E19" s="65"/>
      <c r="F19" s="60"/>
      <c r="G19" s="61"/>
      <c r="H19" s="61"/>
      <c r="I19" s="32"/>
      <c r="J19" s="60"/>
      <c r="K19" s="61"/>
      <c r="L19" s="61"/>
      <c r="M19" s="65"/>
      <c r="N19" s="60"/>
      <c r="O19" s="61"/>
      <c r="P19" s="61"/>
      <c r="Q19" s="65"/>
      <c r="R19" s="38"/>
    </row>
    <row r="20" spans="1:18" ht="28.5" x14ac:dyDescent="0.45">
      <c r="A20" s="59"/>
      <c r="B20" s="67"/>
      <c r="C20" s="61"/>
      <c r="D20" s="61"/>
      <c r="E20" s="65"/>
      <c r="F20" s="60"/>
      <c r="G20" s="61"/>
      <c r="H20" s="61"/>
      <c r="I20" s="32"/>
      <c r="J20" s="60"/>
      <c r="K20" s="61"/>
      <c r="L20" s="61"/>
      <c r="M20" s="65"/>
      <c r="N20" s="60"/>
      <c r="O20" s="61"/>
      <c r="P20" s="61"/>
      <c r="Q20" s="65"/>
      <c r="R20" s="38"/>
    </row>
    <row r="21" spans="1:18" ht="28.5" x14ac:dyDescent="0.45">
      <c r="A21" s="59"/>
      <c r="B21" s="67"/>
      <c r="C21" s="61"/>
      <c r="D21" s="61"/>
      <c r="E21" s="65"/>
      <c r="F21" s="60"/>
      <c r="G21" s="61"/>
      <c r="H21" s="61"/>
      <c r="I21" s="32"/>
      <c r="J21" s="60"/>
      <c r="K21" s="61"/>
      <c r="L21" s="61"/>
      <c r="M21" s="65"/>
      <c r="N21" s="60"/>
      <c r="O21" s="61"/>
      <c r="P21" s="61"/>
      <c r="Q21" s="65"/>
      <c r="R21" s="38"/>
    </row>
    <row r="22" spans="1:18" ht="28.5" x14ac:dyDescent="0.45">
      <c r="A22" s="59"/>
      <c r="B22" s="67"/>
      <c r="C22" s="61"/>
      <c r="D22" s="61"/>
      <c r="E22" s="65"/>
      <c r="F22" s="60"/>
      <c r="G22" s="61"/>
      <c r="H22" s="61"/>
      <c r="I22" s="32"/>
      <c r="J22" s="60"/>
      <c r="K22" s="61"/>
      <c r="L22" s="61"/>
      <c r="M22" s="65"/>
      <c r="N22" s="60"/>
      <c r="O22" s="61"/>
      <c r="P22" s="61"/>
      <c r="Q22" s="65"/>
      <c r="R22" s="38"/>
    </row>
    <row r="23" spans="1:18" ht="28.5" x14ac:dyDescent="0.45">
      <c r="A23" s="59"/>
      <c r="B23" s="67"/>
      <c r="C23" s="61"/>
      <c r="D23" s="61"/>
      <c r="E23" s="65"/>
      <c r="F23" s="60"/>
      <c r="G23" s="61"/>
      <c r="H23" s="61"/>
      <c r="I23" s="32"/>
      <c r="J23" s="60"/>
      <c r="K23" s="61"/>
      <c r="L23" s="61"/>
      <c r="M23" s="65"/>
      <c r="N23" s="60"/>
      <c r="O23" s="61"/>
      <c r="P23" s="61"/>
      <c r="Q23" s="65"/>
      <c r="R23" s="38"/>
    </row>
    <row r="24" spans="1:18" ht="28.5" x14ac:dyDescent="0.45">
      <c r="A24" s="59"/>
      <c r="B24" s="67"/>
      <c r="C24" s="61"/>
      <c r="D24" s="61"/>
      <c r="E24" s="65"/>
      <c r="F24" s="60"/>
      <c r="G24" s="61"/>
      <c r="H24" s="61"/>
      <c r="I24" s="32"/>
      <c r="J24" s="60"/>
      <c r="K24" s="61"/>
      <c r="L24" s="61"/>
      <c r="M24" s="65"/>
      <c r="N24" s="60"/>
      <c r="O24" s="61"/>
      <c r="P24" s="61"/>
      <c r="Q24" s="65"/>
      <c r="R24" s="38"/>
    </row>
    <row r="25" spans="1:18" ht="28.5" x14ac:dyDescent="0.45">
      <c r="A25" s="59"/>
      <c r="B25" s="67"/>
      <c r="C25" s="61"/>
      <c r="D25" s="61"/>
      <c r="E25" s="65"/>
      <c r="F25" s="60"/>
      <c r="G25" s="61"/>
      <c r="H25" s="61"/>
      <c r="I25" s="32"/>
      <c r="J25" s="60"/>
      <c r="K25" s="61"/>
      <c r="L25" s="61"/>
      <c r="M25" s="65"/>
      <c r="N25" s="60"/>
      <c r="O25" s="61"/>
      <c r="P25" s="61"/>
      <c r="Q25" s="65"/>
      <c r="R25" s="38"/>
    </row>
    <row r="26" spans="1:18" ht="28.5" x14ac:dyDescent="0.45">
      <c r="A26" s="59"/>
      <c r="B26" s="67"/>
      <c r="C26" s="61"/>
      <c r="D26" s="61"/>
      <c r="E26" s="65"/>
      <c r="F26" s="60"/>
      <c r="G26" s="61"/>
      <c r="H26" s="61"/>
      <c r="I26" s="32"/>
      <c r="J26" s="60"/>
      <c r="K26" s="61"/>
      <c r="L26" s="61"/>
      <c r="M26" s="65"/>
      <c r="N26" s="60"/>
      <c r="O26" s="61"/>
      <c r="P26" s="61"/>
      <c r="Q26" s="65"/>
      <c r="R26" s="38"/>
    </row>
    <row r="27" spans="1:18" ht="28.5" x14ac:dyDescent="0.45">
      <c r="A27" s="59"/>
      <c r="B27" s="67"/>
      <c r="C27" s="61"/>
      <c r="D27" s="61"/>
      <c r="E27" s="65"/>
      <c r="F27" s="60"/>
      <c r="G27" s="61"/>
      <c r="H27" s="61"/>
      <c r="I27" s="32"/>
      <c r="J27" s="60"/>
      <c r="K27" s="61"/>
      <c r="L27" s="61"/>
      <c r="M27" s="65"/>
      <c r="N27" s="60"/>
      <c r="O27" s="61"/>
      <c r="P27" s="61"/>
      <c r="Q27" s="65"/>
      <c r="R27" s="38"/>
    </row>
    <row r="28" spans="1:18" ht="28.5" x14ac:dyDescent="0.45">
      <c r="A28" s="59"/>
      <c r="B28" s="67"/>
      <c r="C28" s="61"/>
      <c r="D28" s="61"/>
      <c r="E28" s="65"/>
      <c r="F28" s="60"/>
      <c r="G28" s="61"/>
      <c r="H28" s="61"/>
      <c r="I28" s="32"/>
      <c r="J28" s="60"/>
      <c r="K28" s="61"/>
      <c r="L28" s="61"/>
      <c r="M28" s="65"/>
      <c r="N28" s="60"/>
      <c r="O28" s="61"/>
      <c r="P28" s="61"/>
      <c r="Q28" s="65"/>
      <c r="R28" s="38"/>
    </row>
    <row r="29" spans="1:18" ht="28.5" x14ac:dyDescent="0.45">
      <c r="A29" s="59"/>
      <c r="B29" s="67"/>
      <c r="C29" s="61"/>
      <c r="D29" s="61"/>
      <c r="E29" s="65"/>
      <c r="F29" s="60"/>
      <c r="G29" s="61"/>
      <c r="H29" s="61"/>
      <c r="I29" s="32"/>
      <c r="J29" s="60"/>
      <c r="K29" s="61"/>
      <c r="L29" s="61"/>
      <c r="M29" s="65"/>
      <c r="N29" s="60"/>
      <c r="O29" s="61"/>
      <c r="P29" s="61"/>
      <c r="Q29" s="65"/>
      <c r="R29" s="38"/>
    </row>
    <row r="30" spans="1:18" ht="28.5" x14ac:dyDescent="0.45">
      <c r="A30" s="59"/>
      <c r="B30" s="67"/>
      <c r="C30" s="61"/>
      <c r="D30" s="61"/>
      <c r="E30" s="65"/>
      <c r="F30" s="60"/>
      <c r="G30" s="61"/>
      <c r="H30" s="61"/>
      <c r="I30" s="32"/>
      <c r="J30" s="60"/>
      <c r="K30" s="61"/>
      <c r="L30" s="61"/>
      <c r="M30" s="65"/>
      <c r="N30" s="60"/>
      <c r="O30" s="61"/>
      <c r="P30" s="61"/>
      <c r="Q30" s="65"/>
      <c r="R30" s="38"/>
    </row>
    <row r="31" spans="1:18" ht="28.5" x14ac:dyDescent="0.45">
      <c r="A31" s="59"/>
      <c r="B31" s="67"/>
      <c r="C31" s="61"/>
      <c r="D31" s="61"/>
      <c r="E31" s="65"/>
      <c r="F31" s="60"/>
      <c r="G31" s="61"/>
      <c r="H31" s="61"/>
      <c r="I31" s="32"/>
      <c r="J31" s="60"/>
      <c r="K31" s="61"/>
      <c r="L31" s="61"/>
      <c r="M31" s="65"/>
      <c r="N31" s="60"/>
      <c r="O31" s="61"/>
      <c r="P31" s="61"/>
      <c r="Q31" s="65"/>
      <c r="R31" s="38"/>
    </row>
    <row r="32" spans="1:18" ht="28.5" x14ac:dyDescent="0.45">
      <c r="A32" s="59"/>
      <c r="B32" s="67"/>
      <c r="C32" s="61"/>
      <c r="D32" s="61"/>
      <c r="E32" s="65"/>
      <c r="F32" s="60"/>
      <c r="G32" s="61"/>
      <c r="H32" s="61"/>
      <c r="I32" s="32"/>
      <c r="J32" s="60"/>
      <c r="K32" s="61"/>
      <c r="L32" s="61"/>
      <c r="M32" s="65"/>
      <c r="N32" s="60"/>
      <c r="O32" s="61"/>
      <c r="P32" s="61"/>
      <c r="Q32" s="65"/>
      <c r="R32" s="38"/>
    </row>
    <row r="33" spans="1:18" ht="28.5" x14ac:dyDescent="0.45">
      <c r="A33" s="59"/>
      <c r="B33" s="67"/>
      <c r="C33" s="61"/>
      <c r="D33" s="61"/>
      <c r="E33" s="65"/>
      <c r="F33" s="60"/>
      <c r="G33" s="61"/>
      <c r="H33" s="61"/>
      <c r="I33" s="32"/>
      <c r="J33" s="60"/>
      <c r="K33" s="61"/>
      <c r="L33" s="61"/>
      <c r="M33" s="65"/>
      <c r="N33" s="60"/>
      <c r="O33" s="61"/>
      <c r="P33" s="61"/>
      <c r="Q33" s="65"/>
      <c r="R33" s="38"/>
    </row>
    <row r="34" spans="1:18" ht="28.5" x14ac:dyDescent="0.45">
      <c r="A34" s="59"/>
      <c r="B34" s="67"/>
      <c r="C34" s="61"/>
      <c r="D34" s="61"/>
      <c r="E34" s="65"/>
      <c r="F34" s="60"/>
      <c r="G34" s="61"/>
      <c r="H34" s="61"/>
      <c r="I34" s="32"/>
      <c r="J34" s="60"/>
      <c r="K34" s="61"/>
      <c r="L34" s="61"/>
      <c r="M34" s="65"/>
      <c r="N34" s="60"/>
      <c r="O34" s="61"/>
      <c r="P34" s="61"/>
      <c r="Q34" s="65"/>
      <c r="R34" s="38"/>
    </row>
    <row r="35" spans="1:18" ht="28.5" x14ac:dyDescent="0.45">
      <c r="A35" s="59"/>
      <c r="B35" s="67"/>
      <c r="C35" s="61"/>
      <c r="D35" s="61"/>
      <c r="E35" s="65"/>
      <c r="F35" s="60"/>
      <c r="G35" s="61"/>
      <c r="H35" s="61"/>
      <c r="I35" s="32"/>
      <c r="J35" s="60"/>
      <c r="K35" s="61"/>
      <c r="L35" s="61"/>
      <c r="M35" s="65"/>
      <c r="N35" s="60"/>
      <c r="O35" s="61"/>
      <c r="P35" s="61"/>
      <c r="Q35" s="65"/>
      <c r="R35" s="38"/>
    </row>
    <row r="36" spans="1:18" ht="28.5" x14ac:dyDescent="0.45">
      <c r="A36" s="59"/>
      <c r="B36" s="67"/>
      <c r="C36" s="61"/>
      <c r="D36" s="61"/>
      <c r="E36" s="65"/>
      <c r="F36" s="60"/>
      <c r="G36" s="61"/>
      <c r="H36" s="61"/>
      <c r="I36" s="32"/>
      <c r="J36" s="60"/>
      <c r="K36" s="61"/>
      <c r="L36" s="61"/>
      <c r="M36" s="65"/>
      <c r="N36" s="60"/>
      <c r="O36" s="61"/>
      <c r="P36" s="61"/>
      <c r="Q36" s="65"/>
      <c r="R36" s="38"/>
    </row>
    <row r="37" spans="1:18" ht="28.5" x14ac:dyDescent="0.45">
      <c r="A37" s="59"/>
      <c r="B37" s="67"/>
      <c r="C37" s="61"/>
      <c r="D37" s="61"/>
      <c r="E37" s="65"/>
      <c r="F37" s="60"/>
      <c r="G37" s="61"/>
      <c r="H37" s="61"/>
      <c r="I37" s="32"/>
      <c r="J37" s="60"/>
      <c r="K37" s="61"/>
      <c r="L37" s="61"/>
      <c r="M37" s="65"/>
      <c r="N37" s="60"/>
      <c r="O37" s="61"/>
      <c r="P37" s="61"/>
      <c r="Q37" s="65"/>
      <c r="R37" s="38"/>
    </row>
    <row r="38" spans="1:18" ht="28.5" x14ac:dyDescent="0.45">
      <c r="A38" s="59"/>
      <c r="B38" s="67"/>
      <c r="C38" s="61"/>
      <c r="D38" s="61"/>
      <c r="E38" s="65"/>
      <c r="F38" s="60"/>
      <c r="G38" s="61"/>
      <c r="H38" s="61"/>
      <c r="I38" s="32"/>
      <c r="J38" s="60"/>
      <c r="K38" s="61"/>
      <c r="L38" s="61"/>
      <c r="M38" s="65"/>
      <c r="N38" s="60"/>
      <c r="O38" s="61"/>
      <c r="P38" s="61"/>
      <c r="Q38" s="65"/>
      <c r="R38" s="38"/>
    </row>
    <row r="39" spans="1:18" ht="28.5" x14ac:dyDescent="0.45">
      <c r="A39" s="59"/>
      <c r="B39" s="67"/>
      <c r="C39" s="61"/>
      <c r="D39" s="61"/>
      <c r="E39" s="65"/>
      <c r="F39" s="60"/>
      <c r="G39" s="61"/>
      <c r="H39" s="61"/>
      <c r="I39" s="32"/>
      <c r="J39" s="60"/>
      <c r="K39" s="61"/>
      <c r="L39" s="61"/>
      <c r="M39" s="65"/>
      <c r="N39" s="60"/>
      <c r="O39" s="61"/>
      <c r="P39" s="61"/>
      <c r="Q39" s="65"/>
      <c r="R39" s="38"/>
    </row>
    <row r="40" spans="1:18" ht="28.5" x14ac:dyDescent="0.45">
      <c r="A40" s="59"/>
      <c r="B40" s="67"/>
      <c r="C40" s="61"/>
      <c r="D40" s="61"/>
      <c r="E40" s="65"/>
      <c r="F40" s="60"/>
      <c r="G40" s="61"/>
      <c r="H40" s="61"/>
      <c r="I40" s="32"/>
      <c r="J40" s="60"/>
      <c r="K40" s="61"/>
      <c r="L40" s="61"/>
      <c r="M40" s="65"/>
      <c r="N40" s="60"/>
      <c r="O40" s="61"/>
      <c r="P40" s="61"/>
      <c r="Q40" s="65"/>
      <c r="R40" s="38"/>
    </row>
    <row r="41" spans="1:18" ht="28.5" x14ac:dyDescent="0.45">
      <c r="A41" s="59"/>
      <c r="B41" s="67"/>
      <c r="C41" s="61"/>
      <c r="D41" s="61"/>
      <c r="E41" s="65"/>
      <c r="F41" s="60"/>
      <c r="G41" s="61"/>
      <c r="H41" s="61"/>
      <c r="I41" s="32"/>
      <c r="J41" s="60"/>
      <c r="K41" s="61"/>
      <c r="L41" s="61"/>
      <c r="M41" s="65"/>
      <c r="N41" s="60"/>
      <c r="O41" s="61"/>
      <c r="P41" s="61"/>
      <c r="Q41" s="65"/>
      <c r="R41" s="38"/>
    </row>
    <row r="42" spans="1:18" ht="28.5" x14ac:dyDescent="0.45">
      <c r="A42" s="59"/>
      <c r="B42" s="67"/>
      <c r="C42" s="61"/>
      <c r="D42" s="61"/>
      <c r="E42" s="65"/>
      <c r="F42" s="60"/>
      <c r="G42" s="61"/>
      <c r="H42" s="61"/>
      <c r="I42" s="32"/>
      <c r="J42" s="60"/>
      <c r="K42" s="61"/>
      <c r="L42" s="61"/>
      <c r="M42" s="65"/>
      <c r="N42" s="60"/>
      <c r="O42" s="61"/>
      <c r="P42" s="61"/>
      <c r="Q42" s="65"/>
      <c r="R42" s="38"/>
    </row>
    <row r="43" spans="1:18" ht="28.5" x14ac:dyDescent="0.45">
      <c r="A43" s="59"/>
      <c r="B43" s="67"/>
      <c r="C43" s="61"/>
      <c r="D43" s="61"/>
      <c r="E43" s="65"/>
      <c r="F43" s="60"/>
      <c r="G43" s="61"/>
      <c r="H43" s="61"/>
      <c r="I43" s="32"/>
      <c r="J43" s="60"/>
      <c r="K43" s="61"/>
      <c r="L43" s="61"/>
      <c r="M43" s="65"/>
      <c r="N43" s="60"/>
      <c r="O43" s="61"/>
      <c r="P43" s="61"/>
      <c r="Q43" s="65"/>
      <c r="R43" s="38"/>
    </row>
    <row r="44" spans="1:18" ht="28.5" x14ac:dyDescent="0.45">
      <c r="A44" s="59"/>
      <c r="B44" s="67"/>
      <c r="C44" s="61"/>
      <c r="D44" s="61"/>
      <c r="E44" s="65"/>
      <c r="F44" s="60"/>
      <c r="G44" s="61"/>
      <c r="H44" s="61"/>
      <c r="I44" s="32"/>
      <c r="J44" s="60"/>
      <c r="K44" s="61"/>
      <c r="L44" s="61"/>
      <c r="M44" s="65"/>
      <c r="N44" s="60"/>
      <c r="O44" s="61"/>
      <c r="P44" s="61"/>
      <c r="Q44" s="65"/>
      <c r="R44" s="38"/>
    </row>
    <row r="45" spans="1:18" ht="28.5" x14ac:dyDescent="0.45">
      <c r="A45" s="59"/>
      <c r="B45" s="67"/>
      <c r="C45" s="61"/>
      <c r="D45" s="61"/>
      <c r="E45" s="65"/>
      <c r="F45" s="60"/>
      <c r="G45" s="61"/>
      <c r="H45" s="61"/>
      <c r="I45" s="32"/>
      <c r="J45" s="60"/>
      <c r="K45" s="61"/>
      <c r="L45" s="61"/>
      <c r="M45" s="65"/>
      <c r="N45" s="60"/>
      <c r="O45" s="61"/>
      <c r="P45" s="61"/>
      <c r="Q45" s="65"/>
      <c r="R45" s="38"/>
    </row>
    <row r="46" spans="1:18" ht="28.5" x14ac:dyDescent="0.45">
      <c r="A46" s="59"/>
      <c r="B46" s="67"/>
      <c r="C46" s="61"/>
      <c r="D46" s="61"/>
      <c r="E46" s="65"/>
      <c r="F46" s="60"/>
      <c r="G46" s="61"/>
      <c r="H46" s="61"/>
      <c r="I46" s="32"/>
      <c r="J46" s="60"/>
      <c r="K46" s="61"/>
      <c r="L46" s="61"/>
      <c r="M46" s="65"/>
      <c r="N46" s="60"/>
      <c r="O46" s="61"/>
      <c r="P46" s="61"/>
      <c r="Q46" s="65"/>
      <c r="R46" s="38"/>
    </row>
    <row r="47" spans="1:18" ht="28.5" x14ac:dyDescent="0.45">
      <c r="A47" s="59"/>
      <c r="B47" s="67"/>
      <c r="C47" s="61"/>
      <c r="D47" s="61"/>
      <c r="E47" s="65"/>
      <c r="F47" s="60"/>
      <c r="G47" s="61"/>
      <c r="H47" s="61"/>
      <c r="I47" s="32"/>
      <c r="J47" s="60"/>
      <c r="K47" s="61"/>
      <c r="L47" s="61"/>
      <c r="M47" s="65"/>
      <c r="N47" s="60"/>
      <c r="O47" s="61"/>
      <c r="P47" s="61"/>
      <c r="Q47" s="65"/>
      <c r="R47" s="38"/>
    </row>
    <row r="48" spans="1:18" ht="28.5" x14ac:dyDescent="0.45">
      <c r="A48" s="59"/>
      <c r="B48" s="67"/>
      <c r="C48" s="61"/>
      <c r="D48" s="61"/>
      <c r="E48" s="65"/>
      <c r="F48" s="60"/>
      <c r="G48" s="61"/>
      <c r="H48" s="61"/>
      <c r="I48" s="32"/>
      <c r="J48" s="60"/>
      <c r="K48" s="61"/>
      <c r="L48" s="61"/>
      <c r="M48" s="65"/>
      <c r="N48" s="60"/>
      <c r="O48" s="61"/>
      <c r="P48" s="61"/>
      <c r="Q48" s="65"/>
      <c r="R48" s="38"/>
    </row>
    <row r="49" spans="1:18" ht="28.5" x14ac:dyDescent="0.45">
      <c r="A49" s="59"/>
      <c r="B49" s="67"/>
      <c r="C49" s="61"/>
      <c r="D49" s="61"/>
      <c r="E49" s="65"/>
      <c r="F49" s="60"/>
      <c r="G49" s="61"/>
      <c r="H49" s="61"/>
      <c r="I49" s="32"/>
      <c r="J49" s="60"/>
      <c r="K49" s="61"/>
      <c r="L49" s="61"/>
      <c r="M49" s="65"/>
      <c r="N49" s="60"/>
      <c r="O49" s="61"/>
      <c r="P49" s="61"/>
      <c r="Q49" s="65"/>
      <c r="R49" s="38"/>
    </row>
    <row r="50" spans="1:18" ht="28.5" x14ac:dyDescent="0.45">
      <c r="A50" s="59"/>
      <c r="B50" s="67"/>
      <c r="C50" s="61"/>
      <c r="D50" s="61"/>
      <c r="E50" s="65"/>
      <c r="F50" s="60"/>
      <c r="G50" s="61"/>
      <c r="H50" s="61"/>
      <c r="I50" s="32"/>
      <c r="J50" s="60"/>
      <c r="K50" s="61"/>
      <c r="L50" s="61"/>
      <c r="M50" s="65"/>
      <c r="N50" s="60"/>
      <c r="O50" s="61"/>
      <c r="P50" s="61"/>
      <c r="Q50" s="65"/>
      <c r="R50" s="38"/>
    </row>
    <row r="51" spans="1:18" ht="28.5" x14ac:dyDescent="0.45">
      <c r="A51" s="59"/>
      <c r="B51" s="67"/>
      <c r="C51" s="61"/>
      <c r="D51" s="61"/>
      <c r="E51" s="65"/>
      <c r="F51" s="60"/>
      <c r="G51" s="61"/>
      <c r="H51" s="61"/>
      <c r="I51" s="32"/>
      <c r="J51" s="60"/>
      <c r="K51" s="61"/>
      <c r="L51" s="61"/>
      <c r="M51" s="65"/>
      <c r="N51" s="60"/>
      <c r="O51" s="61"/>
      <c r="P51" s="61"/>
      <c r="Q51" s="65"/>
      <c r="R51" s="38"/>
    </row>
    <row r="52" spans="1:18" ht="28.5" x14ac:dyDescent="0.45">
      <c r="A52" s="59"/>
      <c r="B52" s="67"/>
      <c r="C52" s="61"/>
      <c r="D52" s="61"/>
      <c r="E52" s="65"/>
      <c r="F52" s="60"/>
      <c r="G52" s="61"/>
      <c r="H52" s="61"/>
      <c r="I52" s="32"/>
      <c r="J52" s="60"/>
      <c r="K52" s="61"/>
      <c r="L52" s="61"/>
      <c r="M52" s="65"/>
      <c r="N52" s="60"/>
      <c r="O52" s="61"/>
      <c r="P52" s="61"/>
      <c r="Q52" s="65"/>
      <c r="R52" s="38"/>
    </row>
    <row r="53" spans="1:18" ht="28.5" x14ac:dyDescent="0.45">
      <c r="A53" s="59"/>
      <c r="B53" s="67"/>
      <c r="C53" s="61"/>
      <c r="D53" s="61"/>
      <c r="E53" s="65"/>
      <c r="F53" s="60"/>
      <c r="G53" s="61"/>
      <c r="H53" s="61"/>
      <c r="I53" s="32"/>
      <c r="J53" s="60"/>
      <c r="K53" s="61"/>
      <c r="L53" s="61"/>
      <c r="M53" s="65"/>
      <c r="N53" s="60"/>
      <c r="O53" s="61"/>
      <c r="P53" s="61"/>
      <c r="Q53" s="65"/>
      <c r="R53" s="38"/>
    </row>
    <row r="54" spans="1:18" ht="28.5" x14ac:dyDescent="0.45">
      <c r="A54" s="59"/>
      <c r="B54" s="67"/>
      <c r="C54" s="61"/>
      <c r="D54" s="61"/>
      <c r="E54" s="65"/>
      <c r="F54" s="60"/>
      <c r="G54" s="61"/>
      <c r="H54" s="61"/>
      <c r="I54" s="32"/>
      <c r="J54" s="60"/>
      <c r="K54" s="61"/>
      <c r="L54" s="61"/>
      <c r="M54" s="65"/>
      <c r="N54" s="60"/>
      <c r="O54" s="61"/>
      <c r="P54" s="61"/>
      <c r="Q54" s="65"/>
      <c r="R54" s="38"/>
    </row>
    <row r="55" spans="1:18" ht="28.5" x14ac:dyDescent="0.45">
      <c r="A55" s="59"/>
      <c r="B55" s="67"/>
      <c r="C55" s="61"/>
      <c r="D55" s="61"/>
      <c r="E55" s="65"/>
      <c r="F55" s="60"/>
      <c r="G55" s="61"/>
      <c r="H55" s="61"/>
      <c r="I55" s="32"/>
      <c r="J55" s="60"/>
      <c r="K55" s="61"/>
      <c r="L55" s="61"/>
      <c r="M55" s="65"/>
      <c r="N55" s="60"/>
      <c r="O55" s="61"/>
      <c r="P55" s="61"/>
      <c r="Q55" s="65"/>
      <c r="R55" s="38"/>
    </row>
    <row r="56" spans="1:18" ht="28.5" x14ac:dyDescent="0.45">
      <c r="A56" s="59"/>
      <c r="B56" s="67"/>
      <c r="C56" s="61"/>
      <c r="D56" s="61"/>
      <c r="E56" s="65"/>
      <c r="F56" s="60"/>
      <c r="G56" s="61"/>
      <c r="H56" s="61"/>
      <c r="I56" s="32"/>
      <c r="J56" s="60"/>
      <c r="K56" s="61"/>
      <c r="L56" s="61"/>
      <c r="M56" s="65"/>
      <c r="N56" s="60"/>
      <c r="O56" s="61"/>
      <c r="P56" s="61"/>
      <c r="Q56" s="65"/>
      <c r="R56" s="38"/>
    </row>
    <row r="57" spans="1:18" ht="28.5" x14ac:dyDescent="0.45">
      <c r="A57" s="59"/>
      <c r="B57" s="67"/>
      <c r="C57" s="61"/>
      <c r="D57" s="61"/>
      <c r="E57" s="65"/>
      <c r="F57" s="60"/>
      <c r="G57" s="61"/>
      <c r="H57" s="61"/>
      <c r="I57" s="32"/>
      <c r="J57" s="60"/>
      <c r="K57" s="61"/>
      <c r="L57" s="61"/>
      <c r="M57" s="65"/>
      <c r="N57" s="60"/>
      <c r="O57" s="61"/>
      <c r="P57" s="61"/>
      <c r="Q57" s="65"/>
      <c r="R57" s="38"/>
    </row>
    <row r="58" spans="1:18" ht="28.5" x14ac:dyDescent="0.45">
      <c r="A58" s="59"/>
      <c r="B58" s="67"/>
      <c r="C58" s="61"/>
      <c r="D58" s="61"/>
      <c r="E58" s="65"/>
      <c r="F58" s="60"/>
      <c r="G58" s="61"/>
      <c r="H58" s="61"/>
      <c r="I58" s="32"/>
      <c r="J58" s="60"/>
      <c r="K58" s="61"/>
      <c r="L58" s="61"/>
      <c r="M58" s="65"/>
      <c r="N58" s="60"/>
      <c r="O58" s="61"/>
      <c r="P58" s="61"/>
      <c r="Q58" s="65"/>
      <c r="R58" s="38"/>
    </row>
    <row r="59" spans="1:18" ht="28.5" x14ac:dyDescent="0.45">
      <c r="A59" s="59"/>
      <c r="B59" s="67"/>
      <c r="C59" s="61"/>
      <c r="D59" s="61"/>
      <c r="E59" s="65"/>
      <c r="F59" s="60"/>
      <c r="G59" s="61"/>
      <c r="H59" s="61"/>
      <c r="I59" s="32"/>
      <c r="J59" s="60"/>
      <c r="K59" s="61"/>
      <c r="L59" s="61"/>
      <c r="M59" s="65"/>
      <c r="N59" s="60"/>
      <c r="O59" s="61"/>
      <c r="P59" s="61"/>
      <c r="Q59" s="65"/>
      <c r="R59" s="38"/>
    </row>
    <row r="60" spans="1:18" ht="28.5" x14ac:dyDescent="0.45">
      <c r="A60" s="59"/>
      <c r="B60" s="67"/>
      <c r="C60" s="61"/>
      <c r="D60" s="61"/>
      <c r="E60" s="65"/>
      <c r="F60" s="60"/>
      <c r="G60" s="61"/>
      <c r="H60" s="61"/>
      <c r="I60" s="32"/>
      <c r="J60" s="60"/>
      <c r="K60" s="61"/>
      <c r="L60" s="61"/>
      <c r="M60" s="65"/>
      <c r="N60" s="60"/>
      <c r="O60" s="61"/>
      <c r="P60" s="61"/>
      <c r="Q60" s="65"/>
      <c r="R60" s="38"/>
    </row>
    <row r="61" spans="1:18" ht="28.5" x14ac:dyDescent="0.45">
      <c r="A61" s="59"/>
      <c r="B61" s="67"/>
      <c r="C61" s="61"/>
      <c r="D61" s="61"/>
      <c r="E61" s="65"/>
      <c r="F61" s="60"/>
      <c r="G61" s="61"/>
      <c r="H61" s="61"/>
      <c r="I61" s="32"/>
      <c r="J61" s="60"/>
      <c r="K61" s="61"/>
      <c r="L61" s="61"/>
      <c r="M61" s="65"/>
      <c r="N61" s="60"/>
      <c r="O61" s="61"/>
      <c r="P61" s="61"/>
      <c r="Q61" s="65"/>
      <c r="R61" s="38"/>
    </row>
    <row r="62" spans="1:18" ht="28.5" x14ac:dyDescent="0.45">
      <c r="A62" s="59"/>
      <c r="B62" s="67"/>
      <c r="C62" s="61"/>
      <c r="D62" s="61"/>
      <c r="E62" s="65"/>
      <c r="F62" s="60"/>
      <c r="G62" s="61"/>
      <c r="H62" s="61"/>
      <c r="I62" s="32"/>
      <c r="J62" s="60"/>
      <c r="K62" s="61"/>
      <c r="L62" s="61"/>
      <c r="M62" s="65"/>
      <c r="N62" s="60"/>
      <c r="O62" s="61"/>
      <c r="P62" s="61"/>
      <c r="Q62" s="65"/>
      <c r="R62" s="38"/>
    </row>
    <row r="63" spans="1:18" ht="28.5" x14ac:dyDescent="0.45">
      <c r="A63" s="59"/>
      <c r="B63" s="67"/>
      <c r="C63" s="61"/>
      <c r="D63" s="61"/>
      <c r="E63" s="65"/>
      <c r="F63" s="60"/>
      <c r="G63" s="61"/>
      <c r="H63" s="61"/>
      <c r="I63" s="32"/>
      <c r="J63" s="60"/>
      <c r="K63" s="61"/>
      <c r="L63" s="61"/>
      <c r="M63" s="65"/>
      <c r="N63" s="60"/>
      <c r="O63" s="61"/>
      <c r="P63" s="61"/>
      <c r="Q63" s="65"/>
      <c r="R63" s="38"/>
    </row>
    <row r="64" spans="1:18" ht="28.5" x14ac:dyDescent="0.45">
      <c r="A64" s="59"/>
      <c r="B64" s="67"/>
      <c r="C64" s="61"/>
      <c r="D64" s="61"/>
      <c r="E64" s="65"/>
      <c r="F64" s="60"/>
      <c r="G64" s="61"/>
      <c r="H64" s="61"/>
      <c r="I64" s="32"/>
      <c r="J64" s="60"/>
      <c r="K64" s="61"/>
      <c r="L64" s="61"/>
      <c r="M64" s="65"/>
      <c r="N64" s="60"/>
      <c r="O64" s="61"/>
      <c r="P64" s="61"/>
      <c r="Q64" s="65"/>
      <c r="R64" s="38"/>
    </row>
    <row r="65" spans="1:18" ht="28.5" x14ac:dyDescent="0.45">
      <c r="A65" s="59"/>
      <c r="B65" s="67"/>
      <c r="C65" s="61"/>
      <c r="D65" s="61"/>
      <c r="E65" s="65"/>
      <c r="F65" s="60"/>
      <c r="G65" s="61"/>
      <c r="H65" s="61"/>
      <c r="I65" s="32"/>
      <c r="J65" s="60"/>
      <c r="K65" s="61"/>
      <c r="L65" s="61"/>
      <c r="M65" s="65"/>
      <c r="N65" s="60"/>
      <c r="O65" s="61"/>
      <c r="P65" s="61"/>
      <c r="Q65" s="65"/>
      <c r="R65" s="38"/>
    </row>
    <row r="66" spans="1:18" ht="28.5" x14ac:dyDescent="0.45">
      <c r="A66" s="59"/>
      <c r="B66" s="67"/>
      <c r="C66" s="61"/>
      <c r="D66" s="61"/>
      <c r="E66" s="65"/>
      <c r="F66" s="60"/>
      <c r="G66" s="61"/>
      <c r="H66" s="61"/>
      <c r="I66" s="32"/>
      <c r="J66" s="60"/>
      <c r="K66" s="61"/>
      <c r="L66" s="61"/>
      <c r="M66" s="65"/>
      <c r="N66" s="60"/>
      <c r="O66" s="61"/>
      <c r="P66" s="61"/>
      <c r="Q66" s="65"/>
      <c r="R66" s="38"/>
    </row>
    <row r="67" spans="1:18" ht="28.5" x14ac:dyDescent="0.45">
      <c r="A67" s="59"/>
      <c r="B67" s="67"/>
      <c r="C67" s="61"/>
      <c r="D67" s="61"/>
      <c r="E67" s="65"/>
      <c r="F67" s="60"/>
      <c r="G67" s="61"/>
      <c r="H67" s="61"/>
      <c r="I67" s="32"/>
      <c r="J67" s="60"/>
      <c r="K67" s="61"/>
      <c r="L67" s="61"/>
      <c r="M67" s="65"/>
      <c r="N67" s="60"/>
      <c r="O67" s="61"/>
      <c r="P67" s="61"/>
      <c r="Q67" s="65"/>
      <c r="R67" s="38"/>
    </row>
    <row r="68" spans="1:18" ht="28.5" x14ac:dyDescent="0.45">
      <c r="A68" s="59"/>
      <c r="B68" s="67"/>
      <c r="C68" s="61"/>
      <c r="D68" s="61"/>
      <c r="E68" s="65"/>
      <c r="F68" s="60"/>
      <c r="G68" s="61"/>
      <c r="H68" s="61"/>
      <c r="I68" s="32"/>
      <c r="J68" s="60"/>
      <c r="K68" s="61"/>
      <c r="L68" s="61"/>
      <c r="M68" s="65"/>
      <c r="N68" s="60"/>
      <c r="O68" s="61"/>
      <c r="P68" s="61"/>
      <c r="Q68" s="65"/>
      <c r="R68" s="38"/>
    </row>
    <row r="69" spans="1:18" ht="28.5" x14ac:dyDescent="0.45">
      <c r="A69" s="59"/>
      <c r="B69" s="67"/>
      <c r="C69" s="61"/>
      <c r="D69" s="61"/>
      <c r="E69" s="65"/>
      <c r="F69" s="60"/>
      <c r="G69" s="61"/>
      <c r="H69" s="61"/>
      <c r="I69" s="32"/>
      <c r="J69" s="60"/>
      <c r="K69" s="61"/>
      <c r="L69" s="61"/>
      <c r="M69" s="65"/>
      <c r="N69" s="60"/>
      <c r="O69" s="61"/>
      <c r="P69" s="61"/>
      <c r="Q69" s="65"/>
      <c r="R69" s="38"/>
    </row>
    <row r="70" spans="1:18" ht="28.5" x14ac:dyDescent="0.45">
      <c r="A70" s="59"/>
      <c r="B70" s="67"/>
      <c r="C70" s="61"/>
      <c r="D70" s="61"/>
      <c r="E70" s="65"/>
      <c r="F70" s="60"/>
      <c r="G70" s="61"/>
      <c r="H70" s="61"/>
      <c r="I70" s="32"/>
      <c r="J70" s="60"/>
      <c r="K70" s="61"/>
      <c r="L70" s="61"/>
      <c r="M70" s="65"/>
      <c r="N70" s="60"/>
      <c r="O70" s="61"/>
      <c r="P70" s="61"/>
      <c r="Q70" s="65"/>
      <c r="R70" s="38"/>
    </row>
    <row r="71" spans="1:18" ht="28.5" x14ac:dyDescent="0.45">
      <c r="A71" s="59"/>
      <c r="B71" s="67"/>
      <c r="C71" s="61"/>
      <c r="D71" s="61"/>
      <c r="E71" s="65"/>
      <c r="F71" s="60"/>
      <c r="G71" s="61"/>
      <c r="H71" s="61"/>
      <c r="I71" s="32"/>
      <c r="J71" s="60"/>
      <c r="K71" s="61"/>
      <c r="L71" s="61"/>
      <c r="M71" s="65"/>
      <c r="N71" s="60"/>
      <c r="O71" s="61"/>
      <c r="P71" s="61"/>
      <c r="Q71" s="65"/>
      <c r="R71" s="38"/>
    </row>
    <row r="72" spans="1:18" ht="28.5" x14ac:dyDescent="0.45">
      <c r="A72" s="59"/>
      <c r="B72" s="67"/>
      <c r="C72" s="61"/>
      <c r="D72" s="61"/>
      <c r="E72" s="65"/>
      <c r="F72" s="60"/>
      <c r="G72" s="61"/>
      <c r="H72" s="61"/>
      <c r="I72" s="32"/>
      <c r="J72" s="60"/>
      <c r="K72" s="61"/>
      <c r="L72" s="61"/>
      <c r="M72" s="65"/>
      <c r="N72" s="60"/>
      <c r="O72" s="61"/>
      <c r="P72" s="61"/>
      <c r="Q72" s="65"/>
      <c r="R72" s="38"/>
    </row>
    <row r="73" spans="1:18" ht="28.5" x14ac:dyDescent="0.45">
      <c r="A73" s="59"/>
      <c r="B73" s="67"/>
      <c r="C73" s="61"/>
      <c r="D73" s="61"/>
      <c r="E73" s="65"/>
      <c r="F73" s="60"/>
      <c r="G73" s="61"/>
      <c r="H73" s="61"/>
      <c r="I73" s="32"/>
      <c r="J73" s="60"/>
      <c r="K73" s="61"/>
      <c r="L73" s="61"/>
      <c r="M73" s="65"/>
      <c r="N73" s="60"/>
      <c r="O73" s="61"/>
      <c r="P73" s="61"/>
      <c r="Q73" s="65"/>
      <c r="R73" s="38"/>
    </row>
    <row r="74" spans="1:18" ht="28.5" x14ac:dyDescent="0.45">
      <c r="A74" s="59"/>
      <c r="B74" s="67"/>
      <c r="C74" s="61"/>
      <c r="D74" s="61"/>
      <c r="E74" s="65"/>
      <c r="F74" s="60"/>
      <c r="G74" s="61"/>
      <c r="H74" s="61"/>
      <c r="I74" s="32"/>
      <c r="J74" s="60"/>
      <c r="K74" s="61"/>
      <c r="L74" s="61"/>
      <c r="M74" s="65"/>
      <c r="N74" s="60"/>
      <c r="O74" s="61"/>
      <c r="P74" s="61"/>
      <c r="Q74" s="65"/>
      <c r="R74" s="38"/>
    </row>
    <row r="75" spans="1:18" ht="28.5" x14ac:dyDescent="0.45">
      <c r="A75" s="59"/>
      <c r="B75" s="67"/>
      <c r="C75" s="61"/>
      <c r="D75" s="61"/>
      <c r="E75" s="65"/>
      <c r="F75" s="60"/>
      <c r="G75" s="61"/>
      <c r="H75" s="61"/>
      <c r="I75" s="32"/>
      <c r="J75" s="60"/>
      <c r="K75" s="61"/>
      <c r="L75" s="61"/>
      <c r="M75" s="65"/>
      <c r="N75" s="60"/>
      <c r="O75" s="61"/>
      <c r="P75" s="61"/>
      <c r="Q75" s="65"/>
      <c r="R75" s="38"/>
    </row>
    <row r="76" spans="1:18" ht="28.5" x14ac:dyDescent="0.45">
      <c r="A76" s="59"/>
      <c r="B76" s="67"/>
      <c r="C76" s="61"/>
      <c r="D76" s="61"/>
      <c r="E76" s="65"/>
      <c r="F76" s="60"/>
      <c r="G76" s="61"/>
      <c r="H76" s="61"/>
      <c r="I76" s="32"/>
      <c r="J76" s="60"/>
      <c r="K76" s="61"/>
      <c r="L76" s="61"/>
      <c r="M76" s="65"/>
      <c r="N76" s="60"/>
      <c r="O76" s="61"/>
      <c r="P76" s="61"/>
      <c r="Q76" s="65"/>
      <c r="R76" s="38"/>
    </row>
    <row r="77" spans="1:18" ht="28.5" x14ac:dyDescent="0.45">
      <c r="A77" s="59"/>
      <c r="B77" s="67"/>
      <c r="C77" s="61"/>
      <c r="D77" s="61"/>
      <c r="E77" s="65"/>
      <c r="F77" s="60"/>
      <c r="G77" s="61"/>
      <c r="H77" s="61"/>
      <c r="I77" s="32"/>
      <c r="J77" s="60"/>
      <c r="K77" s="61"/>
      <c r="L77" s="61"/>
      <c r="M77" s="65"/>
      <c r="N77" s="60"/>
      <c r="O77" s="61"/>
      <c r="P77" s="61"/>
      <c r="Q77" s="65"/>
      <c r="R77" s="38"/>
    </row>
    <row r="78" spans="1:18" ht="28.5" x14ac:dyDescent="0.45">
      <c r="A78" s="59"/>
      <c r="B78" s="67"/>
      <c r="C78" s="61"/>
      <c r="D78" s="61"/>
      <c r="E78" s="65"/>
      <c r="F78" s="60"/>
      <c r="G78" s="61"/>
      <c r="H78" s="61"/>
      <c r="I78" s="32"/>
      <c r="J78" s="60"/>
      <c r="K78" s="61"/>
      <c r="L78" s="61"/>
      <c r="M78" s="65"/>
      <c r="N78" s="60"/>
      <c r="O78" s="61"/>
      <c r="P78" s="61"/>
      <c r="Q78" s="65"/>
      <c r="R78" s="38"/>
    </row>
    <row r="79" spans="1:18" ht="28.5" x14ac:dyDescent="0.45">
      <c r="A79" s="59"/>
      <c r="B79" s="67"/>
      <c r="C79" s="61"/>
      <c r="D79" s="61"/>
      <c r="E79" s="65"/>
      <c r="F79" s="60"/>
      <c r="G79" s="61"/>
      <c r="H79" s="61"/>
      <c r="I79" s="32"/>
      <c r="J79" s="60"/>
      <c r="K79" s="61"/>
      <c r="L79" s="61"/>
      <c r="M79" s="65"/>
      <c r="N79" s="60"/>
      <c r="O79" s="61"/>
      <c r="P79" s="61"/>
      <c r="Q79" s="65"/>
      <c r="R79" s="38"/>
    </row>
    <row r="80" spans="1:18" ht="28.5" x14ac:dyDescent="0.45">
      <c r="A80" s="59"/>
      <c r="B80" s="67"/>
      <c r="C80" s="61"/>
      <c r="D80" s="61"/>
      <c r="E80" s="65"/>
      <c r="F80" s="60"/>
      <c r="G80" s="61"/>
      <c r="H80" s="61"/>
      <c r="I80" s="32"/>
      <c r="J80" s="60"/>
      <c r="K80" s="61"/>
      <c r="L80" s="61"/>
      <c r="M80" s="65"/>
      <c r="N80" s="60"/>
      <c r="O80" s="61"/>
      <c r="P80" s="61"/>
      <c r="Q80" s="65"/>
      <c r="R80" s="38"/>
    </row>
    <row r="81" spans="1:18" ht="28.5" x14ac:dyDescent="0.45">
      <c r="A81" s="59"/>
      <c r="B81" s="67"/>
      <c r="C81" s="61"/>
      <c r="D81" s="61"/>
      <c r="E81" s="65"/>
      <c r="F81" s="60"/>
      <c r="G81" s="61"/>
      <c r="H81" s="61"/>
      <c r="I81" s="32"/>
      <c r="J81" s="60"/>
      <c r="K81" s="61"/>
      <c r="L81" s="61"/>
      <c r="M81" s="65"/>
      <c r="N81" s="60"/>
      <c r="O81" s="61"/>
      <c r="P81" s="61"/>
      <c r="Q81" s="65"/>
      <c r="R81" s="38"/>
    </row>
    <row r="82" spans="1:18" ht="28.5" x14ac:dyDescent="0.45">
      <c r="A82" s="59"/>
      <c r="B82" s="67"/>
      <c r="C82" s="61"/>
      <c r="D82" s="61"/>
      <c r="E82" s="65"/>
      <c r="F82" s="60"/>
      <c r="G82" s="61"/>
      <c r="H82" s="61"/>
      <c r="I82" s="32"/>
      <c r="J82" s="60"/>
      <c r="K82" s="61"/>
      <c r="L82" s="61"/>
      <c r="M82" s="65"/>
      <c r="N82" s="60"/>
      <c r="O82" s="61"/>
      <c r="P82" s="61"/>
      <c r="Q82" s="65"/>
      <c r="R82" s="38"/>
    </row>
    <row r="83" spans="1:18" ht="28.5" x14ac:dyDescent="0.45">
      <c r="A83" s="59"/>
      <c r="B83" s="67"/>
      <c r="C83" s="61"/>
      <c r="D83" s="61"/>
      <c r="E83" s="65"/>
      <c r="F83" s="60"/>
      <c r="G83" s="61"/>
      <c r="H83" s="61"/>
      <c r="I83" s="32"/>
      <c r="J83" s="60"/>
      <c r="K83" s="61"/>
      <c r="L83" s="61"/>
      <c r="M83" s="65"/>
      <c r="N83" s="60"/>
      <c r="O83" s="61"/>
      <c r="P83" s="61"/>
      <c r="Q83" s="65"/>
      <c r="R83" s="38"/>
    </row>
    <row r="84" spans="1:18" ht="28.5" x14ac:dyDescent="0.45">
      <c r="A84" s="59"/>
      <c r="B84" s="67"/>
      <c r="C84" s="61"/>
      <c r="D84" s="61"/>
      <c r="E84" s="65"/>
      <c r="F84" s="60"/>
      <c r="G84" s="61"/>
      <c r="H84" s="61"/>
      <c r="I84" s="32"/>
      <c r="J84" s="60"/>
      <c r="K84" s="61"/>
      <c r="L84" s="61"/>
      <c r="M84" s="65"/>
      <c r="N84" s="60"/>
      <c r="O84" s="61"/>
      <c r="P84" s="61"/>
      <c r="Q84" s="65"/>
      <c r="R84" s="38"/>
    </row>
    <row r="85" spans="1:18" ht="28.5" x14ac:dyDescent="0.45">
      <c r="A85" s="59"/>
      <c r="B85" s="67"/>
      <c r="C85" s="61"/>
      <c r="D85" s="61"/>
      <c r="E85" s="65"/>
      <c r="F85" s="60"/>
      <c r="G85" s="61"/>
      <c r="H85" s="61"/>
      <c r="I85" s="32"/>
      <c r="J85" s="60"/>
      <c r="K85" s="61"/>
      <c r="L85" s="61"/>
      <c r="M85" s="65"/>
      <c r="N85" s="60"/>
      <c r="O85" s="61"/>
      <c r="P85" s="61"/>
      <c r="Q85" s="65"/>
      <c r="R85" s="38"/>
    </row>
    <row r="86" spans="1:18" ht="28.5" x14ac:dyDescent="0.45">
      <c r="A86" s="59"/>
      <c r="B86" s="67"/>
      <c r="C86" s="61"/>
      <c r="D86" s="61"/>
      <c r="E86" s="65"/>
      <c r="F86" s="60"/>
      <c r="G86" s="61"/>
      <c r="H86" s="61"/>
      <c r="I86" s="32"/>
      <c r="J86" s="60"/>
      <c r="K86" s="61"/>
      <c r="L86" s="61"/>
      <c r="M86" s="65"/>
      <c r="N86" s="60"/>
      <c r="O86" s="61"/>
      <c r="P86" s="61"/>
      <c r="Q86" s="65"/>
      <c r="R86" s="38"/>
    </row>
    <row r="87" spans="1:18" ht="28.5" x14ac:dyDescent="0.45">
      <c r="A87" s="59"/>
      <c r="B87" s="67"/>
      <c r="C87" s="61"/>
      <c r="D87" s="61"/>
      <c r="E87" s="65"/>
      <c r="F87" s="60"/>
      <c r="G87" s="61"/>
      <c r="H87" s="61"/>
      <c r="I87" s="32"/>
      <c r="J87" s="60"/>
      <c r="K87" s="61"/>
      <c r="L87" s="61"/>
      <c r="M87" s="65"/>
      <c r="N87" s="60"/>
      <c r="O87" s="61"/>
      <c r="P87" s="61"/>
      <c r="Q87" s="65"/>
      <c r="R87" s="38"/>
    </row>
    <row r="88" spans="1:18" ht="28.5" x14ac:dyDescent="0.45">
      <c r="A88" s="59"/>
      <c r="B88" s="67"/>
      <c r="C88" s="61"/>
      <c r="D88" s="61"/>
      <c r="E88" s="65"/>
      <c r="F88" s="60"/>
      <c r="G88" s="61"/>
      <c r="H88" s="61"/>
      <c r="I88" s="32"/>
      <c r="J88" s="60"/>
      <c r="K88" s="61"/>
      <c r="L88" s="61"/>
      <c r="M88" s="65"/>
      <c r="N88" s="60"/>
      <c r="O88" s="61"/>
      <c r="P88" s="61"/>
      <c r="Q88" s="65"/>
      <c r="R88" s="38"/>
    </row>
    <row r="89" spans="1:18" ht="28.5" x14ac:dyDescent="0.45">
      <c r="A89" s="59"/>
      <c r="B89" s="67"/>
      <c r="C89" s="61"/>
      <c r="D89" s="61"/>
      <c r="E89" s="65"/>
      <c r="F89" s="60"/>
      <c r="G89" s="61"/>
      <c r="H89" s="61"/>
      <c r="I89" s="32"/>
      <c r="J89" s="60"/>
      <c r="K89" s="61"/>
      <c r="L89" s="61"/>
      <c r="M89" s="65"/>
      <c r="N89" s="60"/>
      <c r="O89" s="61"/>
      <c r="P89" s="61"/>
      <c r="Q89" s="65"/>
      <c r="R89" s="38"/>
    </row>
    <row r="90" spans="1:18" ht="28.5" x14ac:dyDescent="0.45">
      <c r="A90" s="59"/>
      <c r="B90" s="67"/>
      <c r="C90" s="61"/>
      <c r="D90" s="61"/>
      <c r="E90" s="65"/>
      <c r="F90" s="60"/>
      <c r="G90" s="61"/>
      <c r="H90" s="61"/>
      <c r="I90" s="32"/>
      <c r="J90" s="60"/>
      <c r="K90" s="61"/>
      <c r="L90" s="61"/>
      <c r="M90" s="65"/>
      <c r="N90" s="60"/>
      <c r="O90" s="61"/>
      <c r="P90" s="61"/>
      <c r="Q90" s="65"/>
      <c r="R90" s="38"/>
    </row>
    <row r="91" spans="1:18" ht="28.5" x14ac:dyDescent="0.45">
      <c r="A91" s="59"/>
      <c r="B91" s="67"/>
      <c r="C91" s="61"/>
      <c r="D91" s="61"/>
      <c r="E91" s="65"/>
      <c r="F91" s="60"/>
      <c r="G91" s="61"/>
      <c r="H91" s="61"/>
      <c r="I91" s="32"/>
      <c r="J91" s="60"/>
      <c r="K91" s="61"/>
      <c r="L91" s="61"/>
      <c r="M91" s="65"/>
      <c r="N91" s="60"/>
      <c r="O91" s="61"/>
      <c r="P91" s="61"/>
      <c r="Q91" s="65"/>
      <c r="R91" s="38"/>
    </row>
    <row r="92" spans="1:18" ht="28.5" x14ac:dyDescent="0.45">
      <c r="A92" s="59"/>
      <c r="B92" s="67"/>
      <c r="C92" s="61"/>
      <c r="D92" s="61"/>
      <c r="E92" s="65"/>
      <c r="F92" s="60"/>
      <c r="G92" s="61"/>
      <c r="H92" s="61"/>
      <c r="I92" s="32"/>
      <c r="J92" s="60"/>
      <c r="K92" s="61"/>
      <c r="L92" s="61"/>
      <c r="M92" s="65"/>
      <c r="N92" s="60"/>
      <c r="O92" s="61"/>
      <c r="P92" s="61"/>
      <c r="Q92" s="65"/>
      <c r="R92" s="38"/>
    </row>
    <row r="93" spans="1:18" ht="28.5" x14ac:dyDescent="0.45">
      <c r="A93" s="59"/>
      <c r="B93" s="67"/>
      <c r="C93" s="61"/>
      <c r="D93" s="61"/>
      <c r="E93" s="65"/>
      <c r="F93" s="60"/>
      <c r="G93" s="61"/>
      <c r="H93" s="61"/>
      <c r="I93" s="32"/>
      <c r="J93" s="60"/>
      <c r="K93" s="61"/>
      <c r="L93" s="61"/>
      <c r="M93" s="65"/>
      <c r="N93" s="60"/>
      <c r="O93" s="61"/>
      <c r="P93" s="61"/>
      <c r="Q93" s="65"/>
      <c r="R93" s="38"/>
    </row>
    <row r="94" spans="1:18" ht="28.5" x14ac:dyDescent="0.45">
      <c r="A94" s="59"/>
      <c r="B94" s="67"/>
      <c r="C94" s="61"/>
      <c r="D94" s="61"/>
      <c r="E94" s="65"/>
      <c r="F94" s="60"/>
      <c r="G94" s="61"/>
      <c r="H94" s="61"/>
      <c r="I94" s="32"/>
      <c r="J94" s="60"/>
      <c r="K94" s="61"/>
      <c r="L94" s="61"/>
      <c r="M94" s="65"/>
      <c r="N94" s="60"/>
      <c r="O94" s="61"/>
      <c r="P94" s="61"/>
      <c r="Q94" s="65"/>
      <c r="R94" s="38"/>
    </row>
    <row r="95" spans="1:18" ht="28.5" x14ac:dyDescent="0.45">
      <c r="A95" s="59"/>
      <c r="B95" s="67"/>
      <c r="C95" s="61"/>
      <c r="D95" s="61"/>
      <c r="E95" s="65"/>
      <c r="F95" s="60"/>
      <c r="G95" s="61"/>
      <c r="H95" s="61"/>
      <c r="I95" s="32"/>
      <c r="J95" s="60"/>
      <c r="K95" s="61"/>
      <c r="L95" s="61"/>
      <c r="M95" s="65"/>
      <c r="N95" s="60"/>
      <c r="O95" s="61"/>
      <c r="P95" s="61"/>
      <c r="Q95" s="65"/>
      <c r="R95" s="38"/>
    </row>
    <row r="96" spans="1:18" ht="28.5" x14ac:dyDescent="0.45">
      <c r="A96" s="59"/>
      <c r="B96" s="67"/>
      <c r="C96" s="61"/>
      <c r="D96" s="61"/>
      <c r="E96" s="65"/>
      <c r="F96" s="60"/>
      <c r="G96" s="61"/>
      <c r="H96" s="61"/>
      <c r="I96" s="32"/>
      <c r="J96" s="60"/>
      <c r="K96" s="61"/>
      <c r="L96" s="61"/>
      <c r="M96" s="65"/>
      <c r="N96" s="60"/>
      <c r="O96" s="61"/>
      <c r="P96" s="61"/>
      <c r="Q96" s="65"/>
      <c r="R96" s="38"/>
    </row>
    <row r="97" spans="1:18" ht="28.5" x14ac:dyDescent="0.45">
      <c r="A97" s="59"/>
      <c r="B97" s="67"/>
      <c r="C97" s="61"/>
      <c r="D97" s="61"/>
      <c r="E97" s="65"/>
      <c r="F97" s="60"/>
      <c r="G97" s="61"/>
      <c r="H97" s="61"/>
      <c r="I97" s="32"/>
      <c r="J97" s="60"/>
      <c r="K97" s="61"/>
      <c r="L97" s="61"/>
      <c r="M97" s="65"/>
      <c r="N97" s="60"/>
      <c r="O97" s="61"/>
      <c r="P97" s="61"/>
      <c r="Q97" s="65"/>
      <c r="R97" s="38"/>
    </row>
    <row r="98" spans="1:18" ht="28.5" x14ac:dyDescent="0.45">
      <c r="A98" s="59"/>
      <c r="B98" s="67"/>
      <c r="C98" s="61"/>
      <c r="D98" s="61"/>
      <c r="E98" s="65"/>
      <c r="F98" s="60"/>
      <c r="G98" s="61"/>
      <c r="H98" s="61"/>
      <c r="I98" s="32"/>
      <c r="J98" s="60"/>
      <c r="K98" s="61"/>
      <c r="L98" s="61"/>
      <c r="M98" s="65"/>
      <c r="N98" s="60"/>
      <c r="O98" s="61"/>
      <c r="P98" s="61"/>
      <c r="Q98" s="65"/>
      <c r="R98" s="38"/>
    </row>
    <row r="99" spans="1:18" ht="28.5" x14ac:dyDescent="0.45">
      <c r="A99" s="59"/>
      <c r="B99" s="67"/>
      <c r="C99" s="61"/>
      <c r="D99" s="61"/>
      <c r="E99" s="65"/>
      <c r="F99" s="60"/>
      <c r="G99" s="61"/>
      <c r="H99" s="61"/>
      <c r="I99" s="32"/>
      <c r="J99" s="60"/>
      <c r="K99" s="61"/>
      <c r="L99" s="61"/>
      <c r="M99" s="65"/>
      <c r="N99" s="60"/>
      <c r="O99" s="61"/>
      <c r="P99" s="61"/>
      <c r="Q99" s="65"/>
      <c r="R99" s="38"/>
    </row>
    <row r="100" spans="1:18" ht="28.5" hidden="1" customHeight="1" x14ac:dyDescent="0.45">
      <c r="A100" s="59" t="e">
        <f>(D100/Grapic!$J$14)*E100</f>
        <v>#VALUE!</v>
      </c>
      <c r="B100" s="68" t="s">
        <v>22</v>
      </c>
      <c r="C100" s="69" t="str">
        <f>IF(TUDO!D100="","",TUDO!D100)</f>
        <v/>
      </c>
      <c r="D100" s="69" t="str">
        <f>IF(TUDO!E100="","",TUDO!E100)</f>
        <v/>
      </c>
      <c r="E100" s="70">
        <f>IF(TUDO!F100="","",TUDO!F100)</f>
        <v>362.18</v>
      </c>
      <c r="F100" s="70" t="str">
        <f>IF(TUDO!H100="","",TUDO!H100)</f>
        <v/>
      </c>
      <c r="G100" s="69" t="str">
        <f>IF(TUDO!I100="","",TUDO!I100)</f>
        <v/>
      </c>
      <c r="H100" s="69" t="str">
        <f>IF(TUDO!J100="","",TUDO!J100)</f>
        <v/>
      </c>
      <c r="I100" s="71" t="str">
        <f>IF(TUDO!I100="","",TUDO!K100)</f>
        <v/>
      </c>
      <c r="J100" s="70" t="str">
        <f>IF(TUDO!M100="","",TUDO!M100)</f>
        <v/>
      </c>
      <c r="K100" s="69" t="str">
        <f>IF(TUDO!N100="","",TUDO!N100)</f>
        <v/>
      </c>
      <c r="L100" s="69" t="str">
        <f>IF(TUDO!O100="","",TUDO!O100)</f>
        <v/>
      </c>
      <c r="N100" s="70" t="str">
        <f>IF(TUDO!Q100="","",TUDO!Q100)</f>
        <v/>
      </c>
      <c r="O100" s="69" t="str">
        <f>IF(TUDO!S100="","",TUDO!S100)</f>
        <v/>
      </c>
      <c r="P100" s="69" t="str">
        <f>IF(TUDO!T100="","",TUDO!T100)</f>
        <v/>
      </c>
      <c r="Q100" s="72" t="str">
        <f>IF(TUDO!U100="","",TUDO!U100)</f>
        <v/>
      </c>
    </row>
    <row r="101" spans="1:18" ht="15" hidden="1" customHeight="1" x14ac:dyDescent="0.25"/>
    <row r="102" spans="1:18" ht="15" hidden="1" customHeight="1" x14ac:dyDescent="0.25"/>
    <row r="103" spans="1:18" ht="15" hidden="1" customHeight="1" x14ac:dyDescent="0.25"/>
    <row r="104" spans="1:18" ht="15" hidden="1" customHeight="1" x14ac:dyDescent="0.25"/>
    <row r="105" spans="1:18" ht="15" hidden="1" customHeight="1" x14ac:dyDescent="0.25"/>
  </sheetData>
  <sheetProtection selectLockedCells="1"/>
  <mergeCells count="1">
    <mergeCell ref="I12:K12"/>
  </mergeCells>
  <conditionalFormatting sqref="E14:E99 I19:I99 M14:M99 Q14:Q99">
    <cfRule type="expression" dxfId="4" priority="4">
      <formula>IF(E14&gt;=0,IF(D14&lt;&gt;"",IF(C14&lt;&gt;"",1,0),0),0)</formula>
    </cfRule>
    <cfRule type="expression" dxfId="3" priority="5">
      <formula>E14&lt;0</formula>
    </cfRule>
  </conditionalFormatting>
  <conditionalFormatting sqref="K14:K17">
    <cfRule type="cellIs" dxfId="2" priority="1" operator="between">
      <formula>27%</formula>
      <formula>100%</formula>
    </cfRule>
    <cfRule type="cellIs" dxfId="1" priority="2" operator="between">
      <formula>22%</formula>
      <formula>27%</formula>
    </cfRule>
    <cfRule type="cellIs" dxfId="0" priority="3" operator="between">
      <formula>0%</formula>
      <formula>22%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B679-3CEB-4CE6-8480-29A6DC9984A6}">
  <sheetPr codeName="Planilha1"/>
  <dimension ref="A1:V100"/>
  <sheetViews>
    <sheetView zoomScale="32" zoomScaleNormal="32" workbookViewId="0">
      <pane ySplit="13" topLeftCell="A14" activePane="bottomLeft" state="frozen"/>
      <selection pane="bottomLeft" activeCell="T13" sqref="T13"/>
    </sheetView>
  </sheetViews>
  <sheetFormatPr defaultColWidth="0" defaultRowHeight="15" zeroHeight="1" x14ac:dyDescent="0.25"/>
  <cols>
    <col min="1" max="1" width="4.85546875" bestFit="1" customWidth="1"/>
    <col min="2" max="2" width="36.5703125" bestFit="1" customWidth="1"/>
    <col min="3" max="3" width="23.140625" bestFit="1" customWidth="1"/>
    <col min="4" max="4" width="27.85546875" bestFit="1" customWidth="1"/>
    <col min="5" max="5" width="28.7109375" bestFit="1" customWidth="1"/>
    <col min="6" max="6" width="33.85546875" bestFit="1" customWidth="1"/>
    <col min="7" max="7" width="33.42578125" bestFit="1" customWidth="1"/>
    <col min="8" max="8" width="54.28515625" bestFit="1" customWidth="1"/>
    <col min="9" max="9" width="28.7109375" bestFit="1" customWidth="1"/>
    <col min="10" max="10" width="27.85546875" bestFit="1" customWidth="1"/>
    <col min="11" max="11" width="33.85546875" bestFit="1" customWidth="1"/>
    <col min="12" max="12" width="16.140625" bestFit="1" customWidth="1"/>
    <col min="13" max="13" width="18.28515625" bestFit="1" customWidth="1"/>
    <col min="14" max="14" width="26.5703125" bestFit="1" customWidth="1"/>
    <col min="15" max="15" width="25.140625" bestFit="1" customWidth="1"/>
    <col min="16" max="16" width="33.85546875" bestFit="1" customWidth="1"/>
    <col min="17" max="17" width="30.42578125" bestFit="1" customWidth="1"/>
    <col min="18" max="18" width="21.28515625" bestFit="1" customWidth="1"/>
    <col min="19" max="19" width="26.5703125" bestFit="1" customWidth="1"/>
    <col min="20" max="20" width="25.28515625" bestFit="1" customWidth="1"/>
    <col min="21" max="21" width="33.85546875" bestFit="1" customWidth="1"/>
    <col min="22" max="22" width="9.140625" customWidth="1"/>
    <col min="23" max="16384" width="9.140625" hidden="1"/>
  </cols>
  <sheetData>
    <row r="1" spans="1:22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2"/>
    </row>
    <row r="2" spans="1:22" x14ac:dyDescent="0.25">
      <c r="A2" s="2"/>
      <c r="B2" s="2"/>
      <c r="C2" s="2"/>
      <c r="D2" s="2"/>
      <c r="E2" s="2"/>
      <c r="F2" s="2"/>
      <c r="G2" s="2"/>
      <c r="H2" s="2"/>
      <c r="I2" s="2" t="s">
        <v>3</v>
      </c>
      <c r="J2" s="2"/>
      <c r="K2" s="2"/>
      <c r="L2" s="2"/>
      <c r="M2" s="2"/>
      <c r="N2" s="2"/>
      <c r="O2" s="4"/>
      <c r="P2" s="5"/>
      <c r="Q2" s="5"/>
      <c r="R2" s="5"/>
      <c r="S2" s="5"/>
      <c r="T2" s="5"/>
      <c r="U2" s="6"/>
      <c r="V2" s="2"/>
    </row>
    <row r="3" spans="1:22" x14ac:dyDescent="0.25">
      <c r="A3" s="2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P3" s="5"/>
      <c r="Q3" s="5"/>
      <c r="R3" s="5"/>
      <c r="S3" s="5"/>
      <c r="T3" s="5"/>
      <c r="U3" s="6"/>
      <c r="V3" s="2"/>
    </row>
    <row r="4" spans="1:22" x14ac:dyDescent="0.25">
      <c r="A4" s="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P4" s="5"/>
      <c r="Q4" s="5"/>
      <c r="R4" s="5"/>
      <c r="S4" s="5"/>
      <c r="T4" s="5"/>
      <c r="U4" s="6"/>
      <c r="V4" s="2"/>
    </row>
    <row r="5" spans="1:22" x14ac:dyDescent="0.25">
      <c r="A5" s="2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P5" s="5"/>
      <c r="Q5" s="5"/>
      <c r="R5" s="5"/>
      <c r="S5" s="5"/>
      <c r="T5" s="5"/>
      <c r="U5" s="6"/>
      <c r="V5" s="2"/>
    </row>
    <row r="6" spans="1:22" x14ac:dyDescent="0.25">
      <c r="A6" s="2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/>
      <c r="P6" s="6"/>
      <c r="Q6" s="6"/>
      <c r="R6" s="6"/>
      <c r="S6" s="6"/>
      <c r="T6" s="6"/>
      <c r="U6" s="6"/>
      <c r="V6" s="2"/>
    </row>
    <row r="7" spans="1:22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4"/>
      <c r="P7" s="4"/>
      <c r="Q7" s="4"/>
      <c r="R7" s="4"/>
      <c r="S7" s="4"/>
      <c r="T7" s="4"/>
      <c r="U7" s="4"/>
      <c r="V7" s="2"/>
    </row>
    <row r="8" spans="1:22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4"/>
      <c r="S8" s="4"/>
      <c r="T8" s="4"/>
      <c r="U8" s="4"/>
      <c r="V8" s="2"/>
    </row>
    <row r="9" spans="1:22" ht="28.5" x14ac:dyDescent="0.45">
      <c r="A9" s="2"/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10"/>
      <c r="O9" s="9"/>
      <c r="P9" s="9"/>
      <c r="Q9" s="9"/>
      <c r="R9" s="9"/>
      <c r="S9" s="9"/>
      <c r="T9" s="9"/>
      <c r="U9" s="9"/>
      <c r="V9" s="2"/>
    </row>
    <row r="10" spans="1:22" ht="28.5" x14ac:dyDescent="0.45">
      <c r="A10" s="2"/>
      <c r="B10" s="8" t="s">
        <v>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11"/>
      <c r="P10" s="11"/>
      <c r="Q10" s="11"/>
      <c r="R10" s="11"/>
      <c r="S10" s="11"/>
      <c r="T10" s="11"/>
      <c r="U10" s="11"/>
      <c r="V10" s="2"/>
    </row>
    <row r="11" spans="1:22" ht="29.25" thickBot="1" x14ac:dyDescent="0.5">
      <c r="A11" s="2"/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2"/>
    </row>
    <row r="12" spans="1:22" ht="93" thickBot="1" x14ac:dyDescent="1.4">
      <c r="A12" s="31"/>
      <c r="B12" s="221" t="s">
        <v>7</v>
      </c>
      <c r="C12" s="222"/>
      <c r="D12" s="222"/>
      <c r="E12" s="222"/>
      <c r="F12" s="223"/>
      <c r="G12" s="221" t="s">
        <v>20</v>
      </c>
      <c r="H12" s="222"/>
      <c r="I12" s="222"/>
      <c r="J12" s="222"/>
      <c r="K12" s="223"/>
      <c r="L12" s="221" t="s">
        <v>5</v>
      </c>
      <c r="M12" s="222"/>
      <c r="N12" s="222"/>
      <c r="O12" s="222"/>
      <c r="P12" s="223"/>
      <c r="Q12" s="221" t="s">
        <v>13</v>
      </c>
      <c r="R12" s="222"/>
      <c r="S12" s="222"/>
      <c r="T12" s="222"/>
      <c r="U12" s="223"/>
      <c r="V12" s="2"/>
    </row>
    <row r="13" spans="1:22" ht="37.5" x14ac:dyDescent="0.55000000000000004">
      <c r="A13" s="7"/>
      <c r="B13" s="16" t="s">
        <v>18</v>
      </c>
      <c r="C13" s="17" t="s">
        <v>14</v>
      </c>
      <c r="D13" s="18" t="s">
        <v>15</v>
      </c>
      <c r="E13" s="18" t="s">
        <v>16</v>
      </c>
      <c r="F13" s="19" t="s">
        <v>17</v>
      </c>
      <c r="G13" s="16" t="s">
        <v>2</v>
      </c>
      <c r="H13" s="16" t="s">
        <v>1</v>
      </c>
      <c r="I13" s="18" t="s">
        <v>15</v>
      </c>
      <c r="J13" s="18" t="s">
        <v>16</v>
      </c>
      <c r="K13" s="19" t="s">
        <v>17</v>
      </c>
      <c r="L13" s="16" t="s">
        <v>19</v>
      </c>
      <c r="M13" s="16" t="s">
        <v>18</v>
      </c>
      <c r="N13" s="18" t="s">
        <v>15</v>
      </c>
      <c r="O13" s="18" t="s">
        <v>16</v>
      </c>
      <c r="P13" s="19" t="s">
        <v>17</v>
      </c>
      <c r="Q13" s="16" t="s">
        <v>18</v>
      </c>
      <c r="R13" s="17" t="s">
        <v>14</v>
      </c>
      <c r="S13" s="18" t="s">
        <v>15</v>
      </c>
      <c r="T13" s="18" t="s">
        <v>16</v>
      </c>
      <c r="U13" s="19" t="s">
        <v>17</v>
      </c>
      <c r="V13" s="2"/>
    </row>
    <row r="14" spans="1:22" ht="33.75" x14ac:dyDescent="0.5">
      <c r="A14" s="30"/>
      <c r="B14" s="20" t="s">
        <v>74</v>
      </c>
      <c r="C14" s="21" t="s">
        <v>75</v>
      </c>
      <c r="D14" s="149">
        <f>29.09*13</f>
        <v>378.17</v>
      </c>
      <c r="E14" s="21">
        <f>13*30.47</f>
        <v>396.11</v>
      </c>
      <c r="F14" s="15">
        <f t="shared" ref="F14:F25" si="0">IF(D14="","",IF(E14&lt;&gt;"",(E14-D14)/D14,""))</f>
        <v>4.7438982468202121E-2</v>
      </c>
      <c r="G14" s="22" t="s">
        <v>31</v>
      </c>
      <c r="H14" s="23" t="s">
        <v>27</v>
      </c>
      <c r="I14" s="24">
        <v>184.55</v>
      </c>
      <c r="J14" s="24">
        <v>177.56</v>
      </c>
      <c r="K14" s="15">
        <f>IF(I14="","",IF(J14&lt;&gt;"",(J14-I14)/I14,""))</f>
        <v>-3.7875914386345209E-2</v>
      </c>
      <c r="L14" s="20"/>
      <c r="M14" s="23" t="s">
        <v>83</v>
      </c>
      <c r="N14" s="24">
        <v>386</v>
      </c>
      <c r="O14" s="24">
        <v>630</v>
      </c>
      <c r="P14" s="15">
        <f>IF(N14="","",IF(O14&lt;&gt;"",(O14-N14)/N14,""))</f>
        <v>0.63212435233160624</v>
      </c>
      <c r="Q14" s="23" t="s">
        <v>29</v>
      </c>
      <c r="R14" s="23" t="s">
        <v>30</v>
      </c>
      <c r="S14" s="24">
        <f>57*0.72</f>
        <v>41.04</v>
      </c>
      <c r="T14" s="24">
        <f>57*0.81</f>
        <v>46.17</v>
      </c>
      <c r="U14" s="15">
        <f>IF(S14="","",IF(T14&lt;&gt;"",(T14-S14)/S14,""))</f>
        <v>0.12500000000000006</v>
      </c>
      <c r="V14" s="2"/>
    </row>
    <row r="15" spans="1:22" ht="33.75" x14ac:dyDescent="0.5">
      <c r="A15" s="30"/>
      <c r="B15" s="20" t="s">
        <v>77</v>
      </c>
      <c r="C15" s="21" t="s">
        <v>76</v>
      </c>
      <c r="D15" s="149">
        <f>9*23.4</f>
        <v>210.6</v>
      </c>
      <c r="E15" s="21">
        <f>9*25.89</f>
        <v>233.01</v>
      </c>
      <c r="F15" s="15">
        <f t="shared" si="0"/>
        <v>0.10641025641025639</v>
      </c>
      <c r="G15" s="25">
        <v>45658</v>
      </c>
      <c r="H15" s="26" t="s">
        <v>28</v>
      </c>
      <c r="I15" s="24">
        <v>348.53</v>
      </c>
      <c r="J15" s="27">
        <v>371.41</v>
      </c>
      <c r="K15" s="15">
        <f t="shared" ref="K15:K78" si="1">IF(I15="","",IF(J15&lt;&gt;"",(J15-I15)/I15,""))</f>
        <v>6.5647146587094529E-2</v>
      </c>
      <c r="L15" s="28"/>
      <c r="M15" s="23"/>
      <c r="N15" s="24"/>
      <c r="O15" s="27"/>
      <c r="P15" s="15" t="str">
        <f t="shared" ref="P15:P78" si="2">IF(N15="","",IF(O15&lt;&gt;"",(O15-N15)/N15,""))</f>
        <v/>
      </c>
      <c r="Q15" s="23" t="s">
        <v>29</v>
      </c>
      <c r="R15" s="23" t="s">
        <v>30</v>
      </c>
      <c r="S15" s="27"/>
      <c r="T15" s="27">
        <v>40.47</v>
      </c>
      <c r="U15" s="15" t="str">
        <f t="shared" ref="U15:U78" si="3">IF(S15="","",IF(T15&lt;&gt;"",(T15-S15)/S15,""))</f>
        <v/>
      </c>
      <c r="V15" s="2"/>
    </row>
    <row r="16" spans="1:22" ht="33.75" x14ac:dyDescent="0.5">
      <c r="A16" s="30"/>
      <c r="B16" s="20" t="s">
        <v>78</v>
      </c>
      <c r="C16" s="21" t="s">
        <v>79</v>
      </c>
      <c r="D16" s="149">
        <f>20*12.49</f>
        <v>249.8</v>
      </c>
      <c r="E16" s="21">
        <v>355</v>
      </c>
      <c r="F16" s="15">
        <f t="shared" si="0"/>
        <v>0.42113690952762201</v>
      </c>
      <c r="G16" s="22" t="s">
        <v>31</v>
      </c>
      <c r="H16" s="23" t="s">
        <v>73</v>
      </c>
      <c r="I16" s="24">
        <v>1952.1</v>
      </c>
      <c r="J16" s="21">
        <f>I16+1.84</f>
        <v>1953.9399999999998</v>
      </c>
      <c r="K16" s="15">
        <f t="shared" si="1"/>
        <v>9.4257466318319668E-4</v>
      </c>
      <c r="L16" s="28"/>
      <c r="M16" s="23"/>
      <c r="N16" s="24"/>
      <c r="O16" s="24"/>
      <c r="P16" s="15" t="str">
        <f t="shared" si="2"/>
        <v/>
      </c>
      <c r="Q16" s="23" t="s">
        <v>29</v>
      </c>
      <c r="R16" s="23" t="s">
        <v>30</v>
      </c>
      <c r="S16" s="24"/>
      <c r="T16" s="24">
        <v>39.33</v>
      </c>
      <c r="U16" s="15" t="str">
        <f t="shared" si="3"/>
        <v/>
      </c>
      <c r="V16" s="2"/>
    </row>
    <row r="17" spans="1:22" ht="33.75" x14ac:dyDescent="0.5">
      <c r="A17" s="30"/>
      <c r="B17" s="20" t="s">
        <v>74</v>
      </c>
      <c r="C17" s="21" t="s">
        <v>75</v>
      </c>
      <c r="D17" s="149">
        <f>4*22.45</f>
        <v>89.8</v>
      </c>
      <c r="E17" s="149">
        <f>4*28.4</f>
        <v>113.6</v>
      </c>
      <c r="F17" s="15">
        <f t="shared" si="0"/>
        <v>0.26503340757238303</v>
      </c>
      <c r="G17" s="25">
        <v>45658</v>
      </c>
      <c r="H17" s="26" t="s">
        <v>27</v>
      </c>
      <c r="I17" s="24">
        <v>184.55</v>
      </c>
      <c r="J17" s="24">
        <v>201.53</v>
      </c>
      <c r="K17" s="15">
        <f t="shared" si="1"/>
        <v>9.2007586020048701E-2</v>
      </c>
      <c r="L17" s="28"/>
      <c r="M17" s="23"/>
      <c r="N17" s="24"/>
      <c r="O17" s="24"/>
      <c r="P17" s="15" t="str">
        <f t="shared" si="2"/>
        <v/>
      </c>
      <c r="Q17" s="23" t="s">
        <v>29</v>
      </c>
      <c r="R17" s="23" t="s">
        <v>30</v>
      </c>
      <c r="S17" s="24"/>
      <c r="T17" s="24">
        <v>39.33</v>
      </c>
      <c r="U17" s="15" t="str">
        <f t="shared" si="3"/>
        <v/>
      </c>
      <c r="V17" s="2"/>
    </row>
    <row r="18" spans="1:22" ht="33.75" x14ac:dyDescent="0.5">
      <c r="A18" s="30"/>
      <c r="B18" s="20" t="s">
        <v>80</v>
      </c>
      <c r="C18" s="21" t="s">
        <v>81</v>
      </c>
      <c r="D18" s="149">
        <f>13*26.4</f>
        <v>343.2</v>
      </c>
      <c r="E18" s="21">
        <f>13*26</f>
        <v>338</v>
      </c>
      <c r="F18" s="15">
        <f t="shared" si="0"/>
        <v>-1.5151515151515119E-2</v>
      </c>
      <c r="G18" s="22" t="s">
        <v>31</v>
      </c>
      <c r="H18" s="23" t="s">
        <v>28</v>
      </c>
      <c r="I18" s="24">
        <v>348.53</v>
      </c>
      <c r="J18" s="24">
        <v>375.15</v>
      </c>
      <c r="K18" s="15">
        <f t="shared" si="1"/>
        <v>7.6377930163830959E-2</v>
      </c>
      <c r="L18" s="28"/>
      <c r="M18" s="23"/>
      <c r="N18" s="24"/>
      <c r="O18" s="24"/>
      <c r="P18" s="15" t="str">
        <f t="shared" si="2"/>
        <v/>
      </c>
      <c r="Q18" s="23"/>
      <c r="R18" s="23"/>
      <c r="S18" s="24"/>
      <c r="T18" s="24"/>
      <c r="U18" s="15" t="str">
        <f t="shared" si="3"/>
        <v/>
      </c>
      <c r="V18" s="2"/>
    </row>
    <row r="19" spans="1:22" ht="33.75" x14ac:dyDescent="0.5">
      <c r="A19" s="30"/>
      <c r="B19" s="20"/>
      <c r="C19" s="21" t="s">
        <v>85</v>
      </c>
      <c r="D19" s="160"/>
      <c r="E19" s="21"/>
      <c r="F19" s="15" t="str">
        <f t="shared" si="0"/>
        <v/>
      </c>
      <c r="G19" s="25">
        <v>45658</v>
      </c>
      <c r="H19" s="23" t="s">
        <v>27</v>
      </c>
      <c r="I19" s="24">
        <v>184.55</v>
      </c>
      <c r="J19" s="24">
        <v>198.12</v>
      </c>
      <c r="K19" s="15">
        <f t="shared" si="1"/>
        <v>7.3530208615551304E-2</v>
      </c>
      <c r="L19" s="28"/>
      <c r="M19" s="23"/>
      <c r="N19" s="24"/>
      <c r="O19" s="24"/>
      <c r="P19" s="15" t="str">
        <f t="shared" si="2"/>
        <v/>
      </c>
      <c r="Q19" s="23"/>
      <c r="R19" s="23"/>
      <c r="S19" s="24"/>
      <c r="T19" s="24"/>
      <c r="U19" s="15" t="str">
        <f t="shared" si="3"/>
        <v/>
      </c>
      <c r="V19" s="2"/>
    </row>
    <row r="20" spans="1:22" ht="28.5" x14ac:dyDescent="0.45">
      <c r="A20" s="30"/>
      <c r="B20" s="20"/>
      <c r="C20" s="21" t="s">
        <v>86</v>
      </c>
      <c r="D20" s="21"/>
      <c r="E20" s="21"/>
      <c r="F20" s="15" t="str">
        <f t="shared" si="0"/>
        <v/>
      </c>
      <c r="G20" s="22" t="s">
        <v>31</v>
      </c>
      <c r="H20" s="23" t="s">
        <v>28</v>
      </c>
      <c r="I20" s="24">
        <v>348.53</v>
      </c>
      <c r="J20" s="24">
        <v>371.17</v>
      </c>
      <c r="K20" s="15">
        <f t="shared" si="1"/>
        <v>6.495854015436274E-2</v>
      </c>
      <c r="L20" s="28"/>
      <c r="M20" s="23"/>
      <c r="N20" s="24"/>
      <c r="O20" s="24"/>
      <c r="P20" s="15" t="str">
        <f t="shared" si="2"/>
        <v/>
      </c>
      <c r="Q20" s="23"/>
      <c r="R20" s="23"/>
      <c r="S20" s="24"/>
      <c r="T20" s="24"/>
      <c r="U20" s="15" t="str">
        <f t="shared" si="3"/>
        <v/>
      </c>
      <c r="V20" s="2"/>
    </row>
    <row r="21" spans="1:22" ht="28.5" x14ac:dyDescent="0.45">
      <c r="A21" s="30"/>
      <c r="B21" s="20"/>
      <c r="C21" s="21" t="s">
        <v>87</v>
      </c>
      <c r="D21" s="21"/>
      <c r="E21" s="21"/>
      <c r="F21" s="15" t="str">
        <f t="shared" si="0"/>
        <v/>
      </c>
      <c r="G21" s="25">
        <v>45658</v>
      </c>
      <c r="H21" s="23" t="s">
        <v>27</v>
      </c>
      <c r="I21" s="24">
        <v>184.55</v>
      </c>
      <c r="J21" s="24">
        <v>204.68</v>
      </c>
      <c r="K21" s="15">
        <f t="shared" si="1"/>
        <v>0.1090761311297751</v>
      </c>
      <c r="L21" s="28"/>
      <c r="M21" s="23"/>
      <c r="N21" s="24"/>
      <c r="O21" s="24"/>
      <c r="P21" s="15" t="str">
        <f t="shared" si="2"/>
        <v/>
      </c>
      <c r="Q21" s="23"/>
      <c r="R21" s="23"/>
      <c r="S21" s="24"/>
      <c r="T21" s="24"/>
      <c r="U21" s="15" t="str">
        <f t="shared" si="3"/>
        <v/>
      </c>
      <c r="V21" s="2"/>
    </row>
    <row r="22" spans="1:22" ht="28.5" x14ac:dyDescent="0.45">
      <c r="A22" s="30"/>
      <c r="B22" s="20"/>
      <c r="C22" s="21" t="s">
        <v>85</v>
      </c>
      <c r="D22" s="21"/>
      <c r="E22" s="21"/>
      <c r="F22" s="15" t="str">
        <f t="shared" si="0"/>
        <v/>
      </c>
      <c r="G22" s="22"/>
      <c r="H22" s="23" t="s">
        <v>28</v>
      </c>
      <c r="I22" s="24">
        <v>348.53</v>
      </c>
      <c r="J22" s="24">
        <v>376.12</v>
      </c>
      <c r="K22" s="15">
        <f t="shared" si="1"/>
        <v>7.9161047829455239E-2</v>
      </c>
      <c r="L22" s="28"/>
      <c r="M22" s="23"/>
      <c r="N22" s="24"/>
      <c r="O22" s="24"/>
      <c r="P22" s="15" t="str">
        <f t="shared" si="2"/>
        <v/>
      </c>
      <c r="Q22" s="23"/>
      <c r="R22" s="23"/>
      <c r="S22" s="24"/>
      <c r="T22" s="24"/>
      <c r="U22" s="15" t="str">
        <f t="shared" si="3"/>
        <v/>
      </c>
      <c r="V22" s="2"/>
    </row>
    <row r="23" spans="1:22" ht="28.5" x14ac:dyDescent="0.45">
      <c r="A23" s="30"/>
      <c r="B23" s="20"/>
      <c r="C23" s="21" t="s">
        <v>22</v>
      </c>
      <c r="D23" s="21"/>
      <c r="E23" s="21"/>
      <c r="F23" s="15" t="str">
        <f t="shared" si="0"/>
        <v/>
      </c>
      <c r="G23" s="25"/>
      <c r="H23" s="23"/>
      <c r="I23" s="24"/>
      <c r="J23" s="24"/>
      <c r="K23" s="15" t="str">
        <f t="shared" si="1"/>
        <v/>
      </c>
      <c r="L23" s="28"/>
      <c r="M23" s="23"/>
      <c r="N23" s="24"/>
      <c r="O23" s="24"/>
      <c r="P23" s="15" t="str">
        <f t="shared" si="2"/>
        <v/>
      </c>
      <c r="Q23" s="23"/>
      <c r="R23" s="23"/>
      <c r="S23" s="24"/>
      <c r="T23" s="24"/>
      <c r="U23" s="15" t="str">
        <f t="shared" si="3"/>
        <v/>
      </c>
      <c r="V23" s="2"/>
    </row>
    <row r="24" spans="1:22" ht="28.5" x14ac:dyDescent="0.45">
      <c r="A24" s="30"/>
      <c r="B24" s="20"/>
      <c r="C24" s="21" t="s">
        <v>85</v>
      </c>
      <c r="D24" s="21"/>
      <c r="E24" s="21"/>
      <c r="F24" s="15" t="str">
        <f t="shared" si="0"/>
        <v/>
      </c>
      <c r="G24" s="22"/>
      <c r="H24" s="23"/>
      <c r="I24" s="24"/>
      <c r="J24" s="24"/>
      <c r="K24" s="15" t="str">
        <f t="shared" si="1"/>
        <v/>
      </c>
      <c r="L24" s="28"/>
      <c r="M24" s="23"/>
      <c r="N24" s="24"/>
      <c r="O24" s="24"/>
      <c r="P24" s="15" t="str">
        <f t="shared" si="2"/>
        <v/>
      </c>
      <c r="Q24" s="23"/>
      <c r="R24" s="23"/>
      <c r="S24" s="24"/>
      <c r="T24" s="24"/>
      <c r="U24" s="15" t="str">
        <f t="shared" si="3"/>
        <v/>
      </c>
      <c r="V24" s="2"/>
    </row>
    <row r="25" spans="1:22" ht="28.5" x14ac:dyDescent="0.45">
      <c r="A25" s="30"/>
      <c r="B25" s="20"/>
      <c r="C25" s="29" t="s">
        <v>86</v>
      </c>
      <c r="D25" s="21"/>
      <c r="E25" s="21"/>
      <c r="F25" s="15" t="str">
        <f t="shared" si="0"/>
        <v/>
      </c>
      <c r="G25" s="22"/>
      <c r="H25" s="23"/>
      <c r="I25" s="24"/>
      <c r="J25" s="24"/>
      <c r="K25" s="15" t="str">
        <f t="shared" si="1"/>
        <v/>
      </c>
      <c r="L25" s="28"/>
      <c r="M25" s="23"/>
      <c r="N25" s="24"/>
      <c r="O25" s="24"/>
      <c r="P25" s="15" t="str">
        <f t="shared" si="2"/>
        <v/>
      </c>
      <c r="Q25" s="23"/>
      <c r="R25" s="23"/>
      <c r="S25" s="24"/>
      <c r="T25" s="24"/>
      <c r="U25" s="15" t="str">
        <f t="shared" si="3"/>
        <v/>
      </c>
      <c r="V25" s="2"/>
    </row>
    <row r="26" spans="1:22" ht="28.5" x14ac:dyDescent="0.45">
      <c r="A26" s="30"/>
      <c r="B26" s="20"/>
      <c r="C26" s="23" t="s">
        <v>87</v>
      </c>
      <c r="D26" s="21"/>
      <c r="E26" s="21"/>
      <c r="F26" s="15" t="str">
        <f t="shared" ref="F26:F78" si="4">IF(D26="","",IF(E26&lt;&gt;"",(E26-D26)/D26,""))</f>
        <v/>
      </c>
      <c r="G26" s="22"/>
      <c r="H26" s="23"/>
      <c r="I26" s="24"/>
      <c r="J26" s="24"/>
      <c r="K26" s="15" t="str">
        <f t="shared" si="1"/>
        <v/>
      </c>
      <c r="L26" s="28"/>
      <c r="M26" s="23"/>
      <c r="N26" s="24"/>
      <c r="O26" s="24"/>
      <c r="P26" s="15" t="str">
        <f t="shared" si="2"/>
        <v/>
      </c>
      <c r="Q26" s="23"/>
      <c r="R26" s="23"/>
      <c r="S26" s="24"/>
      <c r="T26" s="24"/>
      <c r="U26" s="15" t="str">
        <f t="shared" si="3"/>
        <v/>
      </c>
      <c r="V26" s="2"/>
    </row>
    <row r="27" spans="1:22" ht="28.5" x14ac:dyDescent="0.45">
      <c r="A27" s="30"/>
      <c r="B27" s="20"/>
      <c r="C27" s="23" t="s">
        <v>85</v>
      </c>
      <c r="D27" s="21"/>
      <c r="E27" s="21"/>
      <c r="F27" s="15" t="str">
        <f t="shared" si="4"/>
        <v/>
      </c>
      <c r="G27" s="22"/>
      <c r="H27" s="23"/>
      <c r="I27" s="24"/>
      <c r="J27" s="24"/>
      <c r="K27" s="15" t="str">
        <f t="shared" si="1"/>
        <v/>
      </c>
      <c r="L27" s="28"/>
      <c r="M27" s="23"/>
      <c r="N27" s="24"/>
      <c r="O27" s="24"/>
      <c r="P27" s="15" t="str">
        <f t="shared" si="2"/>
        <v/>
      </c>
      <c r="Q27" s="23"/>
      <c r="R27" s="23"/>
      <c r="S27" s="24"/>
      <c r="T27" s="24"/>
      <c r="U27" s="15" t="str">
        <f t="shared" si="3"/>
        <v/>
      </c>
      <c r="V27" s="2"/>
    </row>
    <row r="28" spans="1:22" ht="28.5" x14ac:dyDescent="0.45">
      <c r="A28" s="30"/>
      <c r="B28" s="20"/>
      <c r="C28" s="23" t="s">
        <v>22</v>
      </c>
      <c r="D28" s="21"/>
      <c r="E28" s="21"/>
      <c r="F28" s="15" t="str">
        <f t="shared" si="4"/>
        <v/>
      </c>
      <c r="G28" s="22"/>
      <c r="H28" s="23"/>
      <c r="I28" s="24"/>
      <c r="J28" s="24"/>
      <c r="K28" s="15" t="str">
        <f t="shared" si="1"/>
        <v/>
      </c>
      <c r="L28" s="28"/>
      <c r="M28" s="23"/>
      <c r="N28" s="24"/>
      <c r="O28" s="24"/>
      <c r="P28" s="15" t="str">
        <f t="shared" si="2"/>
        <v/>
      </c>
      <c r="Q28" s="23"/>
      <c r="R28" s="23"/>
      <c r="S28" s="24"/>
      <c r="T28" s="24"/>
      <c r="U28" s="15" t="str">
        <f t="shared" si="3"/>
        <v/>
      </c>
      <c r="V28" s="2"/>
    </row>
    <row r="29" spans="1:22" ht="28.5" x14ac:dyDescent="0.45">
      <c r="A29" s="30"/>
      <c r="B29" s="20"/>
      <c r="C29" s="23" t="s">
        <v>85</v>
      </c>
      <c r="D29" s="21"/>
      <c r="E29" s="21"/>
      <c r="F29" s="15" t="str">
        <f t="shared" si="4"/>
        <v/>
      </c>
      <c r="G29" s="22"/>
      <c r="H29" s="23"/>
      <c r="I29" s="24"/>
      <c r="J29" s="24"/>
      <c r="K29" s="15" t="str">
        <f t="shared" si="1"/>
        <v/>
      </c>
      <c r="L29" s="28"/>
      <c r="M29" s="23"/>
      <c r="N29" s="24"/>
      <c r="O29" s="24"/>
      <c r="P29" s="15" t="str">
        <f t="shared" si="2"/>
        <v/>
      </c>
      <c r="Q29" s="23"/>
      <c r="R29" s="23"/>
      <c r="S29" s="24"/>
      <c r="T29" s="24"/>
      <c r="U29" s="15" t="str">
        <f t="shared" si="3"/>
        <v/>
      </c>
      <c r="V29" s="2"/>
    </row>
    <row r="30" spans="1:22" ht="28.5" x14ac:dyDescent="0.45">
      <c r="A30" s="30"/>
      <c r="B30" s="20"/>
      <c r="C30" s="23" t="s">
        <v>86</v>
      </c>
      <c r="D30" s="21"/>
      <c r="E30" s="21"/>
      <c r="F30" s="15" t="str">
        <f t="shared" si="4"/>
        <v/>
      </c>
      <c r="G30" s="22"/>
      <c r="H30" s="23"/>
      <c r="I30" s="24"/>
      <c r="J30" s="24"/>
      <c r="K30" s="15" t="str">
        <f t="shared" si="1"/>
        <v/>
      </c>
      <c r="L30" s="28"/>
      <c r="M30" s="23"/>
      <c r="N30" s="24"/>
      <c r="O30" s="24"/>
      <c r="P30" s="15" t="str">
        <f t="shared" si="2"/>
        <v/>
      </c>
      <c r="Q30" s="23"/>
      <c r="R30" s="23"/>
      <c r="S30" s="24"/>
      <c r="T30" s="24"/>
      <c r="U30" s="15" t="str">
        <f t="shared" si="3"/>
        <v/>
      </c>
      <c r="V30" s="2"/>
    </row>
    <row r="31" spans="1:22" ht="28.5" x14ac:dyDescent="0.45">
      <c r="A31" s="30"/>
      <c r="B31" s="20"/>
      <c r="C31" s="23" t="s">
        <v>87</v>
      </c>
      <c r="D31" s="21"/>
      <c r="E31" s="21"/>
      <c r="F31" s="15" t="str">
        <f t="shared" si="4"/>
        <v/>
      </c>
      <c r="G31" s="22"/>
      <c r="H31" s="23"/>
      <c r="I31" s="24"/>
      <c r="J31" s="24"/>
      <c r="K31" s="15" t="str">
        <f t="shared" si="1"/>
        <v/>
      </c>
      <c r="L31" s="28"/>
      <c r="M31" s="23"/>
      <c r="N31" s="24"/>
      <c r="O31" s="24"/>
      <c r="P31" s="15" t="str">
        <f t="shared" si="2"/>
        <v/>
      </c>
      <c r="Q31" s="23"/>
      <c r="R31" s="23"/>
      <c r="S31" s="24"/>
      <c r="T31" s="24"/>
      <c r="U31" s="15" t="str">
        <f t="shared" si="3"/>
        <v/>
      </c>
      <c r="V31" s="2"/>
    </row>
    <row r="32" spans="1:22" ht="28.5" x14ac:dyDescent="0.45">
      <c r="A32" s="30"/>
      <c r="B32" s="20"/>
      <c r="C32" s="23" t="s">
        <v>85</v>
      </c>
      <c r="D32" s="21"/>
      <c r="E32" s="21"/>
      <c r="F32" s="15" t="str">
        <f t="shared" si="4"/>
        <v/>
      </c>
      <c r="G32" s="22"/>
      <c r="H32" s="23"/>
      <c r="I32" s="24"/>
      <c r="J32" s="24"/>
      <c r="K32" s="15" t="str">
        <f t="shared" si="1"/>
        <v/>
      </c>
      <c r="L32" s="28"/>
      <c r="M32" s="23"/>
      <c r="N32" s="24"/>
      <c r="O32" s="24"/>
      <c r="P32" s="15" t="str">
        <f t="shared" si="2"/>
        <v/>
      </c>
      <c r="Q32" s="23"/>
      <c r="R32" s="23"/>
      <c r="S32" s="24"/>
      <c r="T32" s="24"/>
      <c r="U32" s="15" t="str">
        <f t="shared" si="3"/>
        <v/>
      </c>
      <c r="V32" s="2"/>
    </row>
    <row r="33" spans="1:22" ht="28.5" x14ac:dyDescent="0.45">
      <c r="A33" s="30"/>
      <c r="B33" s="20"/>
      <c r="C33" s="23" t="s">
        <v>22</v>
      </c>
      <c r="D33" s="21"/>
      <c r="E33" s="21"/>
      <c r="F33" s="15" t="str">
        <f t="shared" si="4"/>
        <v/>
      </c>
      <c r="G33" s="22"/>
      <c r="H33" s="23"/>
      <c r="I33" s="24"/>
      <c r="J33" s="24"/>
      <c r="K33" s="15" t="str">
        <f t="shared" si="1"/>
        <v/>
      </c>
      <c r="L33" s="28"/>
      <c r="M33" s="23"/>
      <c r="N33" s="24"/>
      <c r="O33" s="24"/>
      <c r="P33" s="15" t="str">
        <f t="shared" si="2"/>
        <v/>
      </c>
      <c r="Q33" s="23"/>
      <c r="R33" s="23"/>
      <c r="S33" s="24"/>
      <c r="T33" s="24"/>
      <c r="U33" s="15" t="str">
        <f t="shared" si="3"/>
        <v/>
      </c>
      <c r="V33" s="2"/>
    </row>
    <row r="34" spans="1:22" ht="28.5" x14ac:dyDescent="0.45">
      <c r="A34" s="30"/>
      <c r="B34" s="20"/>
      <c r="C34" s="23"/>
      <c r="D34" s="21"/>
      <c r="E34" s="21"/>
      <c r="F34" s="15" t="str">
        <f t="shared" si="4"/>
        <v/>
      </c>
      <c r="G34" s="22"/>
      <c r="H34" s="23"/>
      <c r="I34" s="24"/>
      <c r="J34" s="24"/>
      <c r="K34" s="15" t="str">
        <f t="shared" si="1"/>
        <v/>
      </c>
      <c r="L34" s="28"/>
      <c r="M34" s="23"/>
      <c r="N34" s="24"/>
      <c r="O34" s="24"/>
      <c r="P34" s="15" t="str">
        <f t="shared" si="2"/>
        <v/>
      </c>
      <c r="Q34" s="23"/>
      <c r="R34" s="23"/>
      <c r="S34" s="24"/>
      <c r="T34" s="24"/>
      <c r="U34" s="15" t="str">
        <f t="shared" si="3"/>
        <v/>
      </c>
      <c r="V34" s="2"/>
    </row>
    <row r="35" spans="1:22" ht="28.5" x14ac:dyDescent="0.45">
      <c r="A35" s="30"/>
      <c r="B35" s="20"/>
      <c r="C35" s="23"/>
      <c r="D35" s="21"/>
      <c r="E35" s="21"/>
      <c r="F35" s="15" t="str">
        <f t="shared" si="4"/>
        <v/>
      </c>
      <c r="G35" s="22"/>
      <c r="H35" s="23"/>
      <c r="I35" s="24"/>
      <c r="J35" s="24"/>
      <c r="K35" s="15" t="str">
        <f t="shared" si="1"/>
        <v/>
      </c>
      <c r="L35" s="28"/>
      <c r="M35" s="23"/>
      <c r="N35" s="24"/>
      <c r="O35" s="24"/>
      <c r="P35" s="15" t="str">
        <f t="shared" si="2"/>
        <v/>
      </c>
      <c r="Q35" s="23"/>
      <c r="R35" s="23"/>
      <c r="S35" s="24"/>
      <c r="T35" s="24"/>
      <c r="U35" s="15" t="str">
        <f t="shared" si="3"/>
        <v/>
      </c>
      <c r="V35" s="2"/>
    </row>
    <row r="36" spans="1:22" ht="28.5" x14ac:dyDescent="0.45">
      <c r="A36" s="30"/>
      <c r="B36" s="20"/>
      <c r="C36" s="23"/>
      <c r="D36" s="21"/>
      <c r="E36" s="21"/>
      <c r="F36" s="15" t="str">
        <f t="shared" si="4"/>
        <v/>
      </c>
      <c r="G36" s="22"/>
      <c r="H36" s="23"/>
      <c r="I36" s="24"/>
      <c r="J36" s="24"/>
      <c r="K36" s="15" t="str">
        <f t="shared" si="1"/>
        <v/>
      </c>
      <c r="L36" s="28"/>
      <c r="M36" s="23"/>
      <c r="N36" s="24"/>
      <c r="O36" s="24"/>
      <c r="P36" s="15" t="str">
        <f t="shared" si="2"/>
        <v/>
      </c>
      <c r="Q36" s="23"/>
      <c r="R36" s="23"/>
      <c r="S36" s="24"/>
      <c r="T36" s="24"/>
      <c r="U36" s="15" t="str">
        <f t="shared" si="3"/>
        <v/>
      </c>
      <c r="V36" s="2"/>
    </row>
    <row r="37" spans="1:22" ht="28.5" x14ac:dyDescent="0.45">
      <c r="A37" s="30"/>
      <c r="B37" s="20"/>
      <c r="C37" s="23"/>
      <c r="D37" s="21"/>
      <c r="E37" s="21"/>
      <c r="F37" s="15" t="str">
        <f t="shared" si="4"/>
        <v/>
      </c>
      <c r="G37" s="22"/>
      <c r="H37" s="23"/>
      <c r="I37" s="24"/>
      <c r="J37" s="24"/>
      <c r="K37" s="15" t="str">
        <f t="shared" si="1"/>
        <v/>
      </c>
      <c r="L37" s="28"/>
      <c r="M37" s="23"/>
      <c r="N37" s="24"/>
      <c r="O37" s="24"/>
      <c r="P37" s="15" t="str">
        <f t="shared" si="2"/>
        <v/>
      </c>
      <c r="Q37" s="23"/>
      <c r="R37" s="23"/>
      <c r="S37" s="24"/>
      <c r="T37" s="24"/>
      <c r="U37" s="15" t="str">
        <f t="shared" si="3"/>
        <v/>
      </c>
      <c r="V37" s="2"/>
    </row>
    <row r="38" spans="1:22" ht="28.5" x14ac:dyDescent="0.45">
      <c r="A38" s="30"/>
      <c r="B38" s="20"/>
      <c r="C38" s="23"/>
      <c r="D38" s="21"/>
      <c r="E38" s="21"/>
      <c r="F38" s="15" t="str">
        <f t="shared" si="4"/>
        <v/>
      </c>
      <c r="G38" s="22"/>
      <c r="H38" s="23"/>
      <c r="I38" s="24"/>
      <c r="J38" s="24"/>
      <c r="K38" s="15" t="str">
        <f t="shared" si="1"/>
        <v/>
      </c>
      <c r="L38" s="28"/>
      <c r="M38" s="23"/>
      <c r="N38" s="24"/>
      <c r="O38" s="24"/>
      <c r="P38" s="15" t="str">
        <f t="shared" si="2"/>
        <v/>
      </c>
      <c r="Q38" s="23"/>
      <c r="R38" s="23"/>
      <c r="S38" s="24"/>
      <c r="T38" s="24"/>
      <c r="U38" s="15" t="str">
        <f t="shared" si="3"/>
        <v/>
      </c>
      <c r="V38" s="2"/>
    </row>
    <row r="39" spans="1:22" ht="28.5" x14ac:dyDescent="0.45">
      <c r="A39" s="30"/>
      <c r="B39" s="20"/>
      <c r="C39" s="23"/>
      <c r="D39" s="21"/>
      <c r="E39" s="21"/>
      <c r="F39" s="15" t="str">
        <f t="shared" si="4"/>
        <v/>
      </c>
      <c r="G39" s="22"/>
      <c r="H39" s="23"/>
      <c r="I39" s="24"/>
      <c r="J39" s="24"/>
      <c r="K39" s="15" t="str">
        <f t="shared" si="1"/>
        <v/>
      </c>
      <c r="L39" s="28"/>
      <c r="M39" s="23"/>
      <c r="N39" s="24"/>
      <c r="O39" s="24"/>
      <c r="P39" s="15" t="str">
        <f t="shared" si="2"/>
        <v/>
      </c>
      <c r="Q39" s="23"/>
      <c r="R39" s="23"/>
      <c r="S39" s="24"/>
      <c r="T39" s="24"/>
      <c r="U39" s="15" t="str">
        <f t="shared" si="3"/>
        <v/>
      </c>
      <c r="V39" s="2"/>
    </row>
    <row r="40" spans="1:22" ht="28.5" x14ac:dyDescent="0.45">
      <c r="A40" s="30"/>
      <c r="B40" s="20"/>
      <c r="C40" s="23"/>
      <c r="D40" s="21"/>
      <c r="E40" s="21"/>
      <c r="F40" s="15" t="str">
        <f t="shared" si="4"/>
        <v/>
      </c>
      <c r="G40" s="22"/>
      <c r="H40" s="23"/>
      <c r="I40" s="24"/>
      <c r="J40" s="24"/>
      <c r="K40" s="15" t="str">
        <f t="shared" si="1"/>
        <v/>
      </c>
      <c r="L40" s="28"/>
      <c r="M40" s="23"/>
      <c r="N40" s="24"/>
      <c r="O40" s="24"/>
      <c r="P40" s="15" t="str">
        <f t="shared" si="2"/>
        <v/>
      </c>
      <c r="Q40" s="23"/>
      <c r="R40" s="23"/>
      <c r="S40" s="24"/>
      <c r="T40" s="24"/>
      <c r="U40" s="15" t="str">
        <f t="shared" si="3"/>
        <v/>
      </c>
      <c r="V40" s="2"/>
    </row>
    <row r="41" spans="1:22" ht="28.5" x14ac:dyDescent="0.45">
      <c r="A41" s="30"/>
      <c r="B41" s="20"/>
      <c r="C41" s="23"/>
      <c r="D41" s="21"/>
      <c r="E41" s="21"/>
      <c r="F41" s="15" t="str">
        <f t="shared" si="4"/>
        <v/>
      </c>
      <c r="G41" s="22"/>
      <c r="H41" s="23"/>
      <c r="I41" s="24"/>
      <c r="J41" s="24"/>
      <c r="K41" s="15" t="str">
        <f t="shared" si="1"/>
        <v/>
      </c>
      <c r="L41" s="28"/>
      <c r="M41" s="23"/>
      <c r="N41" s="24"/>
      <c r="O41" s="24"/>
      <c r="P41" s="15" t="str">
        <f t="shared" si="2"/>
        <v/>
      </c>
      <c r="Q41" s="23"/>
      <c r="R41" s="23"/>
      <c r="S41" s="24"/>
      <c r="T41" s="24"/>
      <c r="U41" s="15" t="str">
        <f t="shared" si="3"/>
        <v/>
      </c>
      <c r="V41" s="2"/>
    </row>
    <row r="42" spans="1:22" ht="28.5" x14ac:dyDescent="0.45">
      <c r="A42" s="30"/>
      <c r="B42" s="20"/>
      <c r="C42" s="23"/>
      <c r="D42" s="21"/>
      <c r="E42" s="21"/>
      <c r="F42" s="15" t="str">
        <f t="shared" si="4"/>
        <v/>
      </c>
      <c r="G42" s="22"/>
      <c r="H42" s="23"/>
      <c r="I42" s="24"/>
      <c r="J42" s="24"/>
      <c r="K42" s="15" t="str">
        <f t="shared" si="1"/>
        <v/>
      </c>
      <c r="L42" s="28"/>
      <c r="M42" s="23"/>
      <c r="N42" s="24"/>
      <c r="O42" s="24"/>
      <c r="P42" s="15" t="str">
        <f t="shared" si="2"/>
        <v/>
      </c>
      <c r="Q42" s="23"/>
      <c r="R42" s="23"/>
      <c r="S42" s="24"/>
      <c r="T42" s="24"/>
      <c r="U42" s="15" t="str">
        <f t="shared" si="3"/>
        <v/>
      </c>
      <c r="V42" s="2"/>
    </row>
    <row r="43" spans="1:22" ht="28.5" x14ac:dyDescent="0.45">
      <c r="A43" s="30"/>
      <c r="B43" s="20"/>
      <c r="C43" s="23"/>
      <c r="D43" s="21"/>
      <c r="E43" s="21"/>
      <c r="F43" s="15" t="str">
        <f t="shared" si="4"/>
        <v/>
      </c>
      <c r="G43" s="22"/>
      <c r="H43" s="23"/>
      <c r="I43" s="24"/>
      <c r="J43" s="24"/>
      <c r="K43" s="15" t="str">
        <f t="shared" si="1"/>
        <v/>
      </c>
      <c r="L43" s="28"/>
      <c r="M43" s="23"/>
      <c r="N43" s="24"/>
      <c r="O43" s="24"/>
      <c r="P43" s="15" t="str">
        <f t="shared" si="2"/>
        <v/>
      </c>
      <c r="Q43" s="23"/>
      <c r="R43" s="23"/>
      <c r="S43" s="24"/>
      <c r="T43" s="24"/>
      <c r="U43" s="15" t="str">
        <f t="shared" si="3"/>
        <v/>
      </c>
      <c r="V43" s="2"/>
    </row>
    <row r="44" spans="1:22" ht="28.5" x14ac:dyDescent="0.45">
      <c r="A44" s="30"/>
      <c r="B44" s="20"/>
      <c r="C44" s="23"/>
      <c r="D44" s="21"/>
      <c r="E44" s="21"/>
      <c r="F44" s="15" t="str">
        <f t="shared" si="4"/>
        <v/>
      </c>
      <c r="G44" s="22"/>
      <c r="H44" s="23"/>
      <c r="I44" s="24"/>
      <c r="J44" s="24"/>
      <c r="K44" s="15" t="str">
        <f t="shared" si="1"/>
        <v/>
      </c>
      <c r="L44" s="28"/>
      <c r="M44" s="23"/>
      <c r="N44" s="24"/>
      <c r="O44" s="24"/>
      <c r="P44" s="15" t="str">
        <f t="shared" si="2"/>
        <v/>
      </c>
      <c r="Q44" s="23"/>
      <c r="R44" s="23"/>
      <c r="S44" s="24"/>
      <c r="T44" s="24"/>
      <c r="U44" s="15" t="str">
        <f t="shared" si="3"/>
        <v/>
      </c>
      <c r="V44" s="2"/>
    </row>
    <row r="45" spans="1:22" ht="28.5" x14ac:dyDescent="0.45">
      <c r="A45" s="30"/>
      <c r="B45" s="20"/>
      <c r="C45" s="23"/>
      <c r="D45" s="21"/>
      <c r="E45" s="21"/>
      <c r="F45" s="15" t="str">
        <f t="shared" si="4"/>
        <v/>
      </c>
      <c r="G45" s="22"/>
      <c r="H45" s="23"/>
      <c r="I45" s="24"/>
      <c r="J45" s="24"/>
      <c r="K45" s="15" t="str">
        <f t="shared" si="1"/>
        <v/>
      </c>
      <c r="L45" s="28"/>
      <c r="M45" s="23"/>
      <c r="N45" s="24"/>
      <c r="O45" s="24"/>
      <c r="P45" s="15" t="str">
        <f t="shared" si="2"/>
        <v/>
      </c>
      <c r="Q45" s="23"/>
      <c r="R45" s="23"/>
      <c r="S45" s="24"/>
      <c r="T45" s="24"/>
      <c r="U45" s="15" t="str">
        <f t="shared" si="3"/>
        <v/>
      </c>
      <c r="V45" s="2"/>
    </row>
    <row r="46" spans="1:22" ht="28.5" x14ac:dyDescent="0.45">
      <c r="A46" s="30"/>
      <c r="B46" s="20"/>
      <c r="C46" s="23"/>
      <c r="D46" s="21"/>
      <c r="E46" s="21"/>
      <c r="F46" s="15" t="str">
        <f t="shared" si="4"/>
        <v/>
      </c>
      <c r="G46" s="22"/>
      <c r="H46" s="23"/>
      <c r="I46" s="24"/>
      <c r="J46" s="24"/>
      <c r="K46" s="15" t="str">
        <f t="shared" si="1"/>
        <v/>
      </c>
      <c r="L46" s="28"/>
      <c r="M46" s="23"/>
      <c r="N46" s="24"/>
      <c r="O46" s="24"/>
      <c r="P46" s="15" t="str">
        <f t="shared" si="2"/>
        <v/>
      </c>
      <c r="Q46" s="23"/>
      <c r="R46" s="23"/>
      <c r="S46" s="24"/>
      <c r="T46" s="24"/>
      <c r="U46" s="15" t="str">
        <f t="shared" si="3"/>
        <v/>
      </c>
      <c r="V46" s="2"/>
    </row>
    <row r="47" spans="1:22" ht="28.5" x14ac:dyDescent="0.45">
      <c r="A47" s="30"/>
      <c r="B47" s="20"/>
      <c r="C47" s="23"/>
      <c r="D47" s="21"/>
      <c r="E47" s="21"/>
      <c r="F47" s="15" t="str">
        <f t="shared" si="4"/>
        <v/>
      </c>
      <c r="G47" s="22"/>
      <c r="H47" s="23"/>
      <c r="I47" s="24"/>
      <c r="J47" s="24"/>
      <c r="K47" s="15" t="str">
        <f t="shared" si="1"/>
        <v/>
      </c>
      <c r="L47" s="28"/>
      <c r="M47" s="23"/>
      <c r="N47" s="24"/>
      <c r="O47" s="24"/>
      <c r="P47" s="15" t="str">
        <f t="shared" si="2"/>
        <v/>
      </c>
      <c r="Q47" s="23"/>
      <c r="R47" s="23"/>
      <c r="S47" s="24"/>
      <c r="T47" s="24"/>
      <c r="U47" s="15" t="str">
        <f t="shared" si="3"/>
        <v/>
      </c>
      <c r="V47" s="2"/>
    </row>
    <row r="48" spans="1:22" ht="28.5" x14ac:dyDescent="0.45">
      <c r="A48" s="30"/>
      <c r="B48" s="20"/>
      <c r="C48" s="23"/>
      <c r="D48" s="21"/>
      <c r="E48" s="21"/>
      <c r="F48" s="15" t="str">
        <f t="shared" si="4"/>
        <v/>
      </c>
      <c r="G48" s="22"/>
      <c r="H48" s="23"/>
      <c r="I48" s="24"/>
      <c r="J48" s="24"/>
      <c r="K48" s="15" t="str">
        <f t="shared" si="1"/>
        <v/>
      </c>
      <c r="L48" s="28"/>
      <c r="M48" s="23"/>
      <c r="N48" s="24"/>
      <c r="O48" s="24"/>
      <c r="P48" s="15" t="str">
        <f t="shared" si="2"/>
        <v/>
      </c>
      <c r="Q48" s="23"/>
      <c r="R48" s="23"/>
      <c r="S48" s="24"/>
      <c r="T48" s="24"/>
      <c r="U48" s="15" t="str">
        <f t="shared" si="3"/>
        <v/>
      </c>
      <c r="V48" s="2"/>
    </row>
    <row r="49" spans="1:22" ht="28.5" x14ac:dyDescent="0.45">
      <c r="A49" s="30"/>
      <c r="B49" s="20"/>
      <c r="C49" s="23"/>
      <c r="D49" s="21"/>
      <c r="E49" s="21"/>
      <c r="F49" s="15" t="str">
        <f t="shared" si="4"/>
        <v/>
      </c>
      <c r="G49" s="22"/>
      <c r="H49" s="23"/>
      <c r="I49" s="24"/>
      <c r="J49" s="24"/>
      <c r="K49" s="15" t="str">
        <f t="shared" si="1"/>
        <v/>
      </c>
      <c r="L49" s="28"/>
      <c r="M49" s="23"/>
      <c r="N49" s="24"/>
      <c r="O49" s="24"/>
      <c r="P49" s="15" t="str">
        <f t="shared" si="2"/>
        <v/>
      </c>
      <c r="Q49" s="23"/>
      <c r="R49" s="23"/>
      <c r="S49" s="24"/>
      <c r="T49" s="24"/>
      <c r="U49" s="15" t="str">
        <f t="shared" si="3"/>
        <v/>
      </c>
      <c r="V49" s="2"/>
    </row>
    <row r="50" spans="1:22" ht="28.5" x14ac:dyDescent="0.45">
      <c r="A50" s="30"/>
      <c r="B50" s="20"/>
      <c r="C50" s="23"/>
      <c r="D50" s="21"/>
      <c r="E50" s="21"/>
      <c r="F50" s="15" t="str">
        <f t="shared" si="4"/>
        <v/>
      </c>
      <c r="G50" s="22"/>
      <c r="H50" s="23"/>
      <c r="I50" s="24"/>
      <c r="J50" s="24"/>
      <c r="K50" s="15" t="str">
        <f t="shared" si="1"/>
        <v/>
      </c>
      <c r="L50" s="28"/>
      <c r="M50" s="23"/>
      <c r="N50" s="24"/>
      <c r="O50" s="24"/>
      <c r="P50" s="15" t="str">
        <f t="shared" si="2"/>
        <v/>
      </c>
      <c r="Q50" s="23"/>
      <c r="R50" s="23"/>
      <c r="S50" s="24"/>
      <c r="T50" s="24"/>
      <c r="U50" s="15" t="str">
        <f t="shared" si="3"/>
        <v/>
      </c>
      <c r="V50" s="2"/>
    </row>
    <row r="51" spans="1:22" ht="28.5" x14ac:dyDescent="0.45">
      <c r="A51" s="30"/>
      <c r="B51" s="20"/>
      <c r="C51" s="23"/>
      <c r="D51" s="21"/>
      <c r="E51" s="21"/>
      <c r="F51" s="15" t="str">
        <f t="shared" si="4"/>
        <v/>
      </c>
      <c r="G51" s="22"/>
      <c r="H51" s="23"/>
      <c r="I51" s="24"/>
      <c r="J51" s="24"/>
      <c r="K51" s="15" t="str">
        <f t="shared" si="1"/>
        <v/>
      </c>
      <c r="L51" s="28"/>
      <c r="M51" s="23"/>
      <c r="N51" s="24"/>
      <c r="O51" s="24"/>
      <c r="P51" s="15" t="str">
        <f t="shared" si="2"/>
        <v/>
      </c>
      <c r="Q51" s="23"/>
      <c r="R51" s="23"/>
      <c r="S51" s="24"/>
      <c r="T51" s="24"/>
      <c r="U51" s="15" t="str">
        <f t="shared" si="3"/>
        <v/>
      </c>
      <c r="V51" s="2"/>
    </row>
    <row r="52" spans="1:22" ht="28.5" x14ac:dyDescent="0.45">
      <c r="A52" s="30"/>
      <c r="B52" s="20"/>
      <c r="C52" s="23"/>
      <c r="D52" s="21"/>
      <c r="E52" s="21"/>
      <c r="F52" s="15" t="str">
        <f t="shared" si="4"/>
        <v/>
      </c>
      <c r="G52" s="22"/>
      <c r="H52" s="23"/>
      <c r="I52" s="24"/>
      <c r="J52" s="24"/>
      <c r="K52" s="15" t="str">
        <f t="shared" si="1"/>
        <v/>
      </c>
      <c r="L52" s="28"/>
      <c r="M52" s="23"/>
      <c r="N52" s="24"/>
      <c r="O52" s="24"/>
      <c r="P52" s="15" t="str">
        <f t="shared" si="2"/>
        <v/>
      </c>
      <c r="Q52" s="23"/>
      <c r="R52" s="23"/>
      <c r="S52" s="24"/>
      <c r="T52" s="24"/>
      <c r="U52" s="15" t="str">
        <f t="shared" si="3"/>
        <v/>
      </c>
      <c r="V52" s="2"/>
    </row>
    <row r="53" spans="1:22" ht="28.5" x14ac:dyDescent="0.45">
      <c r="A53" s="30"/>
      <c r="B53" s="20"/>
      <c r="C53" s="23"/>
      <c r="D53" s="21"/>
      <c r="E53" s="21"/>
      <c r="F53" s="15" t="str">
        <f t="shared" si="4"/>
        <v/>
      </c>
      <c r="G53" s="22"/>
      <c r="H53" s="23"/>
      <c r="I53" s="24"/>
      <c r="J53" s="24"/>
      <c r="K53" s="15" t="str">
        <f t="shared" si="1"/>
        <v/>
      </c>
      <c r="L53" s="28"/>
      <c r="M53" s="23"/>
      <c r="N53" s="24"/>
      <c r="O53" s="24"/>
      <c r="P53" s="15" t="str">
        <f t="shared" si="2"/>
        <v/>
      </c>
      <c r="Q53" s="23"/>
      <c r="R53" s="23"/>
      <c r="S53" s="24"/>
      <c r="T53" s="24"/>
      <c r="U53" s="15" t="str">
        <f t="shared" si="3"/>
        <v/>
      </c>
      <c r="V53" s="2"/>
    </row>
    <row r="54" spans="1:22" ht="28.5" x14ac:dyDescent="0.45">
      <c r="A54" s="30"/>
      <c r="B54" s="20"/>
      <c r="C54" s="23"/>
      <c r="D54" s="21"/>
      <c r="E54" s="21"/>
      <c r="F54" s="15" t="str">
        <f t="shared" si="4"/>
        <v/>
      </c>
      <c r="G54" s="22"/>
      <c r="H54" s="23"/>
      <c r="I54" s="24"/>
      <c r="J54" s="24"/>
      <c r="K54" s="15" t="str">
        <f t="shared" si="1"/>
        <v/>
      </c>
      <c r="L54" s="28"/>
      <c r="M54" s="23"/>
      <c r="N54" s="24"/>
      <c r="O54" s="24"/>
      <c r="P54" s="15" t="str">
        <f t="shared" si="2"/>
        <v/>
      </c>
      <c r="Q54" s="23"/>
      <c r="R54" s="23"/>
      <c r="S54" s="24"/>
      <c r="T54" s="24"/>
      <c r="U54" s="15" t="str">
        <f t="shared" si="3"/>
        <v/>
      </c>
      <c r="V54" s="2"/>
    </row>
    <row r="55" spans="1:22" ht="28.5" x14ac:dyDescent="0.45">
      <c r="A55" s="30"/>
      <c r="B55" s="20"/>
      <c r="C55" s="23"/>
      <c r="D55" s="21"/>
      <c r="E55" s="21"/>
      <c r="F55" s="15" t="str">
        <f t="shared" si="4"/>
        <v/>
      </c>
      <c r="G55" s="22"/>
      <c r="H55" s="23"/>
      <c r="I55" s="24"/>
      <c r="J55" s="24"/>
      <c r="K55" s="15" t="str">
        <f t="shared" si="1"/>
        <v/>
      </c>
      <c r="L55" s="28"/>
      <c r="M55" s="23"/>
      <c r="N55" s="24"/>
      <c r="O55" s="24"/>
      <c r="P55" s="15" t="str">
        <f t="shared" si="2"/>
        <v/>
      </c>
      <c r="Q55" s="23"/>
      <c r="R55" s="23"/>
      <c r="S55" s="24"/>
      <c r="T55" s="24"/>
      <c r="U55" s="15" t="str">
        <f t="shared" si="3"/>
        <v/>
      </c>
      <c r="V55" s="2"/>
    </row>
    <row r="56" spans="1:22" ht="28.5" x14ac:dyDescent="0.45">
      <c r="A56" s="30"/>
      <c r="B56" s="20"/>
      <c r="C56" s="23"/>
      <c r="D56" s="21"/>
      <c r="E56" s="21"/>
      <c r="F56" s="15" t="str">
        <f t="shared" si="4"/>
        <v/>
      </c>
      <c r="G56" s="22"/>
      <c r="H56" s="23"/>
      <c r="I56" s="24"/>
      <c r="J56" s="24"/>
      <c r="K56" s="15" t="str">
        <f t="shared" si="1"/>
        <v/>
      </c>
      <c r="L56" s="28"/>
      <c r="M56" s="23"/>
      <c r="N56" s="24"/>
      <c r="O56" s="24"/>
      <c r="P56" s="15" t="str">
        <f t="shared" si="2"/>
        <v/>
      </c>
      <c r="Q56" s="23"/>
      <c r="R56" s="23"/>
      <c r="S56" s="24"/>
      <c r="T56" s="24"/>
      <c r="U56" s="15" t="str">
        <f t="shared" si="3"/>
        <v/>
      </c>
      <c r="V56" s="2"/>
    </row>
    <row r="57" spans="1:22" ht="28.5" x14ac:dyDescent="0.45">
      <c r="A57" s="30"/>
      <c r="B57" s="20"/>
      <c r="C57" s="23"/>
      <c r="D57" s="21"/>
      <c r="E57" s="21"/>
      <c r="F57" s="15" t="str">
        <f t="shared" si="4"/>
        <v/>
      </c>
      <c r="G57" s="22"/>
      <c r="H57" s="23"/>
      <c r="I57" s="24"/>
      <c r="J57" s="24"/>
      <c r="K57" s="15" t="str">
        <f t="shared" si="1"/>
        <v/>
      </c>
      <c r="L57" s="28"/>
      <c r="M57" s="23"/>
      <c r="N57" s="24"/>
      <c r="O57" s="24"/>
      <c r="P57" s="15" t="str">
        <f t="shared" si="2"/>
        <v/>
      </c>
      <c r="Q57" s="23"/>
      <c r="R57" s="23"/>
      <c r="S57" s="24"/>
      <c r="T57" s="24"/>
      <c r="U57" s="15" t="str">
        <f t="shared" si="3"/>
        <v/>
      </c>
      <c r="V57" s="2"/>
    </row>
    <row r="58" spans="1:22" ht="28.5" x14ac:dyDescent="0.45">
      <c r="A58" s="30"/>
      <c r="B58" s="20"/>
      <c r="C58" s="23"/>
      <c r="D58" s="21"/>
      <c r="E58" s="21"/>
      <c r="F58" s="15" t="str">
        <f t="shared" si="4"/>
        <v/>
      </c>
      <c r="G58" s="22"/>
      <c r="H58" s="23"/>
      <c r="I58" s="24"/>
      <c r="J58" s="24"/>
      <c r="K58" s="15" t="str">
        <f t="shared" si="1"/>
        <v/>
      </c>
      <c r="L58" s="28"/>
      <c r="M58" s="23"/>
      <c r="N58" s="24"/>
      <c r="O58" s="24"/>
      <c r="P58" s="15" t="str">
        <f t="shared" si="2"/>
        <v/>
      </c>
      <c r="Q58" s="23"/>
      <c r="R58" s="23"/>
      <c r="S58" s="24"/>
      <c r="T58" s="24"/>
      <c r="U58" s="15" t="str">
        <f t="shared" si="3"/>
        <v/>
      </c>
      <c r="V58" s="2"/>
    </row>
    <row r="59" spans="1:22" ht="28.5" x14ac:dyDescent="0.45">
      <c r="A59" s="30"/>
      <c r="B59" s="20"/>
      <c r="C59" s="23"/>
      <c r="D59" s="21"/>
      <c r="E59" s="21"/>
      <c r="F59" s="15" t="str">
        <f t="shared" si="4"/>
        <v/>
      </c>
      <c r="G59" s="22"/>
      <c r="H59" s="23"/>
      <c r="I59" s="24"/>
      <c r="J59" s="24"/>
      <c r="K59" s="15" t="str">
        <f t="shared" si="1"/>
        <v/>
      </c>
      <c r="L59" s="28"/>
      <c r="M59" s="23"/>
      <c r="N59" s="24"/>
      <c r="O59" s="24"/>
      <c r="P59" s="15" t="str">
        <f t="shared" si="2"/>
        <v/>
      </c>
      <c r="Q59" s="23"/>
      <c r="R59" s="23"/>
      <c r="S59" s="24"/>
      <c r="T59" s="24"/>
      <c r="U59" s="15" t="str">
        <f t="shared" si="3"/>
        <v/>
      </c>
      <c r="V59" s="2"/>
    </row>
    <row r="60" spans="1:22" ht="28.5" x14ac:dyDescent="0.45">
      <c r="A60" s="30"/>
      <c r="B60" s="20"/>
      <c r="C60" s="23"/>
      <c r="D60" s="21"/>
      <c r="E60" s="21"/>
      <c r="F60" s="15" t="str">
        <f t="shared" si="4"/>
        <v/>
      </c>
      <c r="G60" s="22"/>
      <c r="H60" s="23"/>
      <c r="I60" s="24"/>
      <c r="J60" s="24"/>
      <c r="K60" s="15" t="str">
        <f t="shared" si="1"/>
        <v/>
      </c>
      <c r="L60" s="28"/>
      <c r="M60" s="23"/>
      <c r="N60" s="24"/>
      <c r="O60" s="24"/>
      <c r="P60" s="15" t="str">
        <f t="shared" si="2"/>
        <v/>
      </c>
      <c r="Q60" s="23"/>
      <c r="R60" s="23"/>
      <c r="S60" s="24"/>
      <c r="T60" s="24"/>
      <c r="U60" s="15" t="str">
        <f t="shared" si="3"/>
        <v/>
      </c>
      <c r="V60" s="2"/>
    </row>
    <row r="61" spans="1:22" ht="28.5" x14ac:dyDescent="0.45">
      <c r="A61" s="30"/>
      <c r="B61" s="20"/>
      <c r="C61" s="23"/>
      <c r="D61" s="21"/>
      <c r="E61" s="21"/>
      <c r="F61" s="15" t="str">
        <f t="shared" si="4"/>
        <v/>
      </c>
      <c r="G61" s="22"/>
      <c r="H61" s="23"/>
      <c r="I61" s="24"/>
      <c r="J61" s="24"/>
      <c r="K61" s="15" t="str">
        <f t="shared" si="1"/>
        <v/>
      </c>
      <c r="L61" s="28"/>
      <c r="M61" s="23"/>
      <c r="N61" s="24"/>
      <c r="O61" s="24"/>
      <c r="P61" s="15" t="str">
        <f t="shared" si="2"/>
        <v/>
      </c>
      <c r="Q61" s="23"/>
      <c r="R61" s="23"/>
      <c r="S61" s="24"/>
      <c r="T61" s="24"/>
      <c r="U61" s="15" t="str">
        <f t="shared" si="3"/>
        <v/>
      </c>
      <c r="V61" s="2"/>
    </row>
    <row r="62" spans="1:22" ht="28.5" x14ac:dyDescent="0.45">
      <c r="A62" s="30"/>
      <c r="B62" s="20"/>
      <c r="C62" s="23"/>
      <c r="D62" s="21"/>
      <c r="E62" s="21"/>
      <c r="F62" s="15" t="str">
        <f t="shared" si="4"/>
        <v/>
      </c>
      <c r="G62" s="22"/>
      <c r="H62" s="23"/>
      <c r="I62" s="24"/>
      <c r="J62" s="24"/>
      <c r="K62" s="15" t="str">
        <f t="shared" si="1"/>
        <v/>
      </c>
      <c r="L62" s="28"/>
      <c r="M62" s="23"/>
      <c r="N62" s="24"/>
      <c r="O62" s="24"/>
      <c r="P62" s="15" t="str">
        <f t="shared" si="2"/>
        <v/>
      </c>
      <c r="Q62" s="23"/>
      <c r="R62" s="23"/>
      <c r="S62" s="24"/>
      <c r="T62" s="24"/>
      <c r="U62" s="15" t="str">
        <f t="shared" si="3"/>
        <v/>
      </c>
      <c r="V62" s="2"/>
    </row>
    <row r="63" spans="1:22" ht="28.5" x14ac:dyDescent="0.45">
      <c r="A63" s="30"/>
      <c r="B63" s="20"/>
      <c r="C63" s="23"/>
      <c r="D63" s="21"/>
      <c r="E63" s="21"/>
      <c r="F63" s="15" t="str">
        <f t="shared" si="4"/>
        <v/>
      </c>
      <c r="G63" s="22"/>
      <c r="H63" s="23"/>
      <c r="I63" s="24"/>
      <c r="J63" s="24"/>
      <c r="K63" s="15" t="str">
        <f t="shared" si="1"/>
        <v/>
      </c>
      <c r="L63" s="28"/>
      <c r="M63" s="23"/>
      <c r="N63" s="24"/>
      <c r="O63" s="24"/>
      <c r="P63" s="15" t="str">
        <f t="shared" si="2"/>
        <v/>
      </c>
      <c r="Q63" s="23"/>
      <c r="R63" s="23"/>
      <c r="S63" s="24"/>
      <c r="T63" s="24"/>
      <c r="U63" s="15" t="str">
        <f t="shared" si="3"/>
        <v/>
      </c>
      <c r="V63" s="2"/>
    </row>
    <row r="64" spans="1:22" ht="28.5" x14ac:dyDescent="0.45">
      <c r="A64" s="30"/>
      <c r="B64" s="20"/>
      <c r="C64" s="23"/>
      <c r="D64" s="21"/>
      <c r="E64" s="21"/>
      <c r="F64" s="15" t="str">
        <f t="shared" si="4"/>
        <v/>
      </c>
      <c r="G64" s="22"/>
      <c r="H64" s="23"/>
      <c r="I64" s="24"/>
      <c r="J64" s="24"/>
      <c r="K64" s="15" t="str">
        <f t="shared" si="1"/>
        <v/>
      </c>
      <c r="L64" s="28"/>
      <c r="M64" s="23"/>
      <c r="N64" s="24"/>
      <c r="O64" s="24"/>
      <c r="P64" s="15" t="str">
        <f t="shared" si="2"/>
        <v/>
      </c>
      <c r="Q64" s="23"/>
      <c r="R64" s="23"/>
      <c r="S64" s="24"/>
      <c r="T64" s="24"/>
      <c r="U64" s="15" t="str">
        <f t="shared" si="3"/>
        <v/>
      </c>
      <c r="V64" s="2"/>
    </row>
    <row r="65" spans="1:22" ht="28.5" x14ac:dyDescent="0.45">
      <c r="A65" s="30"/>
      <c r="B65" s="20"/>
      <c r="C65" s="23"/>
      <c r="D65" s="21"/>
      <c r="E65" s="21"/>
      <c r="F65" s="15" t="str">
        <f t="shared" si="4"/>
        <v/>
      </c>
      <c r="G65" s="22"/>
      <c r="H65" s="23"/>
      <c r="I65" s="24"/>
      <c r="J65" s="24"/>
      <c r="K65" s="15" t="str">
        <f t="shared" si="1"/>
        <v/>
      </c>
      <c r="L65" s="28"/>
      <c r="M65" s="23"/>
      <c r="N65" s="24"/>
      <c r="O65" s="24"/>
      <c r="P65" s="15" t="str">
        <f t="shared" si="2"/>
        <v/>
      </c>
      <c r="Q65" s="23"/>
      <c r="R65" s="23"/>
      <c r="S65" s="24"/>
      <c r="T65" s="24"/>
      <c r="U65" s="15" t="str">
        <f t="shared" si="3"/>
        <v/>
      </c>
      <c r="V65" s="2"/>
    </row>
    <row r="66" spans="1:22" ht="28.5" x14ac:dyDescent="0.45">
      <c r="A66" s="30"/>
      <c r="B66" s="20"/>
      <c r="C66" s="23"/>
      <c r="D66" s="21"/>
      <c r="E66" s="21"/>
      <c r="F66" s="15" t="str">
        <f t="shared" si="4"/>
        <v/>
      </c>
      <c r="G66" s="22"/>
      <c r="H66" s="23"/>
      <c r="I66" s="24"/>
      <c r="J66" s="24"/>
      <c r="K66" s="15" t="str">
        <f t="shared" si="1"/>
        <v/>
      </c>
      <c r="L66" s="28"/>
      <c r="M66" s="23"/>
      <c r="N66" s="24"/>
      <c r="O66" s="24"/>
      <c r="P66" s="15" t="str">
        <f t="shared" si="2"/>
        <v/>
      </c>
      <c r="Q66" s="23"/>
      <c r="R66" s="23"/>
      <c r="S66" s="24"/>
      <c r="T66" s="24"/>
      <c r="U66" s="15" t="str">
        <f t="shared" si="3"/>
        <v/>
      </c>
      <c r="V66" s="2"/>
    </row>
    <row r="67" spans="1:22" ht="28.5" x14ac:dyDescent="0.45">
      <c r="A67" s="30"/>
      <c r="B67" s="20"/>
      <c r="C67" s="23"/>
      <c r="D67" s="21"/>
      <c r="E67" s="21"/>
      <c r="F67" s="15" t="str">
        <f t="shared" si="4"/>
        <v/>
      </c>
      <c r="G67" s="22"/>
      <c r="H67" s="23"/>
      <c r="I67" s="24"/>
      <c r="J67" s="24"/>
      <c r="K67" s="15" t="str">
        <f t="shared" si="1"/>
        <v/>
      </c>
      <c r="L67" s="28"/>
      <c r="M67" s="23"/>
      <c r="N67" s="24"/>
      <c r="O67" s="24"/>
      <c r="P67" s="15" t="str">
        <f t="shared" si="2"/>
        <v/>
      </c>
      <c r="Q67" s="23"/>
      <c r="R67" s="23"/>
      <c r="S67" s="24"/>
      <c r="T67" s="24"/>
      <c r="U67" s="15" t="str">
        <f t="shared" si="3"/>
        <v/>
      </c>
      <c r="V67" s="2"/>
    </row>
    <row r="68" spans="1:22" ht="28.5" x14ac:dyDescent="0.45">
      <c r="A68" s="30"/>
      <c r="B68" s="20"/>
      <c r="C68" s="23"/>
      <c r="D68" s="21"/>
      <c r="E68" s="21"/>
      <c r="F68" s="15" t="str">
        <f t="shared" si="4"/>
        <v/>
      </c>
      <c r="G68" s="22"/>
      <c r="H68" s="23"/>
      <c r="I68" s="24"/>
      <c r="J68" s="24"/>
      <c r="K68" s="15" t="str">
        <f t="shared" si="1"/>
        <v/>
      </c>
      <c r="L68" s="28"/>
      <c r="M68" s="23"/>
      <c r="N68" s="24"/>
      <c r="O68" s="24"/>
      <c r="P68" s="15" t="str">
        <f t="shared" si="2"/>
        <v/>
      </c>
      <c r="Q68" s="23"/>
      <c r="R68" s="23"/>
      <c r="S68" s="24"/>
      <c r="T68" s="24"/>
      <c r="U68" s="15" t="str">
        <f t="shared" si="3"/>
        <v/>
      </c>
      <c r="V68" s="2"/>
    </row>
    <row r="69" spans="1:22" ht="28.5" x14ac:dyDescent="0.45">
      <c r="A69" s="30"/>
      <c r="B69" s="20"/>
      <c r="C69" s="23"/>
      <c r="D69" s="21"/>
      <c r="E69" s="21"/>
      <c r="F69" s="15" t="str">
        <f t="shared" si="4"/>
        <v/>
      </c>
      <c r="G69" s="22"/>
      <c r="H69" s="23"/>
      <c r="I69" s="24"/>
      <c r="J69" s="24"/>
      <c r="K69" s="15" t="str">
        <f t="shared" si="1"/>
        <v/>
      </c>
      <c r="L69" s="28"/>
      <c r="M69" s="23"/>
      <c r="N69" s="24"/>
      <c r="O69" s="24"/>
      <c r="P69" s="15" t="str">
        <f t="shared" si="2"/>
        <v/>
      </c>
      <c r="Q69" s="23"/>
      <c r="R69" s="23"/>
      <c r="S69" s="24"/>
      <c r="T69" s="24"/>
      <c r="U69" s="15" t="str">
        <f t="shared" si="3"/>
        <v/>
      </c>
      <c r="V69" s="2"/>
    </row>
    <row r="70" spans="1:22" ht="28.5" x14ac:dyDescent="0.45">
      <c r="A70" s="30"/>
      <c r="B70" s="20"/>
      <c r="C70" s="23"/>
      <c r="D70" s="21"/>
      <c r="E70" s="21"/>
      <c r="F70" s="15" t="str">
        <f t="shared" si="4"/>
        <v/>
      </c>
      <c r="G70" s="22"/>
      <c r="H70" s="23"/>
      <c r="I70" s="24"/>
      <c r="J70" s="24"/>
      <c r="K70" s="15" t="str">
        <f t="shared" si="1"/>
        <v/>
      </c>
      <c r="L70" s="28"/>
      <c r="M70" s="23"/>
      <c r="N70" s="24"/>
      <c r="O70" s="24"/>
      <c r="P70" s="15" t="str">
        <f t="shared" si="2"/>
        <v/>
      </c>
      <c r="Q70" s="23"/>
      <c r="R70" s="23"/>
      <c r="S70" s="24"/>
      <c r="T70" s="24"/>
      <c r="U70" s="15" t="str">
        <f t="shared" si="3"/>
        <v/>
      </c>
      <c r="V70" s="2"/>
    </row>
    <row r="71" spans="1:22" ht="28.5" x14ac:dyDescent="0.45">
      <c r="A71" s="30"/>
      <c r="B71" s="20"/>
      <c r="C71" s="23"/>
      <c r="D71" s="21"/>
      <c r="E71" s="21"/>
      <c r="F71" s="15" t="str">
        <f t="shared" si="4"/>
        <v/>
      </c>
      <c r="G71" s="22"/>
      <c r="H71" s="23"/>
      <c r="I71" s="24"/>
      <c r="J71" s="24"/>
      <c r="K71" s="15" t="str">
        <f t="shared" si="1"/>
        <v/>
      </c>
      <c r="L71" s="28"/>
      <c r="M71" s="23"/>
      <c r="N71" s="24"/>
      <c r="O71" s="24"/>
      <c r="P71" s="15" t="str">
        <f t="shared" si="2"/>
        <v/>
      </c>
      <c r="Q71" s="23"/>
      <c r="R71" s="23"/>
      <c r="S71" s="24"/>
      <c r="T71" s="24"/>
      <c r="U71" s="15" t="str">
        <f t="shared" si="3"/>
        <v/>
      </c>
      <c r="V71" s="2"/>
    </row>
    <row r="72" spans="1:22" ht="28.5" x14ac:dyDescent="0.45">
      <c r="A72" s="30"/>
      <c r="B72" s="20"/>
      <c r="C72" s="23"/>
      <c r="D72" s="21"/>
      <c r="E72" s="21"/>
      <c r="F72" s="15" t="str">
        <f t="shared" si="4"/>
        <v/>
      </c>
      <c r="G72" s="22"/>
      <c r="H72" s="23"/>
      <c r="I72" s="24"/>
      <c r="J72" s="24"/>
      <c r="K72" s="15" t="str">
        <f t="shared" si="1"/>
        <v/>
      </c>
      <c r="L72" s="28"/>
      <c r="M72" s="23"/>
      <c r="N72" s="24"/>
      <c r="O72" s="24"/>
      <c r="P72" s="15" t="str">
        <f t="shared" si="2"/>
        <v/>
      </c>
      <c r="Q72" s="23"/>
      <c r="R72" s="23"/>
      <c r="S72" s="24"/>
      <c r="T72" s="24"/>
      <c r="U72" s="15" t="str">
        <f t="shared" si="3"/>
        <v/>
      </c>
      <c r="V72" s="2"/>
    </row>
    <row r="73" spans="1:22" ht="28.5" x14ac:dyDescent="0.45">
      <c r="A73" s="30"/>
      <c r="B73" s="20"/>
      <c r="C73" s="23"/>
      <c r="D73" s="21"/>
      <c r="E73" s="21"/>
      <c r="F73" s="15" t="str">
        <f t="shared" si="4"/>
        <v/>
      </c>
      <c r="G73" s="22"/>
      <c r="H73" s="23"/>
      <c r="I73" s="24"/>
      <c r="J73" s="24"/>
      <c r="K73" s="15" t="str">
        <f t="shared" si="1"/>
        <v/>
      </c>
      <c r="L73" s="28"/>
      <c r="M73" s="23"/>
      <c r="N73" s="24"/>
      <c r="O73" s="24"/>
      <c r="P73" s="15" t="str">
        <f t="shared" si="2"/>
        <v/>
      </c>
      <c r="Q73" s="23"/>
      <c r="R73" s="23"/>
      <c r="S73" s="24"/>
      <c r="T73" s="24"/>
      <c r="U73" s="15" t="str">
        <f t="shared" si="3"/>
        <v/>
      </c>
      <c r="V73" s="2"/>
    </row>
    <row r="74" spans="1:22" ht="28.5" x14ac:dyDescent="0.45">
      <c r="A74" s="30"/>
      <c r="B74" s="20"/>
      <c r="C74" s="23"/>
      <c r="D74" s="21"/>
      <c r="E74" s="21"/>
      <c r="F74" s="15" t="str">
        <f t="shared" si="4"/>
        <v/>
      </c>
      <c r="G74" s="22"/>
      <c r="H74" s="23"/>
      <c r="I74" s="24"/>
      <c r="J74" s="24"/>
      <c r="K74" s="15" t="str">
        <f t="shared" si="1"/>
        <v/>
      </c>
      <c r="L74" s="28"/>
      <c r="M74" s="23"/>
      <c r="N74" s="24"/>
      <c r="O74" s="24"/>
      <c r="P74" s="15" t="str">
        <f t="shared" si="2"/>
        <v/>
      </c>
      <c r="Q74" s="23"/>
      <c r="R74" s="23"/>
      <c r="S74" s="24"/>
      <c r="T74" s="24"/>
      <c r="U74" s="15" t="str">
        <f t="shared" si="3"/>
        <v/>
      </c>
      <c r="V74" s="2"/>
    </row>
    <row r="75" spans="1:22" ht="28.5" x14ac:dyDescent="0.45">
      <c r="A75" s="30"/>
      <c r="B75" s="20"/>
      <c r="C75" s="23"/>
      <c r="D75" s="21"/>
      <c r="E75" s="21"/>
      <c r="F75" s="15" t="str">
        <f t="shared" si="4"/>
        <v/>
      </c>
      <c r="G75" s="22"/>
      <c r="H75" s="23"/>
      <c r="I75" s="24"/>
      <c r="J75" s="24"/>
      <c r="K75" s="15" t="str">
        <f t="shared" si="1"/>
        <v/>
      </c>
      <c r="L75" s="28"/>
      <c r="M75" s="23"/>
      <c r="N75" s="24"/>
      <c r="O75" s="24"/>
      <c r="P75" s="15" t="str">
        <f t="shared" si="2"/>
        <v/>
      </c>
      <c r="Q75" s="23"/>
      <c r="R75" s="23"/>
      <c r="S75" s="24"/>
      <c r="T75" s="24"/>
      <c r="U75" s="15" t="str">
        <f t="shared" si="3"/>
        <v/>
      </c>
      <c r="V75" s="2"/>
    </row>
    <row r="76" spans="1:22" ht="28.5" x14ac:dyDescent="0.45">
      <c r="A76" s="30"/>
      <c r="B76" s="20"/>
      <c r="C76" s="23"/>
      <c r="D76" s="21"/>
      <c r="E76" s="21"/>
      <c r="F76" s="15" t="str">
        <f t="shared" si="4"/>
        <v/>
      </c>
      <c r="G76" s="22"/>
      <c r="H76" s="23"/>
      <c r="I76" s="24"/>
      <c r="J76" s="24"/>
      <c r="K76" s="15" t="str">
        <f t="shared" si="1"/>
        <v/>
      </c>
      <c r="L76" s="28"/>
      <c r="M76" s="23"/>
      <c r="N76" s="24"/>
      <c r="O76" s="24"/>
      <c r="P76" s="15" t="str">
        <f t="shared" si="2"/>
        <v/>
      </c>
      <c r="Q76" s="23"/>
      <c r="R76" s="23"/>
      <c r="S76" s="24"/>
      <c r="T76" s="24"/>
      <c r="U76" s="15" t="str">
        <f t="shared" si="3"/>
        <v/>
      </c>
      <c r="V76" s="2"/>
    </row>
    <row r="77" spans="1:22" ht="28.5" x14ac:dyDescent="0.45">
      <c r="A77" s="30"/>
      <c r="B77" s="20"/>
      <c r="C77" s="23"/>
      <c r="D77" s="21"/>
      <c r="E77" s="21"/>
      <c r="F77" s="15" t="str">
        <f t="shared" si="4"/>
        <v/>
      </c>
      <c r="G77" s="22"/>
      <c r="H77" s="23"/>
      <c r="I77" s="24"/>
      <c r="J77" s="24"/>
      <c r="K77" s="15" t="str">
        <f t="shared" si="1"/>
        <v/>
      </c>
      <c r="L77" s="28"/>
      <c r="M77" s="23"/>
      <c r="N77" s="24"/>
      <c r="O77" s="24"/>
      <c r="P77" s="15" t="str">
        <f t="shared" si="2"/>
        <v/>
      </c>
      <c r="Q77" s="23"/>
      <c r="R77" s="23"/>
      <c r="S77" s="24"/>
      <c r="T77" s="24"/>
      <c r="U77" s="15" t="str">
        <f t="shared" si="3"/>
        <v/>
      </c>
      <c r="V77" s="2"/>
    </row>
    <row r="78" spans="1:22" ht="28.5" x14ac:dyDescent="0.45">
      <c r="A78" s="30"/>
      <c r="B78" s="20"/>
      <c r="C78" s="23"/>
      <c r="D78" s="21"/>
      <c r="E78" s="21"/>
      <c r="F78" s="15" t="str">
        <f t="shared" si="4"/>
        <v/>
      </c>
      <c r="G78" s="22"/>
      <c r="H78" s="23"/>
      <c r="I78" s="24"/>
      <c r="J78" s="24"/>
      <c r="K78" s="15" t="str">
        <f t="shared" si="1"/>
        <v/>
      </c>
      <c r="L78" s="28"/>
      <c r="M78" s="23"/>
      <c r="N78" s="24"/>
      <c r="O78" s="24"/>
      <c r="P78" s="15" t="str">
        <f t="shared" si="2"/>
        <v/>
      </c>
      <c r="Q78" s="23"/>
      <c r="R78" s="23"/>
      <c r="S78" s="24"/>
      <c r="T78" s="24"/>
      <c r="U78" s="15" t="str">
        <f t="shared" si="3"/>
        <v/>
      </c>
      <c r="V78" s="2"/>
    </row>
    <row r="79" spans="1:22" ht="28.5" x14ac:dyDescent="0.45">
      <c r="A79" s="30"/>
      <c r="B79" s="20"/>
      <c r="C79" s="23"/>
      <c r="D79" s="21"/>
      <c r="E79" s="21"/>
      <c r="F79" s="15" t="str">
        <f t="shared" ref="F79:F99" si="5">IF(D79="","",IF(E79&lt;&gt;"",(E79-D79)/D79,""))</f>
        <v/>
      </c>
      <c r="G79" s="22"/>
      <c r="H79" s="23"/>
      <c r="I79" s="24"/>
      <c r="J79" s="24"/>
      <c r="K79" s="15" t="str">
        <f t="shared" ref="K79:K100" si="6">IF(I79="","",IF(J79&lt;&gt;"",(J79-I79)/I79,""))</f>
        <v/>
      </c>
      <c r="L79" s="28"/>
      <c r="M79" s="23"/>
      <c r="N79" s="24"/>
      <c r="O79" s="24"/>
      <c r="P79" s="15" t="str">
        <f t="shared" ref="P79:P99" si="7">IF(N79="","",IF(O79&lt;&gt;"",(O79-N79)/N79,""))</f>
        <v/>
      </c>
      <c r="Q79" s="23"/>
      <c r="R79" s="23"/>
      <c r="S79" s="24"/>
      <c r="T79" s="24"/>
      <c r="U79" s="15" t="str">
        <f t="shared" ref="U79:U99" si="8">IF(S79="","",IF(T79&lt;&gt;"",(T79-S79)/S79,""))</f>
        <v/>
      </c>
      <c r="V79" s="2"/>
    </row>
    <row r="80" spans="1:22" ht="28.5" x14ac:dyDescent="0.45">
      <c r="A80" s="30"/>
      <c r="B80" s="20"/>
      <c r="C80" s="23"/>
      <c r="D80" s="21"/>
      <c r="E80" s="21"/>
      <c r="F80" s="15" t="str">
        <f t="shared" si="5"/>
        <v/>
      </c>
      <c r="G80" s="22"/>
      <c r="H80" s="23"/>
      <c r="I80" s="24"/>
      <c r="J80" s="24"/>
      <c r="K80" s="15" t="str">
        <f t="shared" si="6"/>
        <v/>
      </c>
      <c r="L80" s="28"/>
      <c r="M80" s="23"/>
      <c r="N80" s="24"/>
      <c r="O80" s="24"/>
      <c r="P80" s="15" t="str">
        <f t="shared" si="7"/>
        <v/>
      </c>
      <c r="Q80" s="23"/>
      <c r="R80" s="23"/>
      <c r="S80" s="24"/>
      <c r="T80" s="24"/>
      <c r="U80" s="15" t="str">
        <f t="shared" si="8"/>
        <v/>
      </c>
      <c r="V80" s="2"/>
    </row>
    <row r="81" spans="1:22" ht="28.5" x14ac:dyDescent="0.45">
      <c r="A81" s="30"/>
      <c r="B81" s="20"/>
      <c r="C81" s="23"/>
      <c r="D81" s="21"/>
      <c r="E81" s="21"/>
      <c r="F81" s="15" t="str">
        <f t="shared" si="5"/>
        <v/>
      </c>
      <c r="G81" s="22"/>
      <c r="H81" s="23"/>
      <c r="I81" s="24"/>
      <c r="J81" s="24"/>
      <c r="K81" s="15" t="str">
        <f t="shared" si="6"/>
        <v/>
      </c>
      <c r="L81" s="28"/>
      <c r="M81" s="23"/>
      <c r="N81" s="24"/>
      <c r="O81" s="24"/>
      <c r="P81" s="15" t="str">
        <f t="shared" si="7"/>
        <v/>
      </c>
      <c r="Q81" s="23"/>
      <c r="R81" s="23"/>
      <c r="S81" s="24"/>
      <c r="T81" s="24"/>
      <c r="U81" s="15" t="str">
        <f t="shared" si="8"/>
        <v/>
      </c>
      <c r="V81" s="2"/>
    </row>
    <row r="82" spans="1:22" ht="28.5" x14ac:dyDescent="0.45">
      <c r="A82" s="30"/>
      <c r="B82" s="20"/>
      <c r="C82" s="23"/>
      <c r="D82" s="21"/>
      <c r="E82" s="21"/>
      <c r="F82" s="15" t="str">
        <f t="shared" si="5"/>
        <v/>
      </c>
      <c r="G82" s="22"/>
      <c r="H82" s="23"/>
      <c r="I82" s="24"/>
      <c r="J82" s="24"/>
      <c r="K82" s="15" t="str">
        <f t="shared" si="6"/>
        <v/>
      </c>
      <c r="L82" s="28"/>
      <c r="M82" s="23"/>
      <c r="N82" s="24"/>
      <c r="O82" s="24"/>
      <c r="P82" s="15" t="str">
        <f t="shared" si="7"/>
        <v/>
      </c>
      <c r="Q82" s="23"/>
      <c r="R82" s="23"/>
      <c r="S82" s="24"/>
      <c r="T82" s="24"/>
      <c r="U82" s="15" t="str">
        <f t="shared" si="8"/>
        <v/>
      </c>
      <c r="V82" s="2"/>
    </row>
    <row r="83" spans="1:22" ht="28.5" x14ac:dyDescent="0.45">
      <c r="A83" s="30"/>
      <c r="B83" s="20"/>
      <c r="C83" s="23"/>
      <c r="D83" s="21"/>
      <c r="E83" s="21"/>
      <c r="F83" s="15" t="str">
        <f t="shared" si="5"/>
        <v/>
      </c>
      <c r="G83" s="22"/>
      <c r="H83" s="23"/>
      <c r="I83" s="24"/>
      <c r="J83" s="24"/>
      <c r="K83" s="15" t="str">
        <f t="shared" si="6"/>
        <v/>
      </c>
      <c r="L83" s="28"/>
      <c r="M83" s="23"/>
      <c r="N83" s="24"/>
      <c r="O83" s="24"/>
      <c r="P83" s="15" t="str">
        <f t="shared" si="7"/>
        <v/>
      </c>
      <c r="Q83" s="23"/>
      <c r="R83" s="23"/>
      <c r="S83" s="24"/>
      <c r="T83" s="24"/>
      <c r="U83" s="15" t="str">
        <f t="shared" si="8"/>
        <v/>
      </c>
      <c r="V83" s="2"/>
    </row>
    <row r="84" spans="1:22" ht="28.5" x14ac:dyDescent="0.45">
      <c r="A84" s="30"/>
      <c r="B84" s="20"/>
      <c r="C84" s="23"/>
      <c r="D84" s="21"/>
      <c r="E84" s="21"/>
      <c r="F84" s="15" t="str">
        <f t="shared" si="5"/>
        <v/>
      </c>
      <c r="G84" s="22"/>
      <c r="H84" s="23"/>
      <c r="I84" s="24"/>
      <c r="J84" s="24"/>
      <c r="K84" s="15" t="str">
        <f t="shared" si="6"/>
        <v/>
      </c>
      <c r="L84" s="28"/>
      <c r="M84" s="23"/>
      <c r="N84" s="24"/>
      <c r="O84" s="24"/>
      <c r="P84" s="15" t="str">
        <f t="shared" si="7"/>
        <v/>
      </c>
      <c r="Q84" s="23"/>
      <c r="R84" s="23"/>
      <c r="S84" s="24"/>
      <c r="T84" s="24"/>
      <c r="U84" s="15" t="str">
        <f t="shared" si="8"/>
        <v/>
      </c>
      <c r="V84" s="2"/>
    </row>
    <row r="85" spans="1:22" ht="28.5" x14ac:dyDescent="0.45">
      <c r="A85" s="30"/>
      <c r="B85" s="20"/>
      <c r="C85" s="23"/>
      <c r="D85" s="21"/>
      <c r="E85" s="21"/>
      <c r="F85" s="15" t="str">
        <f t="shared" si="5"/>
        <v/>
      </c>
      <c r="G85" s="22"/>
      <c r="H85" s="23"/>
      <c r="I85" s="24"/>
      <c r="J85" s="24"/>
      <c r="K85" s="15" t="str">
        <f t="shared" si="6"/>
        <v/>
      </c>
      <c r="L85" s="28"/>
      <c r="M85" s="23"/>
      <c r="N85" s="24"/>
      <c r="O85" s="24"/>
      <c r="P85" s="15" t="str">
        <f t="shared" si="7"/>
        <v/>
      </c>
      <c r="Q85" s="23"/>
      <c r="R85" s="23"/>
      <c r="S85" s="24"/>
      <c r="T85" s="24"/>
      <c r="U85" s="15" t="str">
        <f t="shared" si="8"/>
        <v/>
      </c>
      <c r="V85" s="2"/>
    </row>
    <row r="86" spans="1:22" ht="28.5" x14ac:dyDescent="0.45">
      <c r="A86" s="30"/>
      <c r="B86" s="20"/>
      <c r="C86" s="23"/>
      <c r="D86" s="21"/>
      <c r="E86" s="21"/>
      <c r="F86" s="15" t="str">
        <f t="shared" si="5"/>
        <v/>
      </c>
      <c r="G86" s="22"/>
      <c r="H86" s="23"/>
      <c r="I86" s="24"/>
      <c r="J86" s="24"/>
      <c r="K86" s="15" t="str">
        <f t="shared" si="6"/>
        <v/>
      </c>
      <c r="L86" s="28"/>
      <c r="M86" s="23"/>
      <c r="N86" s="24"/>
      <c r="O86" s="24"/>
      <c r="P86" s="15" t="str">
        <f t="shared" si="7"/>
        <v/>
      </c>
      <c r="Q86" s="23"/>
      <c r="R86" s="23"/>
      <c r="S86" s="24"/>
      <c r="T86" s="24"/>
      <c r="U86" s="15" t="str">
        <f t="shared" si="8"/>
        <v/>
      </c>
      <c r="V86" s="2"/>
    </row>
    <row r="87" spans="1:22" ht="28.5" x14ac:dyDescent="0.45">
      <c r="A87" s="30"/>
      <c r="B87" s="20"/>
      <c r="C87" s="23"/>
      <c r="D87" s="21"/>
      <c r="E87" s="21"/>
      <c r="F87" s="15" t="str">
        <f t="shared" si="5"/>
        <v/>
      </c>
      <c r="G87" s="22"/>
      <c r="H87" s="23"/>
      <c r="I87" s="24"/>
      <c r="J87" s="24"/>
      <c r="K87" s="15" t="str">
        <f t="shared" si="6"/>
        <v/>
      </c>
      <c r="L87" s="28"/>
      <c r="M87" s="23"/>
      <c r="N87" s="24"/>
      <c r="O87" s="24"/>
      <c r="P87" s="15" t="str">
        <f t="shared" si="7"/>
        <v/>
      </c>
      <c r="Q87" s="23"/>
      <c r="R87" s="23"/>
      <c r="S87" s="24"/>
      <c r="T87" s="24"/>
      <c r="U87" s="15" t="str">
        <f t="shared" si="8"/>
        <v/>
      </c>
      <c r="V87" s="2"/>
    </row>
    <row r="88" spans="1:22" ht="28.5" x14ac:dyDescent="0.45">
      <c r="A88" s="30"/>
      <c r="B88" s="20"/>
      <c r="C88" s="23"/>
      <c r="D88" s="21"/>
      <c r="E88" s="21"/>
      <c r="F88" s="15" t="str">
        <f t="shared" si="5"/>
        <v/>
      </c>
      <c r="G88" s="22"/>
      <c r="H88" s="23"/>
      <c r="I88" s="24"/>
      <c r="J88" s="24"/>
      <c r="K88" s="15" t="str">
        <f t="shared" si="6"/>
        <v/>
      </c>
      <c r="L88" s="28"/>
      <c r="M88" s="23"/>
      <c r="N88" s="24"/>
      <c r="O88" s="24"/>
      <c r="P88" s="15" t="str">
        <f t="shared" si="7"/>
        <v/>
      </c>
      <c r="Q88" s="23"/>
      <c r="R88" s="23"/>
      <c r="S88" s="24"/>
      <c r="T88" s="24"/>
      <c r="U88" s="15" t="str">
        <f t="shared" si="8"/>
        <v/>
      </c>
      <c r="V88" s="2"/>
    </row>
    <row r="89" spans="1:22" ht="28.5" x14ac:dyDescent="0.45">
      <c r="A89" s="30"/>
      <c r="B89" s="20"/>
      <c r="C89" s="23"/>
      <c r="D89" s="21"/>
      <c r="E89" s="21"/>
      <c r="F89" s="15" t="str">
        <f t="shared" si="5"/>
        <v/>
      </c>
      <c r="G89" s="22"/>
      <c r="H89" s="23"/>
      <c r="I89" s="24"/>
      <c r="J89" s="24"/>
      <c r="K89" s="15" t="str">
        <f t="shared" si="6"/>
        <v/>
      </c>
      <c r="L89" s="28"/>
      <c r="M89" s="23"/>
      <c r="N89" s="24"/>
      <c r="O89" s="24"/>
      <c r="P89" s="15" t="str">
        <f t="shared" si="7"/>
        <v/>
      </c>
      <c r="Q89" s="23"/>
      <c r="R89" s="23"/>
      <c r="S89" s="24"/>
      <c r="T89" s="24"/>
      <c r="U89" s="15" t="str">
        <f t="shared" si="8"/>
        <v/>
      </c>
      <c r="V89" s="2"/>
    </row>
    <row r="90" spans="1:22" ht="28.5" x14ac:dyDescent="0.45">
      <c r="A90" s="30"/>
      <c r="B90" s="20"/>
      <c r="C90" s="23"/>
      <c r="D90" s="21"/>
      <c r="E90" s="21"/>
      <c r="F90" s="15" t="str">
        <f t="shared" si="5"/>
        <v/>
      </c>
      <c r="G90" s="22"/>
      <c r="H90" s="23"/>
      <c r="I90" s="24"/>
      <c r="J90" s="24"/>
      <c r="K90" s="15" t="str">
        <f t="shared" si="6"/>
        <v/>
      </c>
      <c r="L90" s="28"/>
      <c r="M90" s="23"/>
      <c r="N90" s="24"/>
      <c r="O90" s="24"/>
      <c r="P90" s="15" t="str">
        <f t="shared" si="7"/>
        <v/>
      </c>
      <c r="Q90" s="23"/>
      <c r="R90" s="23"/>
      <c r="S90" s="24"/>
      <c r="T90" s="24"/>
      <c r="U90" s="15" t="str">
        <f t="shared" si="8"/>
        <v/>
      </c>
      <c r="V90" s="2"/>
    </row>
    <row r="91" spans="1:22" ht="28.5" x14ac:dyDescent="0.45">
      <c r="A91" s="30"/>
      <c r="B91" s="20"/>
      <c r="C91" s="23"/>
      <c r="D91" s="21"/>
      <c r="E91" s="21"/>
      <c r="F91" s="15" t="str">
        <f t="shared" si="5"/>
        <v/>
      </c>
      <c r="G91" s="22"/>
      <c r="H91" s="23"/>
      <c r="I91" s="24"/>
      <c r="J91" s="24"/>
      <c r="K91" s="15" t="str">
        <f t="shared" si="6"/>
        <v/>
      </c>
      <c r="L91" s="28"/>
      <c r="M91" s="23"/>
      <c r="N91" s="24"/>
      <c r="O91" s="24"/>
      <c r="P91" s="15" t="str">
        <f t="shared" si="7"/>
        <v/>
      </c>
      <c r="Q91" s="23"/>
      <c r="R91" s="23"/>
      <c r="S91" s="24"/>
      <c r="T91" s="24"/>
      <c r="U91" s="15" t="str">
        <f t="shared" si="8"/>
        <v/>
      </c>
      <c r="V91" s="2"/>
    </row>
    <row r="92" spans="1:22" ht="28.5" x14ac:dyDescent="0.45">
      <c r="A92" s="30"/>
      <c r="B92" s="20"/>
      <c r="C92" s="23"/>
      <c r="D92" s="21"/>
      <c r="E92" s="21"/>
      <c r="F92" s="15" t="str">
        <f t="shared" si="5"/>
        <v/>
      </c>
      <c r="G92" s="22"/>
      <c r="H92" s="23"/>
      <c r="I92" s="24"/>
      <c r="J92" s="24"/>
      <c r="K92" s="15" t="str">
        <f t="shared" si="6"/>
        <v/>
      </c>
      <c r="L92" s="28"/>
      <c r="M92" s="23"/>
      <c r="N92" s="24"/>
      <c r="O92" s="24"/>
      <c r="P92" s="15" t="str">
        <f t="shared" si="7"/>
        <v/>
      </c>
      <c r="Q92" s="23"/>
      <c r="R92" s="23"/>
      <c r="S92" s="24"/>
      <c r="T92" s="24"/>
      <c r="U92" s="15" t="str">
        <f t="shared" si="8"/>
        <v/>
      </c>
      <c r="V92" s="2"/>
    </row>
    <row r="93" spans="1:22" ht="28.5" x14ac:dyDescent="0.45">
      <c r="A93" s="30"/>
      <c r="B93" s="20"/>
      <c r="C93" s="23"/>
      <c r="D93" s="21"/>
      <c r="E93" s="21"/>
      <c r="F93" s="15" t="str">
        <f t="shared" si="5"/>
        <v/>
      </c>
      <c r="G93" s="22"/>
      <c r="H93" s="23"/>
      <c r="I93" s="24"/>
      <c r="J93" s="24"/>
      <c r="K93" s="15" t="str">
        <f t="shared" si="6"/>
        <v/>
      </c>
      <c r="L93" s="28"/>
      <c r="M93" s="23"/>
      <c r="N93" s="24"/>
      <c r="O93" s="24"/>
      <c r="P93" s="15" t="str">
        <f t="shared" si="7"/>
        <v/>
      </c>
      <c r="Q93" s="23"/>
      <c r="R93" s="23"/>
      <c r="S93" s="24"/>
      <c r="T93" s="24"/>
      <c r="U93" s="15" t="str">
        <f t="shared" si="8"/>
        <v/>
      </c>
      <c r="V93" s="2"/>
    </row>
    <row r="94" spans="1:22" ht="28.5" x14ac:dyDescent="0.45">
      <c r="A94" s="30"/>
      <c r="B94" s="20"/>
      <c r="C94" s="23"/>
      <c r="D94" s="21"/>
      <c r="E94" s="21"/>
      <c r="F94" s="15" t="str">
        <f t="shared" si="5"/>
        <v/>
      </c>
      <c r="G94" s="22"/>
      <c r="H94" s="23"/>
      <c r="I94" s="24"/>
      <c r="J94" s="24"/>
      <c r="K94" s="15" t="str">
        <f t="shared" si="6"/>
        <v/>
      </c>
      <c r="L94" s="28"/>
      <c r="M94" s="23"/>
      <c r="N94" s="24"/>
      <c r="O94" s="24"/>
      <c r="P94" s="15" t="str">
        <f t="shared" si="7"/>
        <v/>
      </c>
      <c r="Q94" s="23"/>
      <c r="R94" s="23"/>
      <c r="S94" s="24"/>
      <c r="T94" s="24"/>
      <c r="U94" s="15" t="str">
        <f t="shared" si="8"/>
        <v/>
      </c>
      <c r="V94" s="2"/>
    </row>
    <row r="95" spans="1:22" ht="28.5" x14ac:dyDescent="0.45">
      <c r="A95" s="30"/>
      <c r="B95" s="20"/>
      <c r="C95" s="23"/>
      <c r="D95" s="21"/>
      <c r="E95" s="21"/>
      <c r="F95" s="15" t="str">
        <f t="shared" si="5"/>
        <v/>
      </c>
      <c r="G95" s="22"/>
      <c r="H95" s="23"/>
      <c r="I95" s="24"/>
      <c r="J95" s="24"/>
      <c r="K95" s="15" t="str">
        <f t="shared" si="6"/>
        <v/>
      </c>
      <c r="L95" s="28"/>
      <c r="M95" s="23"/>
      <c r="N95" s="24"/>
      <c r="O95" s="24"/>
      <c r="P95" s="15" t="str">
        <f t="shared" si="7"/>
        <v/>
      </c>
      <c r="Q95" s="23"/>
      <c r="R95" s="23"/>
      <c r="S95" s="24"/>
      <c r="T95" s="24"/>
      <c r="U95" s="15" t="str">
        <f t="shared" si="8"/>
        <v/>
      </c>
      <c r="V95" s="2"/>
    </row>
    <row r="96" spans="1:22" ht="28.5" x14ac:dyDescent="0.45">
      <c r="A96" s="30"/>
      <c r="B96" s="20"/>
      <c r="C96" s="23"/>
      <c r="D96" s="21"/>
      <c r="E96" s="21"/>
      <c r="F96" s="15" t="str">
        <f t="shared" si="5"/>
        <v/>
      </c>
      <c r="G96" s="22"/>
      <c r="H96" s="23"/>
      <c r="I96" s="24"/>
      <c r="J96" s="24"/>
      <c r="K96" s="15" t="str">
        <f t="shared" si="6"/>
        <v/>
      </c>
      <c r="L96" s="28"/>
      <c r="M96" s="23"/>
      <c r="N96" s="24"/>
      <c r="O96" s="24"/>
      <c r="P96" s="15" t="str">
        <f t="shared" si="7"/>
        <v/>
      </c>
      <c r="Q96" s="23"/>
      <c r="R96" s="23"/>
      <c r="S96" s="24"/>
      <c r="T96" s="24"/>
      <c r="U96" s="15" t="str">
        <f t="shared" si="8"/>
        <v/>
      </c>
      <c r="V96" s="2"/>
    </row>
    <row r="97" spans="1:22" ht="28.5" x14ac:dyDescent="0.45">
      <c r="A97" s="30"/>
      <c r="B97" s="20"/>
      <c r="C97" s="23"/>
      <c r="D97" s="21"/>
      <c r="E97" s="21"/>
      <c r="F97" s="15" t="str">
        <f t="shared" si="5"/>
        <v/>
      </c>
      <c r="G97" s="22"/>
      <c r="H97" s="23"/>
      <c r="I97" s="24"/>
      <c r="J97" s="24"/>
      <c r="K97" s="15" t="str">
        <f t="shared" si="6"/>
        <v/>
      </c>
      <c r="L97" s="28"/>
      <c r="M97" s="23"/>
      <c r="N97" s="24"/>
      <c r="O97" s="24"/>
      <c r="P97" s="15" t="str">
        <f t="shared" si="7"/>
        <v/>
      </c>
      <c r="Q97" s="23"/>
      <c r="R97" s="23"/>
      <c r="S97" s="24"/>
      <c r="T97" s="24"/>
      <c r="U97" s="15" t="str">
        <f t="shared" si="8"/>
        <v/>
      </c>
      <c r="V97" s="2"/>
    </row>
    <row r="98" spans="1:22" ht="28.5" x14ac:dyDescent="0.45">
      <c r="A98" s="30"/>
      <c r="B98" s="20"/>
      <c r="C98" s="23"/>
      <c r="D98" s="21"/>
      <c r="E98" s="21"/>
      <c r="F98" s="15" t="str">
        <f t="shared" si="5"/>
        <v/>
      </c>
      <c r="G98" s="22"/>
      <c r="H98" s="23"/>
      <c r="I98" s="24"/>
      <c r="J98" s="24"/>
      <c r="K98" s="15" t="str">
        <f t="shared" si="6"/>
        <v/>
      </c>
      <c r="L98" s="28"/>
      <c r="M98" s="23"/>
      <c r="N98" s="24"/>
      <c r="O98" s="24"/>
      <c r="P98" s="15" t="str">
        <f t="shared" si="7"/>
        <v/>
      </c>
      <c r="Q98" s="23"/>
      <c r="R98" s="23"/>
      <c r="S98" s="24"/>
      <c r="T98" s="24"/>
      <c r="U98" s="15" t="str">
        <f t="shared" si="8"/>
        <v/>
      </c>
      <c r="V98" s="2"/>
    </row>
    <row r="99" spans="1:22" ht="28.5" x14ac:dyDescent="0.45">
      <c r="A99" s="30"/>
      <c r="B99" s="20"/>
      <c r="C99" s="23"/>
      <c r="D99" s="21"/>
      <c r="E99" s="21"/>
      <c r="F99" s="15" t="str">
        <f t="shared" si="5"/>
        <v/>
      </c>
      <c r="G99" s="22"/>
      <c r="H99" s="23"/>
      <c r="I99" s="24"/>
      <c r="J99" s="24"/>
      <c r="K99" s="15" t="str">
        <f t="shared" si="6"/>
        <v/>
      </c>
      <c r="L99" s="28"/>
      <c r="M99" s="23"/>
      <c r="N99" s="24"/>
      <c r="O99" s="24"/>
      <c r="P99" s="15" t="str">
        <f t="shared" si="7"/>
        <v/>
      </c>
      <c r="Q99" s="23"/>
      <c r="R99" s="23"/>
      <c r="S99" s="24"/>
      <c r="T99" s="24"/>
      <c r="U99" s="15" t="str">
        <f t="shared" si="8"/>
        <v/>
      </c>
      <c r="V99" s="2"/>
    </row>
    <row r="100" spans="1:22" ht="31.5" hidden="1" x14ac:dyDescent="0.5">
      <c r="A100" s="30">
        <f>(E100/Grapic!$J$14)*F100</f>
        <v>0</v>
      </c>
      <c r="F100">
        <v>362.18</v>
      </c>
      <c r="K100" s="14" t="str">
        <f t="shared" si="6"/>
        <v/>
      </c>
    </row>
  </sheetData>
  <mergeCells count="4">
    <mergeCell ref="B12:F12"/>
    <mergeCell ref="G12:K12"/>
    <mergeCell ref="L12:P12"/>
    <mergeCell ref="Q12:U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5FE09-62DE-4357-AEC0-0245160F56AB}">
  <sheetPr codeName="Planilha5"/>
  <dimension ref="A1:W105"/>
  <sheetViews>
    <sheetView zoomScale="34" zoomScaleNormal="34" workbookViewId="0">
      <pane ySplit="13" topLeftCell="A14" activePane="bottomLeft" state="frozen"/>
      <selection pane="bottomLeft" activeCell="G13" sqref="G13"/>
    </sheetView>
  </sheetViews>
  <sheetFormatPr defaultColWidth="0" defaultRowHeight="0" customHeight="1" zeroHeight="1" x14ac:dyDescent="0.25"/>
  <cols>
    <col min="1" max="1" width="13.140625" style="37" customWidth="1"/>
    <col min="2" max="2" width="44.140625" style="37" customWidth="1"/>
    <col min="3" max="3" width="67.28515625" style="37" customWidth="1"/>
    <col min="4" max="4" width="54.85546875" style="37" customWidth="1"/>
    <col min="5" max="5" width="29.7109375" style="37" customWidth="1"/>
    <col min="6" max="6" width="51.42578125" style="37" customWidth="1"/>
    <col min="7" max="7" width="61" style="37" customWidth="1"/>
    <col min="8" max="9" width="29.7109375" style="37" customWidth="1"/>
    <col min="10" max="10" width="61.5703125" style="37" customWidth="1"/>
    <col min="11" max="11" width="35.7109375" style="37" customWidth="1"/>
    <col min="12" max="12" width="45.7109375" style="37" customWidth="1"/>
    <col min="13" max="13" width="49" style="37" customWidth="1"/>
    <col min="14" max="14" width="45.140625" style="37" customWidth="1"/>
    <col min="15" max="15" width="35.7109375" style="37" customWidth="1"/>
    <col min="16" max="17" width="29.7109375" style="37" customWidth="1"/>
    <col min="18" max="18" width="33" style="37" bestFit="1" customWidth="1"/>
    <col min="19" max="19" width="30.7109375" style="37" customWidth="1"/>
    <col min="20" max="23" width="0" style="37" hidden="1" customWidth="1"/>
    <col min="24" max="16384" width="9.140625" style="37" hidden="1"/>
  </cols>
  <sheetData>
    <row r="1" spans="1:20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35"/>
    </row>
    <row r="2" spans="1:20" ht="15" x14ac:dyDescent="0.25">
      <c r="A2" s="35"/>
      <c r="B2" s="35"/>
      <c r="C2" s="35"/>
      <c r="D2" s="35"/>
      <c r="E2" s="35"/>
      <c r="F2" s="35"/>
      <c r="G2" s="35"/>
      <c r="H2" s="35" t="s">
        <v>3</v>
      </c>
      <c r="I2" s="35"/>
      <c r="J2" s="35"/>
      <c r="K2" s="35"/>
      <c r="L2" s="35"/>
      <c r="M2" s="38"/>
      <c r="N2" s="39"/>
      <c r="O2" s="39"/>
      <c r="P2" s="39"/>
      <c r="Q2" s="39"/>
      <c r="R2" s="40"/>
      <c r="S2" s="35"/>
    </row>
    <row r="3" spans="1:20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0"/>
      <c r="N3" s="39"/>
      <c r="O3" s="39"/>
      <c r="P3" s="39"/>
      <c r="Q3" s="39"/>
      <c r="R3" s="40"/>
      <c r="S3" s="35"/>
    </row>
    <row r="4" spans="1:20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0"/>
      <c r="N4" s="39"/>
      <c r="O4" s="39"/>
      <c r="P4" s="39"/>
      <c r="Q4" s="39"/>
      <c r="R4" s="40"/>
      <c r="S4" s="35"/>
    </row>
    <row r="5" spans="1:20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0"/>
      <c r="N5" s="39"/>
      <c r="O5" s="39"/>
      <c r="P5" s="39"/>
      <c r="Q5" s="39"/>
      <c r="R5" s="40"/>
      <c r="S5" s="35"/>
    </row>
    <row r="6" spans="1:20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0"/>
      <c r="N6" s="40"/>
      <c r="O6" s="40"/>
      <c r="P6" s="40"/>
      <c r="Q6" s="40"/>
      <c r="R6" s="40"/>
      <c r="S6" s="35"/>
    </row>
    <row r="7" spans="1:20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8"/>
      <c r="N7" s="38"/>
      <c r="O7" s="38"/>
      <c r="P7" s="38"/>
      <c r="Q7" s="38"/>
      <c r="R7" s="38"/>
      <c r="S7" s="35"/>
    </row>
    <row r="8" spans="1:20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8"/>
      <c r="N8" s="38"/>
      <c r="O8" s="38"/>
      <c r="P8" s="38"/>
      <c r="Q8" s="38"/>
      <c r="R8" s="38"/>
      <c r="S8" s="35"/>
    </row>
    <row r="9" spans="1:20" ht="28.5" x14ac:dyDescent="0.45">
      <c r="A9" s="35"/>
      <c r="B9" s="42"/>
      <c r="C9" s="42"/>
      <c r="D9" s="43"/>
      <c r="E9" s="43"/>
      <c r="F9" s="43"/>
      <c r="G9" s="43"/>
      <c r="H9" s="43"/>
      <c r="I9" s="43"/>
      <c r="J9" s="43"/>
      <c r="K9" s="43"/>
      <c r="L9" s="44"/>
      <c r="M9" s="43"/>
      <c r="N9" s="43"/>
      <c r="O9" s="43"/>
      <c r="P9" s="43"/>
      <c r="Q9" s="43"/>
      <c r="R9" s="43"/>
      <c r="S9" s="35"/>
    </row>
    <row r="10" spans="1:20" ht="28.5" x14ac:dyDescent="0.45">
      <c r="A10" s="35"/>
      <c r="B10" s="42" t="s">
        <v>0</v>
      </c>
      <c r="C10" s="42"/>
      <c r="D10" s="43"/>
      <c r="E10" s="43"/>
      <c r="F10" s="43"/>
      <c r="G10" s="43"/>
      <c r="H10" s="43"/>
      <c r="I10" s="45"/>
      <c r="J10" s="45"/>
      <c r="K10" s="45"/>
      <c r="L10" s="45"/>
      <c r="M10" s="46"/>
      <c r="N10" s="47"/>
      <c r="O10" s="47"/>
      <c r="P10" s="47"/>
      <c r="Q10" s="47"/>
      <c r="R10" s="47"/>
      <c r="S10" s="35"/>
    </row>
    <row r="11" spans="1:20" ht="92.25" x14ac:dyDescent="1.35">
      <c r="A11" s="35"/>
      <c r="B11" s="48"/>
      <c r="C11" s="48"/>
      <c r="D11" s="45"/>
      <c r="E11" s="45"/>
      <c r="F11" s="45"/>
      <c r="G11" s="45"/>
      <c r="H11" s="50"/>
      <c r="I11" s="51"/>
      <c r="J11" s="214"/>
      <c r="K11" s="214"/>
      <c r="L11" s="214"/>
      <c r="M11" s="214"/>
      <c r="N11" s="53"/>
      <c r="O11" s="45"/>
      <c r="P11" s="45"/>
      <c r="Q11" s="45"/>
      <c r="R11" s="45"/>
      <c r="S11" s="35"/>
    </row>
    <row r="12" spans="1:20" ht="93" thickBot="1" x14ac:dyDescent="1.4">
      <c r="A12" s="163"/>
      <c r="B12" s="214" t="s">
        <v>7</v>
      </c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25"/>
      <c r="N12" s="109"/>
      <c r="O12" s="224"/>
      <c r="P12" s="224"/>
      <c r="Q12" s="224"/>
      <c r="R12" s="224"/>
      <c r="S12" s="38"/>
    </row>
    <row r="13" spans="1:20" ht="39.75" thickBot="1" x14ac:dyDescent="0.65">
      <c r="A13" s="41"/>
      <c r="B13" s="144">
        <v>1</v>
      </c>
      <c r="C13" s="145">
        <v>2</v>
      </c>
      <c r="D13" s="145">
        <v>3</v>
      </c>
      <c r="E13" s="145">
        <v>4</v>
      </c>
      <c r="F13" s="147">
        <v>5</v>
      </c>
      <c r="G13" s="148">
        <v>6</v>
      </c>
      <c r="H13" s="135">
        <v>7</v>
      </c>
      <c r="I13" s="172">
        <v>8</v>
      </c>
      <c r="J13" s="172">
        <v>9</v>
      </c>
      <c r="K13" s="172">
        <v>10</v>
      </c>
      <c r="L13" s="172">
        <v>11</v>
      </c>
      <c r="M13" s="172">
        <v>12</v>
      </c>
      <c r="N13" s="172">
        <v>13</v>
      </c>
      <c r="O13" s="171">
        <v>14</v>
      </c>
      <c r="P13" s="130">
        <v>15</v>
      </c>
      <c r="Q13" s="130"/>
      <c r="R13" s="130"/>
      <c r="S13" s="38"/>
    </row>
    <row r="14" spans="1:20" ht="33.75" x14ac:dyDescent="0.5">
      <c r="A14" s="59"/>
      <c r="B14" s="151" t="s">
        <v>58</v>
      </c>
      <c r="C14" s="142" t="s">
        <v>59</v>
      </c>
      <c r="D14" s="143" t="s">
        <v>60</v>
      </c>
      <c r="E14" s="156" t="s">
        <v>61</v>
      </c>
      <c r="F14" s="153" t="s">
        <v>62</v>
      </c>
      <c r="G14" s="149" t="s">
        <v>63</v>
      </c>
      <c r="H14" s="165"/>
      <c r="I14" s="138" t="s">
        <v>52</v>
      </c>
      <c r="J14" s="168" t="s">
        <v>53</v>
      </c>
      <c r="K14" s="137" t="s">
        <v>54</v>
      </c>
      <c r="L14" s="157" t="s">
        <v>55</v>
      </c>
      <c r="M14" s="138" t="s">
        <v>56</v>
      </c>
      <c r="N14" s="169" t="s">
        <v>57</v>
      </c>
      <c r="O14" s="166"/>
      <c r="P14" s="132"/>
      <c r="Q14" s="159"/>
      <c r="R14" s="134"/>
      <c r="S14" s="38"/>
      <c r="T14" s="37">
        <v>28.29</v>
      </c>
    </row>
    <row r="15" spans="1:20" ht="33.75" x14ac:dyDescent="0.5">
      <c r="A15" s="59"/>
      <c r="B15" s="152" t="s">
        <v>58</v>
      </c>
      <c r="C15" s="137" t="s">
        <v>59</v>
      </c>
      <c r="D15" s="157" t="s">
        <v>60</v>
      </c>
      <c r="E15" s="156" t="s">
        <v>61</v>
      </c>
      <c r="F15" s="173" t="s">
        <v>62</v>
      </c>
      <c r="G15" s="208" t="s">
        <v>63</v>
      </c>
      <c r="H15" s="165"/>
      <c r="I15" s="205" t="s">
        <v>52</v>
      </c>
      <c r="J15" s="168" t="s">
        <v>53</v>
      </c>
      <c r="K15" s="137" t="s">
        <v>54</v>
      </c>
      <c r="L15" s="157" t="s">
        <v>55</v>
      </c>
      <c r="M15" s="138" t="s">
        <v>56</v>
      </c>
      <c r="N15" s="168" t="s">
        <v>57</v>
      </c>
      <c r="O15" s="166"/>
      <c r="P15" s="132"/>
      <c r="Q15" s="159"/>
      <c r="R15" s="134"/>
      <c r="S15" s="38"/>
      <c r="T15" s="37">
        <v>0.72</v>
      </c>
    </row>
    <row r="16" spans="1:20" ht="33.75" x14ac:dyDescent="0.5">
      <c r="A16" s="59"/>
      <c r="B16" s="152" t="s">
        <v>34</v>
      </c>
      <c r="C16" s="137" t="s">
        <v>71</v>
      </c>
      <c r="D16" s="157">
        <v>13</v>
      </c>
      <c r="E16" s="156">
        <v>13</v>
      </c>
      <c r="F16" s="173">
        <v>11.71</v>
      </c>
      <c r="G16" s="208">
        <v>10.02</v>
      </c>
      <c r="H16" s="165"/>
      <c r="I16" s="205">
        <v>43810</v>
      </c>
      <c r="J16" s="168" t="s">
        <v>35</v>
      </c>
      <c r="K16" s="137" t="s">
        <v>36</v>
      </c>
      <c r="L16" s="157">
        <v>5</v>
      </c>
      <c r="M16" s="138">
        <v>28.29</v>
      </c>
      <c r="N16" s="168">
        <v>141.44999999999999</v>
      </c>
      <c r="O16" s="166"/>
      <c r="P16" s="132"/>
      <c r="Q16" s="132"/>
      <c r="R16" s="134"/>
      <c r="S16" s="38"/>
    </row>
    <row r="17" spans="1:19" ht="33.75" x14ac:dyDescent="0.5">
      <c r="A17" s="59"/>
      <c r="B17" s="76" t="s">
        <v>30</v>
      </c>
      <c r="C17" s="137" t="s">
        <v>33</v>
      </c>
      <c r="D17" s="157">
        <v>57</v>
      </c>
      <c r="E17" s="156">
        <v>0</v>
      </c>
      <c r="F17" s="173">
        <v>0.72</v>
      </c>
      <c r="G17" s="208">
        <v>0</v>
      </c>
      <c r="H17" s="165"/>
      <c r="I17" s="205">
        <v>43810</v>
      </c>
      <c r="J17" s="168" t="s">
        <v>35</v>
      </c>
      <c r="K17" s="137" t="s">
        <v>38</v>
      </c>
      <c r="L17" s="157">
        <v>9</v>
      </c>
      <c r="M17" s="138">
        <v>23.4</v>
      </c>
      <c r="N17" s="168">
        <v>210.6</v>
      </c>
      <c r="O17" s="166"/>
      <c r="P17" s="132"/>
      <c r="Q17" s="132"/>
      <c r="R17" s="134"/>
      <c r="S17" s="38"/>
    </row>
    <row r="18" spans="1:19" ht="33.75" x14ac:dyDescent="0.5">
      <c r="A18" s="59"/>
      <c r="B18" s="76" t="s">
        <v>36</v>
      </c>
      <c r="C18" s="206" t="s">
        <v>37</v>
      </c>
      <c r="D18" s="157">
        <v>7</v>
      </c>
      <c r="E18" s="156">
        <v>0</v>
      </c>
      <c r="F18" s="173">
        <v>31.71</v>
      </c>
      <c r="G18" s="208">
        <v>0</v>
      </c>
      <c r="H18" s="165"/>
      <c r="I18" s="138" t="s">
        <v>32</v>
      </c>
      <c r="J18" s="170" t="s">
        <v>35</v>
      </c>
      <c r="K18" s="137" t="s">
        <v>34</v>
      </c>
      <c r="L18" s="157">
        <v>13</v>
      </c>
      <c r="M18" s="138">
        <v>11.71</v>
      </c>
      <c r="N18" s="168">
        <v>152.22999999999999</v>
      </c>
      <c r="O18" s="166"/>
      <c r="P18" s="132"/>
      <c r="Q18" s="132"/>
      <c r="R18" s="134"/>
      <c r="S18" s="38"/>
    </row>
    <row r="19" spans="1:19" ht="33.75" x14ac:dyDescent="0.5">
      <c r="A19" s="59"/>
      <c r="B19" s="76" t="s">
        <v>38</v>
      </c>
      <c r="C19" s="206">
        <v>43810</v>
      </c>
      <c r="D19" s="157">
        <v>9</v>
      </c>
      <c r="E19" s="156">
        <v>0</v>
      </c>
      <c r="F19" s="173">
        <v>23.4</v>
      </c>
      <c r="G19" s="208">
        <v>0</v>
      </c>
      <c r="H19" s="165"/>
      <c r="I19" s="138" t="s">
        <v>32</v>
      </c>
      <c r="J19" s="168" t="s">
        <v>35</v>
      </c>
      <c r="K19" s="137" t="s">
        <v>36</v>
      </c>
      <c r="L19" s="157">
        <v>2</v>
      </c>
      <c r="M19" s="138">
        <v>40.26</v>
      </c>
      <c r="N19" s="168">
        <v>80.52</v>
      </c>
      <c r="O19" s="166"/>
      <c r="P19" s="132"/>
      <c r="Q19" s="132"/>
      <c r="R19" s="134"/>
      <c r="S19" s="38"/>
    </row>
    <row r="20" spans="1:19" ht="33.75" x14ac:dyDescent="0.5">
      <c r="A20" s="59"/>
      <c r="B20" s="152" t="s">
        <v>39</v>
      </c>
      <c r="C20" s="137" t="s">
        <v>32</v>
      </c>
      <c r="D20" s="157">
        <v>20</v>
      </c>
      <c r="E20" s="157">
        <v>0</v>
      </c>
      <c r="F20" s="173">
        <v>12.49</v>
      </c>
      <c r="G20" s="208">
        <v>0</v>
      </c>
      <c r="H20" s="165"/>
      <c r="I20" s="138" t="s">
        <v>32</v>
      </c>
      <c r="J20" s="138" t="s">
        <v>35</v>
      </c>
      <c r="K20" s="138" t="s">
        <v>39</v>
      </c>
      <c r="L20" s="138">
        <v>20</v>
      </c>
      <c r="M20" s="138">
        <v>12.49</v>
      </c>
      <c r="N20" s="138">
        <v>249.8</v>
      </c>
      <c r="O20" s="166"/>
      <c r="P20" s="132"/>
      <c r="Q20" s="132"/>
      <c r="R20" s="134"/>
      <c r="S20" s="38"/>
    </row>
    <row r="21" spans="1:19" ht="33.75" x14ac:dyDescent="0.5">
      <c r="A21" s="59"/>
      <c r="B21" s="76" t="s">
        <v>58</v>
      </c>
      <c r="C21" s="137" t="s">
        <v>59</v>
      </c>
      <c r="D21" s="157" t="s">
        <v>60</v>
      </c>
      <c r="E21" s="157" t="s">
        <v>61</v>
      </c>
      <c r="F21" s="154" t="s">
        <v>62</v>
      </c>
      <c r="G21" s="208" t="s">
        <v>63</v>
      </c>
      <c r="H21" s="146"/>
      <c r="I21" s="76" t="s">
        <v>33</v>
      </c>
      <c r="J21" s="167" t="s">
        <v>35</v>
      </c>
      <c r="K21" s="167" t="s">
        <v>30</v>
      </c>
      <c r="L21" s="167">
        <v>57</v>
      </c>
      <c r="M21" s="167">
        <v>0.72</v>
      </c>
      <c r="N21" s="167">
        <v>41.04</v>
      </c>
      <c r="O21" s="131"/>
      <c r="P21" s="132"/>
      <c r="Q21" s="132"/>
      <c r="R21" s="134"/>
      <c r="S21" s="38"/>
    </row>
    <row r="22" spans="1:19" ht="33.75" x14ac:dyDescent="0.5">
      <c r="A22" s="59"/>
      <c r="B22" s="152" t="s">
        <v>34</v>
      </c>
      <c r="C22" s="207" t="s">
        <v>44</v>
      </c>
      <c r="D22" s="177">
        <v>33</v>
      </c>
      <c r="E22" s="177">
        <v>33</v>
      </c>
      <c r="F22" s="178">
        <v>9.06</v>
      </c>
      <c r="G22" s="209">
        <v>9.42</v>
      </c>
      <c r="H22" s="146"/>
      <c r="I22" s="76" t="s">
        <v>72</v>
      </c>
      <c r="J22" s="132" t="s">
        <v>42</v>
      </c>
      <c r="K22" s="132" t="s">
        <v>34</v>
      </c>
      <c r="L22" s="132">
        <v>13</v>
      </c>
      <c r="M22" s="132">
        <v>10.02</v>
      </c>
      <c r="N22" s="132">
        <v>130.26</v>
      </c>
      <c r="O22" s="131"/>
      <c r="P22" s="132"/>
      <c r="Q22" s="132"/>
      <c r="R22" s="134"/>
      <c r="S22" s="38"/>
    </row>
    <row r="23" spans="1:19" ht="33.75" x14ac:dyDescent="0.5">
      <c r="A23" s="59"/>
      <c r="B23" s="76" t="s">
        <v>36</v>
      </c>
      <c r="C23" s="206">
        <v>43565</v>
      </c>
      <c r="D23" s="157">
        <v>4</v>
      </c>
      <c r="E23" s="157">
        <v>0</v>
      </c>
      <c r="F23" s="154">
        <v>22.45</v>
      </c>
      <c r="G23" s="208">
        <v>0</v>
      </c>
      <c r="H23" s="146"/>
      <c r="I23" s="152" t="s">
        <v>52</v>
      </c>
      <c r="J23" s="132" t="s">
        <v>53</v>
      </c>
      <c r="K23" s="132" t="s">
        <v>54</v>
      </c>
      <c r="L23" s="132" t="s">
        <v>55</v>
      </c>
      <c r="M23" s="132" t="s">
        <v>56</v>
      </c>
      <c r="N23" s="132" t="s">
        <v>57</v>
      </c>
      <c r="O23" s="131"/>
      <c r="P23" s="132"/>
      <c r="Q23" s="132"/>
      <c r="R23" s="134"/>
      <c r="S23" s="38"/>
    </row>
    <row r="24" spans="1:19" ht="33.75" x14ac:dyDescent="0.5">
      <c r="A24" s="59"/>
      <c r="B24" s="76" t="s">
        <v>45</v>
      </c>
      <c r="C24" s="176" t="s">
        <v>43</v>
      </c>
      <c r="D24" s="177">
        <v>13</v>
      </c>
      <c r="E24" s="177">
        <v>0</v>
      </c>
      <c r="F24" s="178">
        <v>26.4</v>
      </c>
      <c r="G24" s="209">
        <v>0</v>
      </c>
      <c r="H24" s="146"/>
      <c r="I24" s="152">
        <v>43594</v>
      </c>
      <c r="J24" s="132" t="s">
        <v>35</v>
      </c>
      <c r="K24" s="132" t="s">
        <v>46</v>
      </c>
      <c r="L24" s="132">
        <v>5</v>
      </c>
      <c r="M24" s="132">
        <v>26.14</v>
      </c>
      <c r="N24" s="132">
        <v>130.69999999999999</v>
      </c>
      <c r="O24" s="131"/>
      <c r="P24" s="132"/>
      <c r="Q24" s="132"/>
      <c r="R24" s="134"/>
      <c r="S24" s="38"/>
    </row>
    <row r="25" spans="1:19" ht="33.75" x14ac:dyDescent="0.5">
      <c r="A25" s="59"/>
      <c r="B25" s="152" t="s">
        <v>46</v>
      </c>
      <c r="C25" s="137" t="s">
        <v>47</v>
      </c>
      <c r="D25" s="157">
        <v>17</v>
      </c>
      <c r="E25" s="157">
        <v>17</v>
      </c>
      <c r="F25" s="154">
        <v>28.850999999999999</v>
      </c>
      <c r="G25" s="208">
        <v>34.256</v>
      </c>
      <c r="H25" s="146"/>
      <c r="I25" s="76" t="s">
        <v>40</v>
      </c>
      <c r="J25" s="132" t="s">
        <v>35</v>
      </c>
      <c r="K25" s="132" t="s">
        <v>48</v>
      </c>
      <c r="L25" s="132">
        <v>4</v>
      </c>
      <c r="M25" s="132">
        <v>153.69999999999999</v>
      </c>
      <c r="N25" s="132">
        <v>614.79999999999995</v>
      </c>
      <c r="O25" s="131"/>
      <c r="P25" s="132"/>
      <c r="Q25" s="132"/>
      <c r="R25" s="134"/>
      <c r="S25" s="38"/>
    </row>
    <row r="26" spans="1:19" ht="33.75" x14ac:dyDescent="0.5">
      <c r="A26" s="59"/>
      <c r="B26" s="76" t="s">
        <v>48</v>
      </c>
      <c r="C26" s="137" t="s">
        <v>49</v>
      </c>
      <c r="D26" s="157">
        <v>4</v>
      </c>
      <c r="E26" s="157">
        <v>4</v>
      </c>
      <c r="F26" s="154">
        <v>153.69999999999999</v>
      </c>
      <c r="G26" s="208">
        <v>161.4</v>
      </c>
      <c r="H26" s="146"/>
      <c r="I26" s="132" t="s">
        <v>40</v>
      </c>
      <c r="J26" s="132" t="s">
        <v>35</v>
      </c>
      <c r="K26" s="132" t="s">
        <v>46</v>
      </c>
      <c r="L26" s="132">
        <v>12</v>
      </c>
      <c r="M26" s="132">
        <v>29.98</v>
      </c>
      <c r="N26" s="132">
        <v>359.76</v>
      </c>
      <c r="O26" s="131"/>
      <c r="P26" s="132"/>
      <c r="Q26" s="132"/>
      <c r="R26" s="134"/>
      <c r="S26" s="38"/>
    </row>
    <row r="27" spans="1:19" ht="33.75" x14ac:dyDescent="0.5">
      <c r="A27" s="59"/>
      <c r="B27" s="152" t="s">
        <v>50</v>
      </c>
      <c r="C27" s="137" t="s">
        <v>51</v>
      </c>
      <c r="D27" s="157">
        <v>11</v>
      </c>
      <c r="E27" s="157">
        <v>11</v>
      </c>
      <c r="F27" s="154">
        <v>0.98</v>
      </c>
      <c r="G27" s="208">
        <v>1.01</v>
      </c>
      <c r="H27" s="146"/>
      <c r="I27" s="132" t="s">
        <v>40</v>
      </c>
      <c r="J27" s="161" t="s">
        <v>35</v>
      </c>
      <c r="K27" s="131" t="s">
        <v>50</v>
      </c>
      <c r="L27" s="132">
        <v>9</v>
      </c>
      <c r="M27" s="132">
        <v>0.98</v>
      </c>
      <c r="N27" s="133">
        <v>8.82</v>
      </c>
      <c r="O27" s="131"/>
      <c r="P27" s="132"/>
      <c r="Q27" s="132"/>
      <c r="R27" s="134"/>
      <c r="S27" s="38"/>
    </row>
    <row r="28" spans="1:19" ht="33.75" x14ac:dyDescent="0.5">
      <c r="A28" s="59"/>
      <c r="B28" s="76" t="s">
        <v>58</v>
      </c>
      <c r="C28" s="137" t="s">
        <v>59</v>
      </c>
      <c r="D28" s="157" t="s">
        <v>60</v>
      </c>
      <c r="E28" s="157" t="s">
        <v>61</v>
      </c>
      <c r="F28" s="154" t="s">
        <v>62</v>
      </c>
      <c r="G28" s="208" t="s">
        <v>63</v>
      </c>
      <c r="H28" s="146"/>
      <c r="I28" s="159" t="s">
        <v>40</v>
      </c>
      <c r="J28" s="161" t="s">
        <v>35</v>
      </c>
      <c r="K28" s="131" t="s">
        <v>50</v>
      </c>
      <c r="L28" s="132">
        <v>2</v>
      </c>
      <c r="M28" s="132">
        <v>0.98</v>
      </c>
      <c r="N28" s="133">
        <v>1.96</v>
      </c>
      <c r="O28" s="131"/>
      <c r="P28" s="132"/>
      <c r="Q28" s="132"/>
      <c r="R28" s="134"/>
      <c r="S28" s="38"/>
    </row>
    <row r="29" spans="1:19" ht="33.75" x14ac:dyDescent="0.5">
      <c r="A29" s="59"/>
      <c r="B29" s="152" t="s">
        <v>34</v>
      </c>
      <c r="C29" s="206" t="s">
        <v>71</v>
      </c>
      <c r="D29" s="157">
        <v>13</v>
      </c>
      <c r="E29" s="157">
        <v>13</v>
      </c>
      <c r="F29" s="154">
        <v>11.71</v>
      </c>
      <c r="G29" s="208">
        <v>10.02</v>
      </c>
      <c r="H29" s="146"/>
      <c r="I29" s="159">
        <v>43565</v>
      </c>
      <c r="J29" s="161" t="s">
        <v>35</v>
      </c>
      <c r="K29" s="131" t="s">
        <v>36</v>
      </c>
      <c r="L29" s="132">
        <v>4</v>
      </c>
      <c r="M29" s="132">
        <v>22.45</v>
      </c>
      <c r="N29" s="133">
        <v>89.8</v>
      </c>
      <c r="O29" s="131"/>
      <c r="P29" s="132"/>
      <c r="Q29" s="132"/>
      <c r="R29" s="134"/>
      <c r="S29" s="38"/>
    </row>
    <row r="30" spans="1:19" ht="33.75" x14ac:dyDescent="0.5">
      <c r="A30" s="59"/>
      <c r="B30" s="152" t="s">
        <v>30</v>
      </c>
      <c r="C30" s="137" t="s">
        <v>33</v>
      </c>
      <c r="D30" s="157">
        <v>57</v>
      </c>
      <c r="E30" s="157">
        <v>0</v>
      </c>
      <c r="F30" s="154">
        <v>0.72</v>
      </c>
      <c r="G30" s="208">
        <v>0</v>
      </c>
      <c r="H30" s="146"/>
      <c r="I30" s="132" t="s">
        <v>41</v>
      </c>
      <c r="J30" s="161" t="s">
        <v>42</v>
      </c>
      <c r="K30" s="131" t="s">
        <v>48</v>
      </c>
      <c r="L30" s="164">
        <v>4</v>
      </c>
      <c r="M30" s="132">
        <v>161.4</v>
      </c>
      <c r="N30" s="161">
        <v>645.6</v>
      </c>
      <c r="O30" s="131"/>
      <c r="P30" s="132"/>
      <c r="Q30" s="132"/>
      <c r="R30" s="134"/>
      <c r="S30" s="38"/>
    </row>
    <row r="31" spans="1:19" ht="33.75" x14ac:dyDescent="0.5">
      <c r="A31" s="59"/>
      <c r="B31" s="152" t="s">
        <v>36</v>
      </c>
      <c r="C31" s="137" t="s">
        <v>37</v>
      </c>
      <c r="D31" s="157">
        <v>7</v>
      </c>
      <c r="E31" s="157">
        <v>0</v>
      </c>
      <c r="F31" s="154">
        <v>31.71</v>
      </c>
      <c r="G31" s="208">
        <v>0</v>
      </c>
      <c r="H31" s="146"/>
      <c r="I31" s="132" t="s">
        <v>43</v>
      </c>
      <c r="J31" s="161" t="s">
        <v>35</v>
      </c>
      <c r="K31" s="131" t="s">
        <v>34</v>
      </c>
      <c r="L31" s="164">
        <v>33</v>
      </c>
      <c r="M31" s="132">
        <v>9.06</v>
      </c>
      <c r="N31" s="174">
        <v>298.98</v>
      </c>
      <c r="O31" s="131"/>
      <c r="P31" s="132"/>
      <c r="Q31" s="132"/>
      <c r="R31" s="134"/>
      <c r="S31" s="38"/>
    </row>
    <row r="32" spans="1:19" ht="33.75" x14ac:dyDescent="0.5">
      <c r="A32" s="59"/>
      <c r="B32" s="152" t="s">
        <v>38</v>
      </c>
      <c r="C32" s="207">
        <v>43810</v>
      </c>
      <c r="D32" s="177">
        <v>9</v>
      </c>
      <c r="E32" s="177">
        <v>0</v>
      </c>
      <c r="F32" s="178">
        <v>23.4</v>
      </c>
      <c r="G32" s="209">
        <v>0</v>
      </c>
      <c r="H32" s="146"/>
      <c r="I32" s="159" t="s">
        <v>43</v>
      </c>
      <c r="J32" s="162" t="s">
        <v>35</v>
      </c>
      <c r="K32" s="131" t="s">
        <v>45</v>
      </c>
      <c r="L32" s="164">
        <v>13</v>
      </c>
      <c r="M32" s="175">
        <v>26.4</v>
      </c>
      <c r="N32" s="174">
        <v>343.2</v>
      </c>
      <c r="O32" s="131"/>
      <c r="P32" s="132"/>
      <c r="Q32" s="132"/>
      <c r="R32" s="134"/>
      <c r="S32" s="38"/>
    </row>
    <row r="33" spans="1:19" ht="33.75" x14ac:dyDescent="0.5">
      <c r="A33" s="59"/>
      <c r="B33" s="152" t="s">
        <v>39</v>
      </c>
      <c r="C33" s="176" t="s">
        <v>32</v>
      </c>
      <c r="D33" s="177">
        <v>20</v>
      </c>
      <c r="E33" s="177">
        <v>0</v>
      </c>
      <c r="F33" s="178">
        <v>12.49</v>
      </c>
      <c r="G33" s="209">
        <v>0</v>
      </c>
      <c r="H33" s="146"/>
      <c r="I33" s="159">
        <v>43566</v>
      </c>
      <c r="J33" s="161" t="s">
        <v>42</v>
      </c>
      <c r="K33" s="131" t="s">
        <v>34</v>
      </c>
      <c r="L33" s="164">
        <v>33</v>
      </c>
      <c r="M33" s="175">
        <v>9.42</v>
      </c>
      <c r="N33" s="174">
        <v>310.86</v>
      </c>
      <c r="O33" s="131"/>
      <c r="P33" s="132"/>
      <c r="Q33" s="132"/>
      <c r="R33" s="134"/>
      <c r="S33" s="38"/>
    </row>
    <row r="34" spans="1:19" ht="33.75" x14ac:dyDescent="0.5">
      <c r="A34" s="59"/>
      <c r="B34" s="152" t="s">
        <v>58</v>
      </c>
      <c r="C34" s="137" t="s">
        <v>59</v>
      </c>
      <c r="D34" s="157" t="s">
        <v>60</v>
      </c>
      <c r="E34" s="157" t="s">
        <v>61</v>
      </c>
      <c r="F34" s="154" t="s">
        <v>62</v>
      </c>
      <c r="G34" s="208" t="s">
        <v>63</v>
      </c>
      <c r="H34" s="146"/>
      <c r="I34" s="159">
        <v>43657</v>
      </c>
      <c r="J34" s="161" t="s">
        <v>42</v>
      </c>
      <c r="K34" s="131" t="s">
        <v>46</v>
      </c>
      <c r="L34" s="164">
        <v>16</v>
      </c>
      <c r="M34" s="175">
        <v>34.25</v>
      </c>
      <c r="N34" s="174">
        <v>548</v>
      </c>
      <c r="O34" s="131"/>
      <c r="P34" s="132"/>
      <c r="Q34" s="132"/>
      <c r="R34" s="134"/>
      <c r="S34" s="38"/>
    </row>
    <row r="35" spans="1:19" ht="33.75" x14ac:dyDescent="0.5">
      <c r="A35" s="59"/>
      <c r="B35" s="76" t="s">
        <v>34</v>
      </c>
      <c r="C35" s="137" t="s">
        <v>44</v>
      </c>
      <c r="D35" s="157">
        <v>33</v>
      </c>
      <c r="E35" s="157">
        <v>33</v>
      </c>
      <c r="F35" s="154">
        <v>9.06</v>
      </c>
      <c r="G35" s="208">
        <v>9.42</v>
      </c>
      <c r="H35" s="146"/>
      <c r="I35" s="159">
        <v>43657</v>
      </c>
      <c r="J35" s="161" t="s">
        <v>42</v>
      </c>
      <c r="K35" s="131" t="s">
        <v>46</v>
      </c>
      <c r="L35" s="164">
        <v>1</v>
      </c>
      <c r="M35" s="175">
        <v>34.35</v>
      </c>
      <c r="N35" s="174">
        <v>34.35</v>
      </c>
      <c r="O35" s="131"/>
      <c r="P35" s="132"/>
      <c r="Q35" s="132"/>
      <c r="R35" s="134"/>
      <c r="S35" s="38"/>
    </row>
    <row r="36" spans="1:19" ht="33.75" x14ac:dyDescent="0.5">
      <c r="A36" s="59"/>
      <c r="B36" s="76" t="s">
        <v>36</v>
      </c>
      <c r="C36" s="206">
        <v>43565</v>
      </c>
      <c r="D36" s="157">
        <v>4</v>
      </c>
      <c r="E36" s="157">
        <v>0</v>
      </c>
      <c r="F36" s="154">
        <v>22.45</v>
      </c>
      <c r="G36" s="208">
        <v>0</v>
      </c>
      <c r="H36" s="146"/>
      <c r="I36" s="159">
        <v>43688</v>
      </c>
      <c r="J36" s="161" t="s">
        <v>42</v>
      </c>
      <c r="K36" s="131" t="s">
        <v>50</v>
      </c>
      <c r="L36" s="164">
        <v>11</v>
      </c>
      <c r="M36" s="175">
        <v>1.01</v>
      </c>
      <c r="N36" s="174">
        <v>11.11</v>
      </c>
      <c r="O36" s="131"/>
      <c r="P36" s="132"/>
      <c r="Q36" s="132"/>
      <c r="R36" s="134"/>
      <c r="S36" s="38"/>
    </row>
    <row r="37" spans="1:19" ht="33.75" x14ac:dyDescent="0.5">
      <c r="A37" s="59"/>
      <c r="B37" s="76" t="s">
        <v>45</v>
      </c>
      <c r="C37" s="137" t="s">
        <v>43</v>
      </c>
      <c r="D37" s="157">
        <v>13</v>
      </c>
      <c r="E37" s="157">
        <v>0</v>
      </c>
      <c r="F37" s="154">
        <v>26.4</v>
      </c>
      <c r="G37" s="208">
        <v>0</v>
      </c>
      <c r="H37" s="146"/>
      <c r="I37" s="159" t="s">
        <v>52</v>
      </c>
      <c r="J37" s="133" t="s">
        <v>53</v>
      </c>
      <c r="K37" s="131" t="s">
        <v>54</v>
      </c>
      <c r="L37" s="132" t="s">
        <v>55</v>
      </c>
      <c r="M37" s="132" t="s">
        <v>56</v>
      </c>
      <c r="N37" s="133" t="s">
        <v>57</v>
      </c>
      <c r="O37" s="131"/>
      <c r="P37" s="132"/>
      <c r="Q37" s="132"/>
      <c r="R37" s="134"/>
      <c r="S37" s="38"/>
    </row>
    <row r="38" spans="1:19" ht="33.75" x14ac:dyDescent="0.5">
      <c r="A38" s="59"/>
      <c r="B38" s="76" t="s">
        <v>46</v>
      </c>
      <c r="C38" s="206" t="s">
        <v>47</v>
      </c>
      <c r="D38" s="157">
        <v>17</v>
      </c>
      <c r="E38" s="157">
        <v>17</v>
      </c>
      <c r="F38" s="154">
        <v>28.850999999999999</v>
      </c>
      <c r="G38" s="208">
        <v>34.256</v>
      </c>
      <c r="H38" s="146"/>
      <c r="I38" s="159">
        <v>43810</v>
      </c>
      <c r="J38" s="133" t="s">
        <v>35</v>
      </c>
      <c r="K38" s="131" t="s">
        <v>36</v>
      </c>
      <c r="L38" s="132">
        <v>5</v>
      </c>
      <c r="M38" s="132">
        <v>28.29</v>
      </c>
      <c r="N38" s="133">
        <v>141.44999999999999</v>
      </c>
      <c r="O38" s="131"/>
      <c r="P38" s="132"/>
      <c r="Q38" s="132"/>
      <c r="R38" s="134"/>
      <c r="S38" s="38"/>
    </row>
    <row r="39" spans="1:19" ht="33.75" x14ac:dyDescent="0.5">
      <c r="A39" s="59"/>
      <c r="B39" s="152" t="s">
        <v>48</v>
      </c>
      <c r="C39" s="137" t="s">
        <v>49</v>
      </c>
      <c r="D39" s="157">
        <v>4</v>
      </c>
      <c r="E39" s="157">
        <v>4</v>
      </c>
      <c r="F39" s="154">
        <v>153.69999999999999</v>
      </c>
      <c r="G39" s="208">
        <v>161.4</v>
      </c>
      <c r="H39" s="146"/>
      <c r="I39" s="159">
        <v>43810</v>
      </c>
      <c r="J39" s="133" t="s">
        <v>35</v>
      </c>
      <c r="K39" s="131" t="s">
        <v>38</v>
      </c>
      <c r="L39" s="132">
        <v>9</v>
      </c>
      <c r="M39" s="132">
        <v>23.4</v>
      </c>
      <c r="N39" s="133">
        <v>210.6</v>
      </c>
      <c r="O39" s="131"/>
      <c r="P39" s="132"/>
      <c r="Q39" s="132"/>
      <c r="R39" s="134"/>
      <c r="S39" s="38"/>
    </row>
    <row r="40" spans="1:19" ht="33.75" x14ac:dyDescent="0.5">
      <c r="A40" s="59"/>
      <c r="B40" s="76" t="s">
        <v>50</v>
      </c>
      <c r="C40" s="137" t="s">
        <v>51</v>
      </c>
      <c r="D40" s="157">
        <v>11</v>
      </c>
      <c r="E40" s="157">
        <v>11</v>
      </c>
      <c r="F40" s="154">
        <v>0.98</v>
      </c>
      <c r="G40" s="208">
        <v>1.01</v>
      </c>
      <c r="H40" s="146"/>
      <c r="I40" s="132" t="s">
        <v>32</v>
      </c>
      <c r="J40" s="133" t="s">
        <v>35</v>
      </c>
      <c r="K40" s="131" t="s">
        <v>34</v>
      </c>
      <c r="L40" s="132">
        <v>13</v>
      </c>
      <c r="M40" s="132">
        <v>11.71</v>
      </c>
      <c r="N40" s="133">
        <v>152.22999999999999</v>
      </c>
      <c r="O40" s="131"/>
      <c r="P40" s="132"/>
      <c r="Q40" s="132"/>
      <c r="R40" s="134"/>
      <c r="S40" s="38"/>
    </row>
    <row r="41" spans="1:19" ht="33.75" x14ac:dyDescent="0.5">
      <c r="A41" s="59"/>
      <c r="B41" s="76" t="s">
        <v>58</v>
      </c>
      <c r="C41" s="137" t="s">
        <v>59</v>
      </c>
      <c r="D41" s="157" t="s">
        <v>60</v>
      </c>
      <c r="E41" s="157" t="s">
        <v>61</v>
      </c>
      <c r="F41" s="154" t="s">
        <v>62</v>
      </c>
      <c r="G41" s="208" t="s">
        <v>63</v>
      </c>
      <c r="H41" s="146"/>
      <c r="I41" s="132" t="s">
        <v>32</v>
      </c>
      <c r="J41" s="133" t="s">
        <v>35</v>
      </c>
      <c r="K41" s="131" t="s">
        <v>36</v>
      </c>
      <c r="L41" s="132">
        <v>2</v>
      </c>
      <c r="M41" s="132">
        <v>40.26</v>
      </c>
      <c r="N41" s="133">
        <v>80.52</v>
      </c>
      <c r="O41" s="131"/>
      <c r="P41" s="132"/>
      <c r="Q41" s="132"/>
      <c r="R41" s="134"/>
      <c r="S41" s="38"/>
    </row>
    <row r="42" spans="1:19" ht="33.75" x14ac:dyDescent="0.5">
      <c r="A42" s="59"/>
      <c r="B42" s="76" t="s">
        <v>34</v>
      </c>
      <c r="C42" s="206" t="s">
        <v>71</v>
      </c>
      <c r="D42" s="157">
        <v>13</v>
      </c>
      <c r="E42" s="157">
        <v>13</v>
      </c>
      <c r="F42" s="154">
        <v>11.71</v>
      </c>
      <c r="G42" s="208">
        <v>10.02</v>
      </c>
      <c r="H42" s="146"/>
      <c r="I42" s="159" t="s">
        <v>32</v>
      </c>
      <c r="J42" s="133" t="s">
        <v>35</v>
      </c>
      <c r="K42" s="131" t="s">
        <v>39</v>
      </c>
      <c r="L42" s="132">
        <v>20</v>
      </c>
      <c r="M42" s="132">
        <v>12.49</v>
      </c>
      <c r="N42" s="133">
        <v>249.8</v>
      </c>
      <c r="O42" s="131"/>
      <c r="P42" s="132"/>
      <c r="Q42" s="132"/>
      <c r="R42" s="134"/>
      <c r="S42" s="38"/>
    </row>
    <row r="43" spans="1:19" ht="33.75" x14ac:dyDescent="0.5">
      <c r="A43" s="59"/>
      <c r="B43" s="76" t="s">
        <v>30</v>
      </c>
      <c r="C43" s="137" t="s">
        <v>33</v>
      </c>
      <c r="D43" s="157">
        <v>57</v>
      </c>
      <c r="E43" s="157">
        <v>0</v>
      </c>
      <c r="F43" s="154">
        <v>0.72</v>
      </c>
      <c r="G43" s="208">
        <v>0</v>
      </c>
      <c r="H43" s="146"/>
      <c r="I43" s="132" t="s">
        <v>33</v>
      </c>
      <c r="J43" s="133" t="s">
        <v>35</v>
      </c>
      <c r="K43" s="131" t="s">
        <v>30</v>
      </c>
      <c r="L43" s="132">
        <v>57</v>
      </c>
      <c r="M43" s="132">
        <v>0.72</v>
      </c>
      <c r="N43" s="133">
        <v>41.04</v>
      </c>
      <c r="O43" s="131"/>
      <c r="P43" s="132"/>
      <c r="Q43" s="132"/>
      <c r="R43" s="134"/>
      <c r="S43" s="38"/>
    </row>
    <row r="44" spans="1:19" ht="33.75" x14ac:dyDescent="0.5">
      <c r="A44" s="59"/>
      <c r="B44" s="152" t="s">
        <v>36</v>
      </c>
      <c r="C44" s="137" t="s">
        <v>88</v>
      </c>
      <c r="D44" s="157">
        <v>13</v>
      </c>
      <c r="E44" s="157">
        <v>0</v>
      </c>
      <c r="F44" s="154">
        <v>30.472999999999999</v>
      </c>
      <c r="G44" s="208">
        <v>0</v>
      </c>
      <c r="H44" s="146"/>
      <c r="I44" s="132" t="s">
        <v>72</v>
      </c>
      <c r="J44" s="133" t="s">
        <v>42</v>
      </c>
      <c r="K44" s="131" t="s">
        <v>34</v>
      </c>
      <c r="L44" s="132">
        <v>13</v>
      </c>
      <c r="M44" s="132">
        <v>10.02</v>
      </c>
      <c r="N44" s="133">
        <v>130.26</v>
      </c>
      <c r="O44" s="131"/>
      <c r="P44" s="132"/>
      <c r="Q44" s="132"/>
      <c r="R44" s="134"/>
      <c r="S44" s="38"/>
    </row>
    <row r="45" spans="1:19" ht="33.75" x14ac:dyDescent="0.5">
      <c r="A45" s="59"/>
      <c r="B45" s="76" t="s">
        <v>38</v>
      </c>
      <c r="C45" s="206">
        <v>43810</v>
      </c>
      <c r="D45" s="157">
        <v>9</v>
      </c>
      <c r="E45" s="157">
        <v>0</v>
      </c>
      <c r="F45" s="154">
        <v>23.4</v>
      </c>
      <c r="G45" s="208">
        <v>0</v>
      </c>
      <c r="H45" s="146"/>
      <c r="I45" s="132" t="s">
        <v>52</v>
      </c>
      <c r="J45" s="133" t="s">
        <v>53</v>
      </c>
      <c r="K45" s="131" t="s">
        <v>54</v>
      </c>
      <c r="L45" s="132" t="s">
        <v>55</v>
      </c>
      <c r="M45" s="132" t="s">
        <v>56</v>
      </c>
      <c r="N45" s="133" t="s">
        <v>57</v>
      </c>
      <c r="O45" s="131"/>
      <c r="P45" s="132"/>
      <c r="Q45" s="132"/>
      <c r="R45" s="134"/>
      <c r="S45" s="38"/>
    </row>
    <row r="46" spans="1:19" ht="33.75" x14ac:dyDescent="0.5">
      <c r="A46" s="59"/>
      <c r="B46" s="76" t="s">
        <v>39</v>
      </c>
      <c r="C46" s="137" t="s">
        <v>32</v>
      </c>
      <c r="D46" s="157">
        <v>20</v>
      </c>
      <c r="E46" s="157">
        <v>0</v>
      </c>
      <c r="F46" s="154">
        <v>12.49</v>
      </c>
      <c r="G46" s="208">
        <v>0</v>
      </c>
      <c r="H46" s="146"/>
      <c r="I46" s="159">
        <v>43594</v>
      </c>
      <c r="J46" s="133" t="s">
        <v>35</v>
      </c>
      <c r="K46" s="131" t="s">
        <v>46</v>
      </c>
      <c r="L46" s="132">
        <v>5</v>
      </c>
      <c r="M46" s="132">
        <v>26.14</v>
      </c>
      <c r="N46" s="133">
        <v>130.69999999999999</v>
      </c>
      <c r="O46" s="131"/>
      <c r="P46" s="132"/>
      <c r="Q46" s="132"/>
      <c r="R46" s="134"/>
      <c r="S46" s="38"/>
    </row>
    <row r="47" spans="1:19" ht="33.75" x14ac:dyDescent="0.5">
      <c r="A47" s="59"/>
      <c r="B47" s="76" t="s">
        <v>58</v>
      </c>
      <c r="C47" s="137" t="s">
        <v>59</v>
      </c>
      <c r="D47" s="138" t="s">
        <v>60</v>
      </c>
      <c r="E47" s="157" t="s">
        <v>61</v>
      </c>
      <c r="F47" s="154" t="s">
        <v>62</v>
      </c>
      <c r="G47" s="149" t="s">
        <v>63</v>
      </c>
      <c r="H47" s="146"/>
      <c r="I47" s="159" t="s">
        <v>40</v>
      </c>
      <c r="J47" s="133" t="s">
        <v>35</v>
      </c>
      <c r="K47" s="131" t="s">
        <v>48</v>
      </c>
      <c r="L47" s="132">
        <v>4</v>
      </c>
      <c r="M47" s="132">
        <v>153.69999999999999</v>
      </c>
      <c r="N47" s="133">
        <v>614.79999999999995</v>
      </c>
      <c r="O47" s="131"/>
      <c r="P47" s="132"/>
      <c r="Q47" s="132"/>
      <c r="R47" s="134"/>
      <c r="S47" s="38"/>
    </row>
    <row r="48" spans="1:19" ht="33.75" x14ac:dyDescent="0.5">
      <c r="A48" s="59"/>
      <c r="B48" s="152" t="s">
        <v>34</v>
      </c>
      <c r="C48" s="137" t="s">
        <v>44</v>
      </c>
      <c r="D48" s="138">
        <v>33</v>
      </c>
      <c r="E48" s="157">
        <v>33</v>
      </c>
      <c r="F48" s="154">
        <v>9.06</v>
      </c>
      <c r="G48" s="149">
        <v>9.42</v>
      </c>
      <c r="H48" s="146"/>
      <c r="I48" s="159" t="s">
        <v>40</v>
      </c>
      <c r="J48" s="133" t="s">
        <v>35</v>
      </c>
      <c r="K48" s="131" t="s">
        <v>46</v>
      </c>
      <c r="L48" s="132">
        <v>12</v>
      </c>
      <c r="M48" s="132">
        <v>29.98</v>
      </c>
      <c r="N48" s="133">
        <v>359.76</v>
      </c>
      <c r="O48" s="131"/>
      <c r="P48" s="132"/>
      <c r="Q48" s="132"/>
      <c r="R48" s="134"/>
      <c r="S48" s="38"/>
    </row>
    <row r="49" spans="1:19" ht="33.75" x14ac:dyDescent="0.5">
      <c r="A49" s="59"/>
      <c r="B49" s="152" t="s">
        <v>36</v>
      </c>
      <c r="C49" s="206">
        <v>43565</v>
      </c>
      <c r="D49" s="138">
        <v>4</v>
      </c>
      <c r="E49" s="157">
        <v>0</v>
      </c>
      <c r="F49" s="154">
        <v>22.45</v>
      </c>
      <c r="G49" s="149">
        <v>0</v>
      </c>
      <c r="H49" s="146"/>
      <c r="I49" s="159" t="s">
        <v>40</v>
      </c>
      <c r="J49" s="133" t="s">
        <v>35</v>
      </c>
      <c r="K49" s="131" t="s">
        <v>50</v>
      </c>
      <c r="L49" s="132">
        <v>9</v>
      </c>
      <c r="M49" s="132">
        <v>0.98</v>
      </c>
      <c r="N49" s="133">
        <v>8.82</v>
      </c>
      <c r="O49" s="131"/>
      <c r="P49" s="132"/>
      <c r="Q49" s="132"/>
      <c r="R49" s="134"/>
      <c r="S49" s="38"/>
    </row>
    <row r="50" spans="1:19" ht="33.75" x14ac:dyDescent="0.5">
      <c r="A50" s="59"/>
      <c r="B50" s="152" t="s">
        <v>45</v>
      </c>
      <c r="C50" s="137" t="s">
        <v>43</v>
      </c>
      <c r="D50" s="138">
        <v>13</v>
      </c>
      <c r="E50" s="157">
        <v>0</v>
      </c>
      <c r="F50" s="154">
        <v>26.4</v>
      </c>
      <c r="G50" s="149">
        <v>0</v>
      </c>
      <c r="H50" s="146"/>
      <c r="I50" s="132" t="s">
        <v>40</v>
      </c>
      <c r="J50" s="133" t="s">
        <v>35</v>
      </c>
      <c r="K50" s="131" t="s">
        <v>50</v>
      </c>
      <c r="L50" s="132">
        <v>2</v>
      </c>
      <c r="M50" s="132">
        <v>0.98</v>
      </c>
      <c r="N50" s="133">
        <v>1.96</v>
      </c>
      <c r="O50" s="131"/>
      <c r="P50" s="132"/>
      <c r="Q50" s="132"/>
      <c r="R50" s="134"/>
      <c r="S50" s="38"/>
    </row>
    <row r="51" spans="1:19" ht="33.75" x14ac:dyDescent="0.5">
      <c r="A51" s="59"/>
      <c r="B51" s="152" t="s">
        <v>46</v>
      </c>
      <c r="C51" s="137" t="s">
        <v>47</v>
      </c>
      <c r="D51" s="138">
        <v>17</v>
      </c>
      <c r="E51" s="157">
        <v>17</v>
      </c>
      <c r="F51" s="154">
        <v>28.850999999999999</v>
      </c>
      <c r="G51" s="149">
        <v>34.256</v>
      </c>
      <c r="H51" s="146"/>
      <c r="I51" s="159">
        <v>43565</v>
      </c>
      <c r="J51" s="133" t="s">
        <v>35</v>
      </c>
      <c r="K51" s="131" t="s">
        <v>36</v>
      </c>
      <c r="L51" s="132">
        <v>4</v>
      </c>
      <c r="M51" s="132">
        <v>22.45</v>
      </c>
      <c r="N51" s="133">
        <v>89.8</v>
      </c>
      <c r="O51" s="131"/>
      <c r="P51" s="132"/>
      <c r="Q51" s="132"/>
      <c r="R51" s="134"/>
      <c r="S51" s="38"/>
    </row>
    <row r="52" spans="1:19" ht="33.75" x14ac:dyDescent="0.5">
      <c r="A52" s="59"/>
      <c r="B52" s="76" t="s">
        <v>48</v>
      </c>
      <c r="C52" s="137" t="s">
        <v>49</v>
      </c>
      <c r="D52" s="138">
        <v>4</v>
      </c>
      <c r="E52" s="157">
        <v>4</v>
      </c>
      <c r="F52" s="154">
        <v>153.69999999999999</v>
      </c>
      <c r="G52" s="149">
        <v>161.4</v>
      </c>
      <c r="H52" s="146"/>
      <c r="I52" s="159" t="s">
        <v>41</v>
      </c>
      <c r="J52" s="133" t="s">
        <v>42</v>
      </c>
      <c r="K52" s="131" t="s">
        <v>48</v>
      </c>
      <c r="L52" s="132">
        <v>4</v>
      </c>
      <c r="M52" s="132">
        <v>161.4</v>
      </c>
      <c r="N52" s="133">
        <v>645.6</v>
      </c>
      <c r="O52" s="131"/>
      <c r="P52" s="132"/>
      <c r="Q52" s="132"/>
      <c r="R52" s="134"/>
      <c r="S52" s="38"/>
    </row>
    <row r="53" spans="1:19" ht="33.75" x14ac:dyDescent="0.5">
      <c r="A53" s="59"/>
      <c r="B53" s="76" t="s">
        <v>50</v>
      </c>
      <c r="C53" s="137" t="s">
        <v>51</v>
      </c>
      <c r="D53" s="138">
        <v>11</v>
      </c>
      <c r="E53" s="157">
        <v>11</v>
      </c>
      <c r="F53" s="154">
        <v>0.98</v>
      </c>
      <c r="G53" s="149">
        <v>1.01</v>
      </c>
      <c r="H53" s="146"/>
      <c r="I53" s="132" t="s">
        <v>43</v>
      </c>
      <c r="J53" s="133" t="s">
        <v>35</v>
      </c>
      <c r="K53" s="131" t="s">
        <v>34</v>
      </c>
      <c r="L53" s="132">
        <v>33</v>
      </c>
      <c r="M53" s="132">
        <v>9.06</v>
      </c>
      <c r="N53" s="133">
        <v>298.98</v>
      </c>
      <c r="O53" s="131"/>
      <c r="P53" s="132"/>
      <c r="Q53" s="132"/>
      <c r="R53" s="134"/>
      <c r="S53" s="38"/>
    </row>
    <row r="54" spans="1:19" ht="33.75" x14ac:dyDescent="0.5">
      <c r="A54" s="59"/>
      <c r="B54" s="76" t="s">
        <v>58</v>
      </c>
      <c r="C54" s="137" t="s">
        <v>59</v>
      </c>
      <c r="D54" s="138" t="s">
        <v>60</v>
      </c>
      <c r="E54" s="157" t="s">
        <v>61</v>
      </c>
      <c r="F54" s="154" t="s">
        <v>62</v>
      </c>
      <c r="G54" s="149" t="s">
        <v>63</v>
      </c>
      <c r="H54" s="146"/>
      <c r="I54" s="132" t="s">
        <v>32</v>
      </c>
      <c r="J54" s="133" t="s">
        <v>35</v>
      </c>
      <c r="K54" s="131" t="s">
        <v>36</v>
      </c>
      <c r="L54" s="132">
        <v>2</v>
      </c>
      <c r="M54" s="132">
        <v>40.26</v>
      </c>
      <c r="N54" s="133">
        <v>80.52</v>
      </c>
      <c r="O54" s="131"/>
      <c r="P54" s="132"/>
      <c r="Q54" s="132"/>
      <c r="R54" s="134"/>
      <c r="S54" s="38"/>
    </row>
    <row r="55" spans="1:19" ht="33.75" x14ac:dyDescent="0.5">
      <c r="A55" s="59"/>
      <c r="B55" s="76" t="s">
        <v>34</v>
      </c>
      <c r="C55" s="137" t="s">
        <v>71</v>
      </c>
      <c r="D55" s="138">
        <v>13</v>
      </c>
      <c r="E55" s="157">
        <v>13</v>
      </c>
      <c r="F55" s="154">
        <v>11.71</v>
      </c>
      <c r="G55" s="149">
        <v>10.02</v>
      </c>
      <c r="H55" s="146"/>
      <c r="I55" s="132" t="s">
        <v>32</v>
      </c>
      <c r="J55" s="133" t="s">
        <v>35</v>
      </c>
      <c r="K55" s="131" t="s">
        <v>39</v>
      </c>
      <c r="L55" s="132">
        <v>20</v>
      </c>
      <c r="M55" s="132">
        <v>12.49</v>
      </c>
      <c r="N55" s="133">
        <v>249.8</v>
      </c>
      <c r="O55" s="131"/>
      <c r="P55" s="132"/>
      <c r="Q55" s="132"/>
      <c r="R55" s="134"/>
      <c r="S55" s="38"/>
    </row>
    <row r="56" spans="1:19" ht="33.75" x14ac:dyDescent="0.5">
      <c r="A56" s="59"/>
      <c r="B56" s="76" t="s">
        <v>30</v>
      </c>
      <c r="C56" s="137" t="s">
        <v>33</v>
      </c>
      <c r="D56" s="138">
        <v>57</v>
      </c>
      <c r="E56" s="157">
        <v>0</v>
      </c>
      <c r="F56" s="154">
        <v>0.72</v>
      </c>
      <c r="G56" s="149">
        <v>0</v>
      </c>
      <c r="H56" s="146"/>
      <c r="I56" s="132" t="s">
        <v>33</v>
      </c>
      <c r="J56" s="133" t="s">
        <v>35</v>
      </c>
      <c r="K56" s="131" t="s">
        <v>30</v>
      </c>
      <c r="L56" s="132">
        <v>57</v>
      </c>
      <c r="M56" s="132">
        <v>0.72</v>
      </c>
      <c r="N56" s="133">
        <v>41.04</v>
      </c>
      <c r="O56" s="131"/>
      <c r="P56" s="132"/>
      <c r="Q56" s="132"/>
      <c r="R56" s="134"/>
      <c r="S56" s="38"/>
    </row>
    <row r="57" spans="1:19" ht="33.75" x14ac:dyDescent="0.5">
      <c r="A57" s="59"/>
      <c r="B57" s="76" t="s">
        <v>36</v>
      </c>
      <c r="C57" s="137" t="s">
        <v>88</v>
      </c>
      <c r="D57" s="138">
        <v>13</v>
      </c>
      <c r="E57" s="157">
        <v>0</v>
      </c>
      <c r="F57" s="154">
        <v>30.472999999999999</v>
      </c>
      <c r="G57" s="149">
        <v>0</v>
      </c>
      <c r="H57" s="146"/>
      <c r="I57" s="132" t="s">
        <v>72</v>
      </c>
      <c r="J57" s="133" t="s">
        <v>42</v>
      </c>
      <c r="K57" s="131" t="s">
        <v>34</v>
      </c>
      <c r="L57" s="132">
        <v>13</v>
      </c>
      <c r="M57" s="132">
        <v>10.02</v>
      </c>
      <c r="N57" s="133">
        <v>130.26</v>
      </c>
      <c r="O57" s="131"/>
      <c r="P57" s="132"/>
      <c r="Q57" s="132"/>
      <c r="R57" s="134"/>
      <c r="S57" s="38"/>
    </row>
    <row r="58" spans="1:19" ht="33.75" x14ac:dyDescent="0.5">
      <c r="A58" s="59"/>
      <c r="B58" s="76" t="s">
        <v>38</v>
      </c>
      <c r="C58" s="206">
        <v>43810</v>
      </c>
      <c r="D58" s="138">
        <v>9</v>
      </c>
      <c r="E58" s="157">
        <v>0</v>
      </c>
      <c r="F58" s="154">
        <v>23.4</v>
      </c>
      <c r="G58" s="149">
        <v>0</v>
      </c>
      <c r="H58" s="146"/>
      <c r="I58" s="132" t="s">
        <v>52</v>
      </c>
      <c r="J58" s="133" t="s">
        <v>53</v>
      </c>
      <c r="K58" s="131" t="s">
        <v>54</v>
      </c>
      <c r="L58" s="132" t="s">
        <v>55</v>
      </c>
      <c r="M58" s="132" t="s">
        <v>56</v>
      </c>
      <c r="N58" s="133" t="s">
        <v>57</v>
      </c>
      <c r="O58" s="131"/>
      <c r="P58" s="132"/>
      <c r="Q58" s="132"/>
      <c r="R58" s="134"/>
      <c r="S58" s="38"/>
    </row>
    <row r="59" spans="1:19" ht="33.75" x14ac:dyDescent="0.5">
      <c r="A59" s="59"/>
      <c r="B59" s="76" t="s">
        <v>39</v>
      </c>
      <c r="C59" s="137" t="s">
        <v>32</v>
      </c>
      <c r="D59" s="138">
        <v>20</v>
      </c>
      <c r="E59" s="157">
        <v>0</v>
      </c>
      <c r="F59" s="154">
        <v>12.49</v>
      </c>
      <c r="G59" s="149">
        <v>0</v>
      </c>
      <c r="H59" s="146"/>
      <c r="I59" s="159">
        <v>43594</v>
      </c>
      <c r="J59" s="133" t="s">
        <v>35</v>
      </c>
      <c r="K59" s="131" t="s">
        <v>46</v>
      </c>
      <c r="L59" s="132">
        <v>5</v>
      </c>
      <c r="M59" s="132">
        <v>26.14</v>
      </c>
      <c r="N59" s="133">
        <v>130.69999999999999</v>
      </c>
      <c r="O59" s="131"/>
      <c r="P59" s="132"/>
      <c r="Q59" s="132"/>
      <c r="R59" s="134"/>
      <c r="S59" s="38"/>
    </row>
    <row r="60" spans="1:19" ht="33.75" x14ac:dyDescent="0.5">
      <c r="A60" s="59"/>
      <c r="B60" s="76" t="s">
        <v>58</v>
      </c>
      <c r="C60" s="137" t="s">
        <v>59</v>
      </c>
      <c r="D60" s="138" t="s">
        <v>60</v>
      </c>
      <c r="E60" s="157" t="s">
        <v>61</v>
      </c>
      <c r="F60" s="154" t="s">
        <v>62</v>
      </c>
      <c r="G60" s="149" t="s">
        <v>63</v>
      </c>
      <c r="H60" s="146"/>
      <c r="I60" s="132" t="s">
        <v>40</v>
      </c>
      <c r="J60" s="133" t="s">
        <v>35</v>
      </c>
      <c r="K60" s="131" t="s">
        <v>48</v>
      </c>
      <c r="L60" s="132">
        <v>4</v>
      </c>
      <c r="M60" s="132">
        <v>153.69999999999999</v>
      </c>
      <c r="N60" s="133">
        <v>614.79999999999995</v>
      </c>
      <c r="O60" s="131"/>
      <c r="P60" s="132"/>
      <c r="Q60" s="132"/>
      <c r="R60" s="134"/>
      <c r="S60" s="38"/>
    </row>
    <row r="61" spans="1:19" ht="33.75" x14ac:dyDescent="0.5">
      <c r="A61" s="59"/>
      <c r="B61" s="76" t="s">
        <v>34</v>
      </c>
      <c r="C61" s="137" t="s">
        <v>44</v>
      </c>
      <c r="D61" s="138">
        <v>33</v>
      </c>
      <c r="E61" s="157">
        <v>33</v>
      </c>
      <c r="F61" s="154">
        <v>9.06</v>
      </c>
      <c r="G61" s="149">
        <v>9.42</v>
      </c>
      <c r="H61" s="146"/>
      <c r="I61" s="132" t="s">
        <v>40</v>
      </c>
      <c r="J61" s="133" t="s">
        <v>35</v>
      </c>
      <c r="K61" s="131" t="s">
        <v>46</v>
      </c>
      <c r="L61" s="132">
        <v>12</v>
      </c>
      <c r="M61" s="132">
        <v>29.98</v>
      </c>
      <c r="N61" s="133">
        <v>359.76</v>
      </c>
      <c r="O61" s="131"/>
      <c r="P61" s="132"/>
      <c r="Q61" s="132"/>
      <c r="R61" s="134"/>
      <c r="S61" s="38"/>
    </row>
    <row r="62" spans="1:19" ht="33.75" x14ac:dyDescent="0.5">
      <c r="A62" s="59"/>
      <c r="B62" s="76" t="s">
        <v>36</v>
      </c>
      <c r="C62" s="206">
        <v>43565</v>
      </c>
      <c r="D62" s="138">
        <v>4</v>
      </c>
      <c r="E62" s="157">
        <v>0</v>
      </c>
      <c r="F62" s="154">
        <v>22.45</v>
      </c>
      <c r="G62" s="149">
        <v>0</v>
      </c>
      <c r="H62" s="146"/>
      <c r="I62" s="132" t="s">
        <v>40</v>
      </c>
      <c r="J62" s="133" t="s">
        <v>35</v>
      </c>
      <c r="K62" s="131" t="s">
        <v>50</v>
      </c>
      <c r="L62" s="132">
        <v>9</v>
      </c>
      <c r="M62" s="132">
        <v>0.98</v>
      </c>
      <c r="N62" s="133">
        <v>8.82</v>
      </c>
      <c r="O62" s="131"/>
      <c r="P62" s="132"/>
      <c r="Q62" s="132"/>
      <c r="R62" s="134"/>
      <c r="S62" s="38"/>
    </row>
    <row r="63" spans="1:19" ht="33.75" x14ac:dyDescent="0.5">
      <c r="A63" s="59"/>
      <c r="B63" s="76" t="s">
        <v>45</v>
      </c>
      <c r="C63" s="137" t="s">
        <v>43</v>
      </c>
      <c r="D63" s="138">
        <v>13</v>
      </c>
      <c r="E63" s="157">
        <v>0</v>
      </c>
      <c r="F63" s="154">
        <v>26.4</v>
      </c>
      <c r="G63" s="149">
        <v>0</v>
      </c>
      <c r="H63" s="146"/>
      <c r="I63" s="132" t="s">
        <v>40</v>
      </c>
      <c r="J63" s="133" t="s">
        <v>35</v>
      </c>
      <c r="K63" s="131" t="s">
        <v>50</v>
      </c>
      <c r="L63" s="132">
        <v>2</v>
      </c>
      <c r="M63" s="132">
        <v>0.98</v>
      </c>
      <c r="N63" s="133">
        <v>1.96</v>
      </c>
      <c r="O63" s="131"/>
      <c r="P63" s="132"/>
      <c r="Q63" s="132"/>
      <c r="R63" s="134"/>
      <c r="S63" s="38"/>
    </row>
    <row r="64" spans="1:19" ht="33.75" x14ac:dyDescent="0.5">
      <c r="A64" s="59"/>
      <c r="B64" s="76" t="s">
        <v>46</v>
      </c>
      <c r="C64" s="137" t="s">
        <v>47</v>
      </c>
      <c r="D64" s="138">
        <v>17</v>
      </c>
      <c r="E64" s="157">
        <v>17</v>
      </c>
      <c r="F64" s="154">
        <v>28.850999999999999</v>
      </c>
      <c r="G64" s="149">
        <v>34.256</v>
      </c>
      <c r="H64" s="146"/>
      <c r="I64" s="159">
        <v>43565</v>
      </c>
      <c r="J64" s="133" t="s">
        <v>35</v>
      </c>
      <c r="K64" s="131" t="s">
        <v>36</v>
      </c>
      <c r="L64" s="132">
        <v>4</v>
      </c>
      <c r="M64" s="132">
        <v>22.45</v>
      </c>
      <c r="N64" s="133">
        <v>89.8</v>
      </c>
      <c r="O64" s="131"/>
      <c r="P64" s="132"/>
      <c r="Q64" s="132"/>
      <c r="R64" s="134"/>
      <c r="S64" s="38"/>
    </row>
    <row r="65" spans="1:19" ht="33.75" x14ac:dyDescent="0.5">
      <c r="A65" s="59"/>
      <c r="B65" s="76" t="s">
        <v>48</v>
      </c>
      <c r="C65" s="137" t="s">
        <v>49</v>
      </c>
      <c r="D65" s="138">
        <v>4</v>
      </c>
      <c r="E65" s="157">
        <v>4</v>
      </c>
      <c r="F65" s="154">
        <v>153.69999999999999</v>
      </c>
      <c r="G65" s="149">
        <v>161.4</v>
      </c>
      <c r="H65" s="146"/>
      <c r="I65" s="132" t="s">
        <v>41</v>
      </c>
      <c r="J65" s="133" t="s">
        <v>42</v>
      </c>
      <c r="K65" s="131" t="s">
        <v>48</v>
      </c>
      <c r="L65" s="132">
        <v>4</v>
      </c>
      <c r="M65" s="132">
        <v>161.4</v>
      </c>
      <c r="N65" s="133">
        <v>645.6</v>
      </c>
      <c r="O65" s="131"/>
      <c r="P65" s="132"/>
      <c r="Q65" s="132"/>
      <c r="R65" s="134"/>
      <c r="S65" s="38"/>
    </row>
    <row r="66" spans="1:19" ht="33.75" x14ac:dyDescent="0.5">
      <c r="A66" s="59"/>
      <c r="B66" s="76" t="s">
        <v>50</v>
      </c>
      <c r="C66" s="137" t="s">
        <v>51</v>
      </c>
      <c r="D66" s="138">
        <v>11</v>
      </c>
      <c r="E66" s="157">
        <v>11</v>
      </c>
      <c r="F66" s="154">
        <v>0.98</v>
      </c>
      <c r="G66" s="149">
        <v>1.01</v>
      </c>
      <c r="H66" s="146"/>
      <c r="I66" s="132" t="s">
        <v>43</v>
      </c>
      <c r="J66" s="133" t="s">
        <v>35</v>
      </c>
      <c r="K66" s="131" t="s">
        <v>34</v>
      </c>
      <c r="L66" s="132">
        <v>33</v>
      </c>
      <c r="M66" s="132">
        <v>9.06</v>
      </c>
      <c r="N66" s="133">
        <v>298.98</v>
      </c>
      <c r="O66" s="131"/>
      <c r="P66" s="132"/>
      <c r="Q66" s="132"/>
      <c r="R66" s="134"/>
      <c r="S66" s="38"/>
    </row>
    <row r="67" spans="1:19" ht="33.75" x14ac:dyDescent="0.5">
      <c r="A67" s="59"/>
      <c r="B67" s="76" t="s">
        <v>58</v>
      </c>
      <c r="C67" s="137" t="s">
        <v>59</v>
      </c>
      <c r="D67" s="138" t="s">
        <v>60</v>
      </c>
      <c r="E67" s="157" t="s">
        <v>61</v>
      </c>
      <c r="F67" s="154" t="s">
        <v>62</v>
      </c>
      <c r="G67" s="149" t="s">
        <v>63</v>
      </c>
      <c r="H67" s="146"/>
      <c r="I67" s="132" t="s">
        <v>43</v>
      </c>
      <c r="J67" s="133" t="s">
        <v>35</v>
      </c>
      <c r="K67" s="131" t="s">
        <v>45</v>
      </c>
      <c r="L67" s="132">
        <v>13</v>
      </c>
      <c r="M67" s="132">
        <v>26.4</v>
      </c>
      <c r="N67" s="133">
        <v>343.2</v>
      </c>
      <c r="O67" s="131"/>
      <c r="P67" s="132"/>
      <c r="Q67" s="132"/>
      <c r="R67" s="134"/>
      <c r="S67" s="38"/>
    </row>
    <row r="68" spans="1:19" ht="33.75" x14ac:dyDescent="0.5">
      <c r="A68" s="59"/>
      <c r="B68" s="76" t="s">
        <v>34</v>
      </c>
      <c r="C68" s="137" t="s">
        <v>71</v>
      </c>
      <c r="D68" s="138">
        <v>13</v>
      </c>
      <c r="E68" s="157">
        <v>13</v>
      </c>
      <c r="F68" s="154">
        <v>11.71</v>
      </c>
      <c r="G68" s="149">
        <v>10.02</v>
      </c>
      <c r="H68" s="146"/>
      <c r="I68" s="159">
        <v>43566</v>
      </c>
      <c r="J68" s="133" t="s">
        <v>42</v>
      </c>
      <c r="K68" s="131" t="s">
        <v>34</v>
      </c>
      <c r="L68" s="132">
        <v>33</v>
      </c>
      <c r="M68" s="132">
        <v>9.42</v>
      </c>
      <c r="N68" s="133">
        <v>310.86</v>
      </c>
      <c r="O68" s="131"/>
      <c r="P68" s="132"/>
      <c r="Q68" s="132"/>
      <c r="R68" s="134"/>
      <c r="S68" s="38"/>
    </row>
    <row r="69" spans="1:19" ht="33.75" x14ac:dyDescent="0.5">
      <c r="A69" s="59"/>
      <c r="B69" s="76" t="s">
        <v>30</v>
      </c>
      <c r="C69" s="137" t="s">
        <v>33</v>
      </c>
      <c r="D69" s="138">
        <v>57</v>
      </c>
      <c r="E69" s="157">
        <v>0</v>
      </c>
      <c r="F69" s="154">
        <v>0.72</v>
      </c>
      <c r="G69" s="149">
        <v>0</v>
      </c>
      <c r="H69" s="146"/>
      <c r="I69" s="159">
        <v>43657</v>
      </c>
      <c r="J69" s="133" t="s">
        <v>42</v>
      </c>
      <c r="K69" s="131" t="s">
        <v>46</v>
      </c>
      <c r="L69" s="132">
        <v>16</v>
      </c>
      <c r="M69" s="132">
        <v>34.25</v>
      </c>
      <c r="N69" s="133">
        <v>548</v>
      </c>
      <c r="O69" s="131"/>
      <c r="P69" s="132"/>
      <c r="Q69" s="132"/>
      <c r="R69" s="134"/>
      <c r="S69" s="38"/>
    </row>
    <row r="70" spans="1:19" ht="33.75" x14ac:dyDescent="0.5">
      <c r="A70" s="59"/>
      <c r="B70" s="76" t="s">
        <v>36</v>
      </c>
      <c r="C70" s="137" t="s">
        <v>88</v>
      </c>
      <c r="D70" s="138">
        <v>13</v>
      </c>
      <c r="E70" s="157">
        <v>0</v>
      </c>
      <c r="F70" s="154">
        <v>30.472999999999999</v>
      </c>
      <c r="G70" s="149">
        <v>0</v>
      </c>
      <c r="H70" s="146"/>
      <c r="I70" s="159">
        <v>43657</v>
      </c>
      <c r="J70" s="133" t="s">
        <v>42</v>
      </c>
      <c r="K70" s="131" t="s">
        <v>46</v>
      </c>
      <c r="L70" s="132">
        <v>1</v>
      </c>
      <c r="M70" s="132">
        <v>34.35</v>
      </c>
      <c r="N70" s="133">
        <v>34.35</v>
      </c>
      <c r="O70" s="131"/>
      <c r="P70" s="132"/>
      <c r="Q70" s="132"/>
      <c r="R70" s="134"/>
      <c r="S70" s="38"/>
    </row>
    <row r="71" spans="1:19" ht="33.75" x14ac:dyDescent="0.5">
      <c r="A71" s="59"/>
      <c r="B71" s="76" t="s">
        <v>38</v>
      </c>
      <c r="C71" s="206">
        <v>43810</v>
      </c>
      <c r="D71" s="138">
        <v>9</v>
      </c>
      <c r="E71" s="157">
        <v>0</v>
      </c>
      <c r="F71" s="154">
        <v>23.4</v>
      </c>
      <c r="G71" s="149">
        <v>0</v>
      </c>
      <c r="H71" s="146"/>
      <c r="I71" s="159">
        <v>43688</v>
      </c>
      <c r="J71" s="133" t="s">
        <v>42</v>
      </c>
      <c r="K71" s="131" t="s">
        <v>50</v>
      </c>
      <c r="L71" s="132">
        <v>11</v>
      </c>
      <c r="M71" s="132">
        <v>1.01</v>
      </c>
      <c r="N71" s="133">
        <v>11.11</v>
      </c>
      <c r="O71" s="131"/>
      <c r="P71" s="132"/>
      <c r="Q71" s="132"/>
      <c r="R71" s="134"/>
      <c r="S71" s="38"/>
    </row>
    <row r="72" spans="1:19" ht="33.75" x14ac:dyDescent="0.5">
      <c r="A72" s="59"/>
      <c r="B72" s="76" t="s">
        <v>39</v>
      </c>
      <c r="C72" s="137" t="s">
        <v>32</v>
      </c>
      <c r="D72" s="138">
        <v>20</v>
      </c>
      <c r="E72" s="157">
        <v>0</v>
      </c>
      <c r="F72" s="154">
        <v>12.49</v>
      </c>
      <c r="G72" s="149">
        <v>0</v>
      </c>
      <c r="H72" s="146"/>
      <c r="I72" s="132" t="s">
        <v>52</v>
      </c>
      <c r="J72" s="133" t="s">
        <v>53</v>
      </c>
      <c r="K72" s="131" t="s">
        <v>54</v>
      </c>
      <c r="L72" s="132" t="s">
        <v>55</v>
      </c>
      <c r="M72" s="132" t="s">
        <v>56</v>
      </c>
      <c r="N72" s="133" t="s">
        <v>57</v>
      </c>
      <c r="O72" s="131"/>
      <c r="P72" s="132"/>
      <c r="Q72" s="132"/>
      <c r="R72" s="134"/>
      <c r="S72" s="38"/>
    </row>
    <row r="73" spans="1:19" ht="33.75" x14ac:dyDescent="0.5">
      <c r="A73" s="59"/>
      <c r="B73" s="76" t="s">
        <v>58</v>
      </c>
      <c r="C73" s="137" t="s">
        <v>59</v>
      </c>
      <c r="D73" s="138" t="s">
        <v>60</v>
      </c>
      <c r="E73" s="157" t="s">
        <v>61</v>
      </c>
      <c r="F73" s="154" t="s">
        <v>62</v>
      </c>
      <c r="G73" s="149" t="s">
        <v>63</v>
      </c>
      <c r="H73" s="146"/>
      <c r="I73" s="159">
        <v>43810</v>
      </c>
      <c r="J73" s="133" t="s">
        <v>35</v>
      </c>
      <c r="K73" s="131" t="s">
        <v>36</v>
      </c>
      <c r="L73" s="132">
        <v>5</v>
      </c>
      <c r="M73" s="132">
        <v>28.29</v>
      </c>
      <c r="N73" s="133">
        <v>141.44999999999999</v>
      </c>
      <c r="O73" s="131"/>
      <c r="P73" s="132"/>
      <c r="Q73" s="132"/>
      <c r="R73" s="134"/>
      <c r="S73" s="38"/>
    </row>
    <row r="74" spans="1:19" ht="33.75" x14ac:dyDescent="0.5">
      <c r="A74" s="59"/>
      <c r="B74" s="76" t="s">
        <v>34</v>
      </c>
      <c r="C74" s="137" t="s">
        <v>44</v>
      </c>
      <c r="D74" s="138">
        <v>33</v>
      </c>
      <c r="E74" s="157">
        <v>33</v>
      </c>
      <c r="F74" s="154">
        <v>9.06</v>
      </c>
      <c r="G74" s="149">
        <v>9.42</v>
      </c>
      <c r="H74" s="146"/>
      <c r="I74" s="159">
        <v>43810</v>
      </c>
      <c r="J74" s="133" t="s">
        <v>35</v>
      </c>
      <c r="K74" s="131" t="s">
        <v>38</v>
      </c>
      <c r="L74" s="132">
        <v>9</v>
      </c>
      <c r="M74" s="132">
        <v>23.4</v>
      </c>
      <c r="N74" s="133">
        <v>210.6</v>
      </c>
      <c r="O74" s="131"/>
      <c r="P74" s="132"/>
      <c r="Q74" s="132"/>
      <c r="R74" s="134"/>
      <c r="S74" s="38"/>
    </row>
    <row r="75" spans="1:19" ht="33.75" x14ac:dyDescent="0.5">
      <c r="A75" s="59"/>
      <c r="B75" s="76" t="s">
        <v>36</v>
      </c>
      <c r="C75" s="206">
        <v>43565</v>
      </c>
      <c r="D75" s="138">
        <v>4</v>
      </c>
      <c r="E75" s="157">
        <v>0</v>
      </c>
      <c r="F75" s="154">
        <v>22.45</v>
      </c>
      <c r="G75" s="149">
        <v>0</v>
      </c>
      <c r="H75" s="146"/>
      <c r="I75" s="132" t="s">
        <v>32</v>
      </c>
      <c r="J75" s="133" t="s">
        <v>35</v>
      </c>
      <c r="K75" s="131" t="s">
        <v>34</v>
      </c>
      <c r="L75" s="132">
        <v>13</v>
      </c>
      <c r="M75" s="132">
        <v>11.71</v>
      </c>
      <c r="N75" s="133">
        <v>152.22999999999999</v>
      </c>
      <c r="O75" s="131"/>
      <c r="P75" s="132"/>
      <c r="Q75" s="132"/>
      <c r="R75" s="134"/>
      <c r="S75" s="38"/>
    </row>
    <row r="76" spans="1:19" ht="33.75" x14ac:dyDescent="0.5">
      <c r="A76" s="59"/>
      <c r="B76" s="76" t="s">
        <v>45</v>
      </c>
      <c r="C76" s="137" t="s">
        <v>43</v>
      </c>
      <c r="D76" s="138">
        <v>13</v>
      </c>
      <c r="E76" s="157">
        <v>0</v>
      </c>
      <c r="F76" s="154">
        <v>26.4</v>
      </c>
      <c r="G76" s="149">
        <v>0</v>
      </c>
      <c r="H76" s="146"/>
      <c r="I76" s="132" t="s">
        <v>32</v>
      </c>
      <c r="J76" s="133" t="s">
        <v>35</v>
      </c>
      <c r="K76" s="131" t="s">
        <v>36</v>
      </c>
      <c r="L76" s="132">
        <v>2</v>
      </c>
      <c r="M76" s="132">
        <v>40.26</v>
      </c>
      <c r="N76" s="133">
        <v>80.52</v>
      </c>
      <c r="O76" s="131"/>
      <c r="P76" s="132"/>
      <c r="Q76" s="132"/>
      <c r="R76" s="134"/>
      <c r="S76" s="38"/>
    </row>
    <row r="77" spans="1:19" ht="33.75" x14ac:dyDescent="0.5">
      <c r="A77" s="59"/>
      <c r="B77" s="76" t="s">
        <v>46</v>
      </c>
      <c r="C77" s="137" t="s">
        <v>47</v>
      </c>
      <c r="D77" s="138">
        <v>17</v>
      </c>
      <c r="E77" s="157">
        <v>17</v>
      </c>
      <c r="F77" s="154">
        <v>28.850999999999999</v>
      </c>
      <c r="G77" s="149">
        <v>34.256</v>
      </c>
      <c r="H77" s="146"/>
      <c r="I77" s="132" t="s">
        <v>32</v>
      </c>
      <c r="J77" s="133" t="s">
        <v>35</v>
      </c>
      <c r="K77" s="131" t="s">
        <v>39</v>
      </c>
      <c r="L77" s="132">
        <v>20</v>
      </c>
      <c r="M77" s="132">
        <v>12.49</v>
      </c>
      <c r="N77" s="133">
        <v>249.8</v>
      </c>
      <c r="O77" s="131"/>
      <c r="P77" s="132"/>
      <c r="Q77" s="132"/>
      <c r="R77" s="134"/>
      <c r="S77" s="38"/>
    </row>
    <row r="78" spans="1:19" ht="33.75" x14ac:dyDescent="0.5">
      <c r="A78" s="59"/>
      <c r="B78" s="76" t="s">
        <v>48</v>
      </c>
      <c r="C78" s="137" t="s">
        <v>49</v>
      </c>
      <c r="D78" s="138">
        <v>4</v>
      </c>
      <c r="E78" s="157">
        <v>4</v>
      </c>
      <c r="F78" s="154">
        <v>153.69999999999999</v>
      </c>
      <c r="G78" s="149">
        <v>161.4</v>
      </c>
      <c r="H78" s="146"/>
      <c r="I78" s="132" t="s">
        <v>33</v>
      </c>
      <c r="J78" s="133" t="s">
        <v>35</v>
      </c>
      <c r="K78" s="131" t="s">
        <v>30</v>
      </c>
      <c r="L78" s="132">
        <v>57</v>
      </c>
      <c r="M78" s="132">
        <v>0.72</v>
      </c>
      <c r="N78" s="133">
        <v>41.04</v>
      </c>
      <c r="O78" s="131"/>
      <c r="P78" s="132"/>
      <c r="Q78" s="132"/>
      <c r="R78" s="134"/>
      <c r="S78" s="38"/>
    </row>
    <row r="79" spans="1:19" ht="33.75" x14ac:dyDescent="0.5">
      <c r="A79" s="59"/>
      <c r="B79" s="76" t="s">
        <v>50</v>
      </c>
      <c r="C79" s="137" t="s">
        <v>51</v>
      </c>
      <c r="D79" s="138">
        <v>11</v>
      </c>
      <c r="E79" s="157">
        <v>11</v>
      </c>
      <c r="F79" s="154">
        <v>0.98</v>
      </c>
      <c r="G79" s="149">
        <v>1.01</v>
      </c>
      <c r="H79" s="146"/>
      <c r="I79" s="132" t="s">
        <v>72</v>
      </c>
      <c r="J79" s="133" t="s">
        <v>42</v>
      </c>
      <c r="K79" s="131" t="s">
        <v>34</v>
      </c>
      <c r="L79" s="132">
        <v>13</v>
      </c>
      <c r="M79" s="132">
        <v>10.02</v>
      </c>
      <c r="N79" s="133">
        <v>130.26</v>
      </c>
      <c r="O79" s="131"/>
      <c r="P79" s="132"/>
      <c r="Q79" s="132"/>
      <c r="R79" s="134"/>
      <c r="S79" s="38"/>
    </row>
    <row r="80" spans="1:19" ht="33.75" x14ac:dyDescent="0.5">
      <c r="A80" s="59"/>
      <c r="B80" s="76"/>
      <c r="C80" s="137"/>
      <c r="D80" s="138"/>
      <c r="E80" s="157"/>
      <c r="F80" s="154"/>
      <c r="G80" s="149"/>
      <c r="H80" s="146"/>
      <c r="I80" s="132" t="s">
        <v>52</v>
      </c>
      <c r="J80" s="133" t="s">
        <v>53</v>
      </c>
      <c r="K80" s="131" t="s">
        <v>54</v>
      </c>
      <c r="L80" s="132" t="s">
        <v>55</v>
      </c>
      <c r="M80" s="132" t="s">
        <v>56</v>
      </c>
      <c r="N80" s="133" t="s">
        <v>57</v>
      </c>
      <c r="O80" s="131"/>
      <c r="P80" s="132"/>
      <c r="Q80" s="132"/>
      <c r="R80" s="134"/>
      <c r="S80" s="38"/>
    </row>
    <row r="81" spans="1:19" ht="33.75" x14ac:dyDescent="0.5">
      <c r="A81" s="59"/>
      <c r="B81" s="76"/>
      <c r="C81" s="137"/>
      <c r="D81" s="138"/>
      <c r="E81" s="157"/>
      <c r="F81" s="154"/>
      <c r="G81" s="149"/>
      <c r="H81" s="146"/>
      <c r="I81" s="159">
        <v>43594</v>
      </c>
      <c r="J81" s="133" t="s">
        <v>35</v>
      </c>
      <c r="K81" s="131" t="s">
        <v>46</v>
      </c>
      <c r="L81" s="132">
        <v>5</v>
      </c>
      <c r="M81" s="132">
        <v>26.14</v>
      </c>
      <c r="N81" s="133">
        <v>130.69999999999999</v>
      </c>
      <c r="O81" s="131"/>
      <c r="P81" s="132"/>
      <c r="Q81" s="132"/>
      <c r="R81" s="134"/>
      <c r="S81" s="38"/>
    </row>
    <row r="82" spans="1:19" ht="33.75" x14ac:dyDescent="0.5">
      <c r="A82" s="59"/>
      <c r="B82" s="76"/>
      <c r="C82" s="137"/>
      <c r="D82" s="138"/>
      <c r="E82" s="157"/>
      <c r="F82" s="154"/>
      <c r="G82" s="149"/>
      <c r="H82" s="146"/>
      <c r="I82" s="132" t="s">
        <v>40</v>
      </c>
      <c r="J82" s="133" t="s">
        <v>35</v>
      </c>
      <c r="K82" s="131" t="s">
        <v>48</v>
      </c>
      <c r="L82" s="132">
        <v>4</v>
      </c>
      <c r="M82" s="132">
        <v>153.69999999999999</v>
      </c>
      <c r="N82" s="133">
        <v>614.79999999999995</v>
      </c>
      <c r="O82" s="131"/>
      <c r="P82" s="132"/>
      <c r="Q82" s="132"/>
      <c r="R82" s="134"/>
      <c r="S82" s="38"/>
    </row>
    <row r="83" spans="1:19" ht="33.75" x14ac:dyDescent="0.5">
      <c r="A83" s="59"/>
      <c r="B83" s="76"/>
      <c r="C83" s="137"/>
      <c r="D83" s="138"/>
      <c r="E83" s="157"/>
      <c r="F83" s="154"/>
      <c r="G83" s="149"/>
      <c r="H83" s="146"/>
      <c r="I83" s="132" t="s">
        <v>40</v>
      </c>
      <c r="J83" s="133" t="s">
        <v>35</v>
      </c>
      <c r="K83" s="131" t="s">
        <v>46</v>
      </c>
      <c r="L83" s="132">
        <v>12</v>
      </c>
      <c r="M83" s="132">
        <v>29.98</v>
      </c>
      <c r="N83" s="133">
        <v>359.76</v>
      </c>
      <c r="O83" s="131"/>
      <c r="P83" s="132"/>
      <c r="Q83" s="132"/>
      <c r="R83" s="134"/>
      <c r="S83" s="38"/>
    </row>
    <row r="84" spans="1:19" ht="33.75" x14ac:dyDescent="0.5">
      <c r="A84" s="59"/>
      <c r="B84" s="76"/>
      <c r="C84" s="137"/>
      <c r="D84" s="138"/>
      <c r="E84" s="157"/>
      <c r="F84" s="154"/>
      <c r="G84" s="149"/>
      <c r="H84" s="146"/>
      <c r="I84" s="132" t="s">
        <v>40</v>
      </c>
      <c r="J84" s="133" t="s">
        <v>35</v>
      </c>
      <c r="K84" s="131" t="s">
        <v>50</v>
      </c>
      <c r="L84" s="132">
        <v>2</v>
      </c>
      <c r="M84" s="132">
        <v>0.98</v>
      </c>
      <c r="N84" s="133">
        <v>1.96</v>
      </c>
      <c r="O84" s="131"/>
      <c r="P84" s="132"/>
      <c r="Q84" s="132"/>
      <c r="R84" s="134"/>
      <c r="S84" s="38"/>
    </row>
    <row r="85" spans="1:19" ht="33.75" x14ac:dyDescent="0.5">
      <c r="A85" s="59"/>
      <c r="B85" s="76"/>
      <c r="C85" s="137"/>
      <c r="D85" s="138"/>
      <c r="E85" s="157"/>
      <c r="F85" s="154"/>
      <c r="G85" s="149"/>
      <c r="H85" s="146"/>
      <c r="I85" s="132" t="s">
        <v>40</v>
      </c>
      <c r="J85" s="133" t="s">
        <v>35</v>
      </c>
      <c r="K85" s="131" t="s">
        <v>50</v>
      </c>
      <c r="L85" s="132">
        <v>9</v>
      </c>
      <c r="M85" s="132">
        <v>0.98</v>
      </c>
      <c r="N85" s="133">
        <v>8.82</v>
      </c>
      <c r="O85" s="131"/>
      <c r="P85" s="132"/>
      <c r="Q85" s="132"/>
      <c r="R85" s="134"/>
      <c r="S85" s="38"/>
    </row>
    <row r="86" spans="1:19" ht="33.75" x14ac:dyDescent="0.5">
      <c r="A86" s="59"/>
      <c r="B86" s="76"/>
      <c r="C86" s="137"/>
      <c r="D86" s="138"/>
      <c r="E86" s="157"/>
      <c r="F86" s="154"/>
      <c r="G86" s="149"/>
      <c r="H86" s="146"/>
      <c r="I86" s="159">
        <v>43565</v>
      </c>
      <c r="J86" s="133" t="s">
        <v>35</v>
      </c>
      <c r="K86" s="131" t="s">
        <v>36</v>
      </c>
      <c r="L86" s="132">
        <v>4</v>
      </c>
      <c r="M86" s="132">
        <v>22.45</v>
      </c>
      <c r="N86" s="133">
        <v>89.8</v>
      </c>
      <c r="O86" s="131"/>
      <c r="P86" s="132"/>
      <c r="Q86" s="132"/>
      <c r="R86" s="134"/>
      <c r="S86" s="38"/>
    </row>
    <row r="87" spans="1:19" ht="33.75" x14ac:dyDescent="0.5">
      <c r="A87" s="59"/>
      <c r="B87" s="76"/>
      <c r="C87" s="137"/>
      <c r="D87" s="138"/>
      <c r="E87" s="157"/>
      <c r="F87" s="154"/>
      <c r="G87" s="149"/>
      <c r="H87" s="146"/>
      <c r="I87" s="132" t="s">
        <v>41</v>
      </c>
      <c r="J87" s="133" t="s">
        <v>42</v>
      </c>
      <c r="K87" s="131" t="s">
        <v>48</v>
      </c>
      <c r="L87" s="132">
        <v>4</v>
      </c>
      <c r="M87" s="132">
        <v>161.4</v>
      </c>
      <c r="N87" s="133">
        <v>645.6</v>
      </c>
      <c r="O87" s="131"/>
      <c r="P87" s="132"/>
      <c r="Q87" s="132"/>
      <c r="R87" s="134"/>
      <c r="S87" s="38"/>
    </row>
    <row r="88" spans="1:19" ht="33.75" x14ac:dyDescent="0.5">
      <c r="A88" s="59"/>
      <c r="B88" s="76"/>
      <c r="C88" s="137"/>
      <c r="D88" s="138"/>
      <c r="E88" s="157"/>
      <c r="F88" s="154"/>
      <c r="G88" s="149"/>
      <c r="H88" s="146"/>
      <c r="I88" s="132" t="s">
        <v>43</v>
      </c>
      <c r="J88" s="133" t="s">
        <v>35</v>
      </c>
      <c r="K88" s="131" t="s">
        <v>34</v>
      </c>
      <c r="L88" s="132">
        <v>33</v>
      </c>
      <c r="M88" s="132">
        <v>9.06</v>
      </c>
      <c r="N88" s="133">
        <v>298.98</v>
      </c>
      <c r="O88" s="131"/>
      <c r="P88" s="132"/>
      <c r="Q88" s="132"/>
      <c r="R88" s="134"/>
      <c r="S88" s="38"/>
    </row>
    <row r="89" spans="1:19" ht="33.75" x14ac:dyDescent="0.5">
      <c r="A89" s="59"/>
      <c r="B89" s="76"/>
      <c r="C89" s="137"/>
      <c r="D89" s="138"/>
      <c r="E89" s="157"/>
      <c r="F89" s="154"/>
      <c r="G89" s="149"/>
      <c r="H89" s="146"/>
      <c r="I89" s="132" t="s">
        <v>43</v>
      </c>
      <c r="J89" s="133" t="s">
        <v>35</v>
      </c>
      <c r="K89" s="131" t="s">
        <v>45</v>
      </c>
      <c r="L89" s="132">
        <v>13</v>
      </c>
      <c r="M89" s="132">
        <v>26.4</v>
      </c>
      <c r="N89" s="133">
        <v>343.2</v>
      </c>
      <c r="O89" s="131"/>
      <c r="P89" s="132"/>
      <c r="Q89" s="132"/>
      <c r="R89" s="134"/>
      <c r="S89" s="38"/>
    </row>
    <row r="90" spans="1:19" ht="33.75" x14ac:dyDescent="0.5">
      <c r="A90" s="59"/>
      <c r="B90" s="76"/>
      <c r="C90" s="137"/>
      <c r="D90" s="138"/>
      <c r="E90" s="157"/>
      <c r="F90" s="154"/>
      <c r="G90" s="149"/>
      <c r="H90" s="146"/>
      <c r="I90" s="159">
        <v>43566</v>
      </c>
      <c r="J90" s="133" t="s">
        <v>42</v>
      </c>
      <c r="K90" s="131" t="s">
        <v>34</v>
      </c>
      <c r="L90" s="132">
        <v>33</v>
      </c>
      <c r="M90" s="132">
        <v>9.42</v>
      </c>
      <c r="N90" s="133">
        <v>310.86</v>
      </c>
      <c r="O90" s="131"/>
      <c r="P90" s="132"/>
      <c r="Q90" s="132"/>
      <c r="R90" s="134"/>
      <c r="S90" s="38"/>
    </row>
    <row r="91" spans="1:19" ht="33.75" x14ac:dyDescent="0.5">
      <c r="A91" s="59"/>
      <c r="B91" s="76"/>
      <c r="C91" s="137"/>
      <c r="D91" s="138"/>
      <c r="E91" s="157"/>
      <c r="F91" s="154"/>
      <c r="G91" s="149"/>
      <c r="H91" s="146"/>
      <c r="I91" s="159">
        <v>43657</v>
      </c>
      <c r="J91" s="133" t="s">
        <v>42</v>
      </c>
      <c r="K91" s="131" t="s">
        <v>46</v>
      </c>
      <c r="L91" s="132">
        <v>16</v>
      </c>
      <c r="M91" s="132">
        <v>34.25</v>
      </c>
      <c r="N91" s="133">
        <v>548</v>
      </c>
      <c r="O91" s="131"/>
      <c r="P91" s="132"/>
      <c r="Q91" s="132"/>
      <c r="R91" s="134"/>
      <c r="S91" s="38"/>
    </row>
    <row r="92" spans="1:19" ht="33.75" x14ac:dyDescent="0.5">
      <c r="A92" s="59"/>
      <c r="B92" s="76"/>
      <c r="C92" s="137"/>
      <c r="D92" s="138"/>
      <c r="E92" s="157"/>
      <c r="F92" s="154"/>
      <c r="G92" s="149"/>
      <c r="H92" s="146"/>
      <c r="I92" s="159">
        <v>43657</v>
      </c>
      <c r="J92" s="133" t="s">
        <v>42</v>
      </c>
      <c r="K92" s="131" t="s">
        <v>46</v>
      </c>
      <c r="L92" s="132">
        <v>1</v>
      </c>
      <c r="M92" s="132">
        <v>34.35</v>
      </c>
      <c r="N92" s="133">
        <v>34.35</v>
      </c>
      <c r="O92" s="131"/>
      <c r="P92" s="132"/>
      <c r="Q92" s="132"/>
      <c r="R92" s="134"/>
      <c r="S92" s="38"/>
    </row>
    <row r="93" spans="1:19" ht="33.75" x14ac:dyDescent="0.5">
      <c r="A93" s="59"/>
      <c r="B93" s="76"/>
      <c r="C93" s="137"/>
      <c r="D93" s="138"/>
      <c r="E93" s="157"/>
      <c r="F93" s="154" t="str">
        <f>IF(TUDO!F93="","",TUDO!F93)</f>
        <v/>
      </c>
      <c r="G93" s="149"/>
      <c r="H93" s="146"/>
      <c r="I93" s="159">
        <v>43688</v>
      </c>
      <c r="J93" s="133" t="s">
        <v>42</v>
      </c>
      <c r="K93" s="131" t="s">
        <v>50</v>
      </c>
      <c r="L93" s="132">
        <v>11</v>
      </c>
      <c r="M93" s="132">
        <v>1.01</v>
      </c>
      <c r="N93" s="133">
        <v>11.11</v>
      </c>
      <c r="O93" s="131"/>
      <c r="P93" s="132"/>
      <c r="Q93" s="132"/>
      <c r="R93" s="134"/>
      <c r="S93" s="38"/>
    </row>
    <row r="94" spans="1:19" ht="33.75" x14ac:dyDescent="0.5">
      <c r="A94" s="59"/>
      <c r="B94" s="76"/>
      <c r="C94" s="137"/>
      <c r="D94" s="138"/>
      <c r="E94" s="157"/>
      <c r="F94" s="154" t="str">
        <f>IF(TUDO!F94="","",TUDO!F94)</f>
        <v/>
      </c>
      <c r="G94" s="149"/>
      <c r="H94" s="146"/>
      <c r="I94" s="132" t="s">
        <v>43</v>
      </c>
      <c r="J94" s="133" t="s">
        <v>35</v>
      </c>
      <c r="K94" s="131" t="s">
        <v>45</v>
      </c>
      <c r="L94" s="132">
        <v>13</v>
      </c>
      <c r="M94" s="132">
        <v>26.4</v>
      </c>
      <c r="N94" s="133">
        <v>343.2</v>
      </c>
      <c r="O94" s="131"/>
      <c r="P94" s="132"/>
      <c r="Q94" s="132"/>
      <c r="R94" s="134"/>
      <c r="S94" s="38"/>
    </row>
    <row r="95" spans="1:19" ht="33.75" x14ac:dyDescent="0.5">
      <c r="A95" s="59"/>
      <c r="B95" s="76"/>
      <c r="C95" s="137"/>
      <c r="D95" s="138"/>
      <c r="E95" s="157"/>
      <c r="F95" s="154" t="str">
        <f>IF(TUDO!F95="","",TUDO!F95)</f>
        <v/>
      </c>
      <c r="G95" s="149"/>
      <c r="H95" s="146"/>
      <c r="I95" s="159">
        <v>43566</v>
      </c>
      <c r="J95" s="133" t="s">
        <v>42</v>
      </c>
      <c r="K95" s="131" t="s">
        <v>34</v>
      </c>
      <c r="L95" s="132">
        <v>33</v>
      </c>
      <c r="M95" s="132">
        <v>9.42</v>
      </c>
      <c r="N95" s="133">
        <v>310.86</v>
      </c>
      <c r="O95" s="131"/>
      <c r="P95" s="132"/>
      <c r="Q95" s="132"/>
      <c r="R95" s="134"/>
      <c r="S95" s="38"/>
    </row>
    <row r="96" spans="1:19" ht="33.75" x14ac:dyDescent="0.5">
      <c r="A96" s="59"/>
      <c r="B96" s="76"/>
      <c r="C96" s="137"/>
      <c r="D96" s="138"/>
      <c r="E96" s="157"/>
      <c r="F96" s="154" t="str">
        <f>IF(TUDO!F96="","",TUDO!F96)</f>
        <v/>
      </c>
      <c r="G96" s="149"/>
      <c r="H96" s="146"/>
      <c r="I96" s="159">
        <v>43657</v>
      </c>
      <c r="J96" s="133" t="s">
        <v>42</v>
      </c>
      <c r="K96" s="131" t="s">
        <v>46</v>
      </c>
      <c r="L96" s="132">
        <v>16</v>
      </c>
      <c r="M96" s="132">
        <v>34.25</v>
      </c>
      <c r="N96" s="133">
        <v>548</v>
      </c>
      <c r="O96" s="131"/>
      <c r="P96" s="132"/>
      <c r="Q96" s="132"/>
      <c r="R96" s="134"/>
      <c r="S96" s="38"/>
    </row>
    <row r="97" spans="1:19" ht="33.75" x14ac:dyDescent="0.5">
      <c r="A97" s="59"/>
      <c r="B97" s="76"/>
      <c r="C97" s="137"/>
      <c r="D97" s="138"/>
      <c r="E97" s="157"/>
      <c r="F97" s="154" t="str">
        <f>IF(TUDO!F97="","",TUDO!F97)</f>
        <v/>
      </c>
      <c r="G97" s="149"/>
      <c r="H97" s="146"/>
      <c r="I97" s="159">
        <v>43657</v>
      </c>
      <c r="J97" s="133" t="s">
        <v>42</v>
      </c>
      <c r="K97" s="131" t="s">
        <v>46</v>
      </c>
      <c r="L97" s="132">
        <v>1</v>
      </c>
      <c r="M97" s="132">
        <v>34.35</v>
      </c>
      <c r="N97" s="133">
        <v>34.35</v>
      </c>
      <c r="O97" s="131"/>
      <c r="P97" s="132"/>
      <c r="Q97" s="132"/>
      <c r="R97" s="134"/>
      <c r="S97" s="38"/>
    </row>
    <row r="98" spans="1:19" ht="33.75" x14ac:dyDescent="0.5">
      <c r="A98" s="59"/>
      <c r="B98" s="76"/>
      <c r="C98" s="137"/>
      <c r="D98" s="138"/>
      <c r="E98" s="157"/>
      <c r="F98" s="154" t="str">
        <f>IF(TUDO!F98="","",TUDO!F98)</f>
        <v/>
      </c>
      <c r="G98" s="149"/>
      <c r="H98" s="146"/>
      <c r="I98" s="159">
        <v>43688</v>
      </c>
      <c r="J98" s="133" t="s">
        <v>42</v>
      </c>
      <c r="K98" s="131" t="s">
        <v>50</v>
      </c>
      <c r="L98" s="132">
        <v>11</v>
      </c>
      <c r="M98" s="132">
        <v>1.01</v>
      </c>
      <c r="N98" s="133">
        <v>11.11</v>
      </c>
      <c r="O98" s="131"/>
      <c r="P98" s="132"/>
      <c r="Q98" s="132"/>
      <c r="R98" s="134"/>
      <c r="S98" s="38"/>
    </row>
    <row r="99" spans="1:19" ht="34.5" thickBot="1" x14ac:dyDescent="0.55000000000000004">
      <c r="A99" s="59"/>
      <c r="B99" s="139"/>
      <c r="C99" s="140"/>
      <c r="D99" s="141"/>
      <c r="E99" s="158"/>
      <c r="F99" s="155" t="str">
        <f>IF(TUDO!F99="","",TUDO!F99)</f>
        <v/>
      </c>
      <c r="G99" s="150"/>
      <c r="H99" s="146"/>
      <c r="I99" s="132" t="s">
        <v>52</v>
      </c>
      <c r="J99" s="133" t="s">
        <v>53</v>
      </c>
      <c r="K99" s="131" t="s">
        <v>54</v>
      </c>
      <c r="L99" s="132" t="s">
        <v>55</v>
      </c>
      <c r="M99" s="132" t="s">
        <v>56</v>
      </c>
      <c r="N99" s="133" t="s">
        <v>57</v>
      </c>
      <c r="O99" s="131"/>
      <c r="P99" s="132"/>
      <c r="Q99" s="132"/>
      <c r="R99" s="134"/>
      <c r="S99" s="38"/>
    </row>
    <row r="100" spans="1:19" ht="28.5" hidden="1" x14ac:dyDescent="0.45">
      <c r="A100" s="59" t="e">
        <f>(E100/Grapic!$J$14)*F100</f>
        <v>#VALUE!</v>
      </c>
      <c r="B100" s="70" t="str">
        <f>IF(TUDO!B100="","",PROPER(TUDO!B100))</f>
        <v/>
      </c>
      <c r="C100" s="70"/>
      <c r="D100" s="69" t="str">
        <f>IF(TUDO!D100="","",TUDO!D100)</f>
        <v/>
      </c>
      <c r="E100" s="69" t="str">
        <f>IF(TUDO!E100="","",TUDO!E100)</f>
        <v/>
      </c>
      <c r="F100" s="70">
        <f>IF(TUDO!F100="","",TUDO!F100)</f>
        <v>362.18</v>
      </c>
      <c r="G100" s="70" t="str">
        <f>IF(TUDO!H100="","",TUDO!H100)</f>
        <v/>
      </c>
      <c r="H100" s="69" t="str">
        <f>IF(TUDO!I100="","",TUDO!I100)</f>
        <v/>
      </c>
      <c r="I100" s="211">
        <v>43688</v>
      </c>
      <c r="J100" s="71" t="s">
        <v>42</v>
      </c>
      <c r="K100" s="70" t="s">
        <v>50</v>
      </c>
      <c r="L100" s="69">
        <v>11</v>
      </c>
      <c r="M100" s="69">
        <v>1.01</v>
      </c>
      <c r="N100" s="37">
        <v>11.11</v>
      </c>
      <c r="O100" s="70" t="str">
        <f>IF(TUDO!Q100="","",TUDO!Q100)</f>
        <v/>
      </c>
      <c r="P100" s="69" t="str">
        <f>IF(TUDO!S100="","",TUDO!S100)</f>
        <v/>
      </c>
      <c r="Q100" s="69" t="str">
        <f>IF(TUDO!T100="","",TUDO!T100)</f>
        <v/>
      </c>
      <c r="R100" s="72" t="str">
        <f>IF(TUDO!U100="","",TUDO!U100)</f>
        <v/>
      </c>
    </row>
    <row r="101" spans="1:19" ht="15" hidden="1" x14ac:dyDescent="0.25"/>
    <row r="102" spans="1:19" ht="15" hidden="1" x14ac:dyDescent="0.25"/>
    <row r="103" spans="1:19" ht="15" hidden="1" x14ac:dyDescent="0.25"/>
    <row r="104" spans="1:19" ht="15" hidden="1" x14ac:dyDescent="0.25"/>
    <row r="105" spans="1:19" ht="15" hidden="1" x14ac:dyDescent="0.25"/>
  </sheetData>
  <sheetProtection selectLockedCells="1"/>
  <mergeCells count="3">
    <mergeCell ref="J11:M11"/>
    <mergeCell ref="O12:R12"/>
    <mergeCell ref="B12:M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AB68-E79D-4004-884D-87A9C8ADAF3E}">
  <sheetPr codeName="Planilha10"/>
  <dimension ref="A1:XFC1048576"/>
  <sheetViews>
    <sheetView zoomScale="34" zoomScaleNormal="34" workbookViewId="0"/>
  </sheetViews>
  <sheetFormatPr defaultColWidth="0" defaultRowHeight="0" customHeight="1" zeroHeight="1" x14ac:dyDescent="0.25"/>
  <cols>
    <col min="1" max="1" width="13.140625" style="37" customWidth="1"/>
    <col min="2" max="2" width="138.7109375" style="37" customWidth="1"/>
    <col min="3" max="3" width="71.7109375" style="37" customWidth="1"/>
    <col min="4" max="4" width="42.7109375" style="37" customWidth="1"/>
    <col min="5" max="5" width="55.28515625" style="37" customWidth="1"/>
    <col min="6" max="6" width="55.5703125" style="37" customWidth="1"/>
    <col min="7" max="7" width="60.85546875" style="37" customWidth="1"/>
    <col min="8" max="8" width="94" style="37" customWidth="1"/>
    <col min="9" max="9" width="14.5703125" style="37" customWidth="1"/>
    <col min="10" max="10" width="35.7109375" style="37" customWidth="1"/>
    <col min="11" max="12" width="29.7109375" style="37" customWidth="1"/>
    <col min="13" max="13" width="33" style="37" bestFit="1" customWidth="1"/>
    <col min="14" max="14" width="35.7109375" style="37" customWidth="1"/>
    <col min="15" max="16" width="29.7109375" style="37" customWidth="1"/>
    <col min="17" max="17" width="33" style="37" bestFit="1" customWidth="1"/>
    <col min="18" max="18" width="30.7109375" style="37" customWidth="1"/>
    <col min="19" max="22" width="0" style="37" hidden="1" customWidth="1"/>
    <col min="23" max="16383" width="9.140625" style="37" hidden="1"/>
    <col min="16384" max="16384" width="14.28515625" style="37" hidden="1" customWidth="1"/>
  </cols>
  <sheetData>
    <row r="1" spans="1:18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  <c r="R1" s="35"/>
    </row>
    <row r="2" spans="1:18" ht="15" x14ac:dyDescent="0.25">
      <c r="A2" s="35"/>
      <c r="B2" s="35"/>
      <c r="C2" s="35"/>
      <c r="D2" s="35"/>
      <c r="E2" s="35"/>
      <c r="F2" s="35"/>
      <c r="G2" s="35" t="s">
        <v>3</v>
      </c>
      <c r="H2" s="35"/>
      <c r="I2" s="35"/>
      <c r="J2" s="35"/>
      <c r="K2" s="35"/>
      <c r="L2" s="38"/>
      <c r="M2" s="39"/>
      <c r="N2" s="39"/>
      <c r="O2" s="39"/>
      <c r="P2" s="39"/>
      <c r="Q2" s="40"/>
      <c r="R2" s="35"/>
    </row>
    <row r="3" spans="1:18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0"/>
      <c r="M3" s="39"/>
      <c r="N3" s="39"/>
      <c r="O3" s="39"/>
      <c r="P3" s="39"/>
      <c r="Q3" s="40"/>
      <c r="R3" s="35"/>
    </row>
    <row r="4" spans="1:18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0"/>
      <c r="M4" s="39"/>
      <c r="N4" s="39"/>
      <c r="O4" s="39"/>
      <c r="P4" s="39"/>
      <c r="Q4" s="40"/>
      <c r="R4" s="35"/>
    </row>
    <row r="5" spans="1:18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0"/>
      <c r="M5" s="39"/>
      <c r="N5" s="39"/>
      <c r="O5" s="39"/>
      <c r="P5" s="39"/>
      <c r="Q5" s="40"/>
      <c r="R5" s="35"/>
    </row>
    <row r="6" spans="1:18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0"/>
      <c r="M6" s="40"/>
      <c r="N6" s="40"/>
      <c r="O6" s="40"/>
      <c r="P6" s="40"/>
      <c r="Q6" s="40"/>
      <c r="R6" s="35"/>
    </row>
    <row r="7" spans="1:18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8"/>
      <c r="M7" s="38"/>
      <c r="N7" s="38"/>
      <c r="O7" s="38"/>
      <c r="P7" s="38"/>
      <c r="Q7" s="38"/>
      <c r="R7" s="35"/>
    </row>
    <row r="8" spans="1:18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8"/>
      <c r="M8" s="38"/>
      <c r="N8" s="38"/>
      <c r="O8" s="38"/>
      <c r="P8" s="38"/>
      <c r="Q8" s="38"/>
      <c r="R8" s="35"/>
    </row>
    <row r="9" spans="1:18" ht="28.5" x14ac:dyDescent="0.45">
      <c r="A9" s="35"/>
      <c r="B9" s="42"/>
      <c r="C9" s="43"/>
      <c r="D9" s="43"/>
      <c r="E9" s="43"/>
      <c r="F9" s="43"/>
      <c r="G9" s="43"/>
      <c r="H9" s="43"/>
      <c r="I9" s="43"/>
      <c r="J9" s="43"/>
      <c r="K9" s="44"/>
      <c r="L9" s="43"/>
      <c r="M9" s="43"/>
      <c r="N9" s="43"/>
      <c r="O9" s="43"/>
      <c r="P9" s="43"/>
      <c r="Q9" s="43"/>
      <c r="R9" s="35"/>
    </row>
    <row r="10" spans="1:18" ht="28.5" x14ac:dyDescent="0.45">
      <c r="A10" s="35"/>
      <c r="B10" s="42" t="s">
        <v>0</v>
      </c>
      <c r="C10" s="43"/>
      <c r="D10" s="43"/>
      <c r="E10" s="43"/>
      <c r="F10" s="43"/>
      <c r="G10" s="43"/>
      <c r="H10" s="45"/>
      <c r="I10" s="45"/>
      <c r="J10" s="45"/>
      <c r="K10" s="45"/>
      <c r="L10" s="46"/>
      <c r="M10" s="47"/>
      <c r="N10" s="47"/>
      <c r="O10" s="47"/>
      <c r="P10" s="47"/>
      <c r="Q10" s="47"/>
      <c r="R10" s="35"/>
    </row>
    <row r="11" spans="1:18" ht="92.25" x14ac:dyDescent="1.35">
      <c r="A11" s="35"/>
      <c r="B11" s="48"/>
      <c r="C11" s="45"/>
      <c r="D11" s="45"/>
      <c r="E11" s="45"/>
      <c r="F11" s="45"/>
      <c r="G11" s="50"/>
      <c r="H11" s="51"/>
      <c r="I11" s="214"/>
      <c r="J11" s="214"/>
      <c r="K11" s="214"/>
      <c r="L11" s="214"/>
      <c r="M11" s="53"/>
      <c r="N11" s="45"/>
      <c r="O11" s="45"/>
      <c r="P11" s="45"/>
      <c r="Q11" s="45"/>
      <c r="R11" s="35"/>
    </row>
    <row r="12" spans="1:18" ht="92.25" x14ac:dyDescent="1.35">
      <c r="A12" s="54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35"/>
    </row>
    <row r="13" spans="1:18" ht="92.25" customHeight="1" x14ac:dyDescent="1.35">
      <c r="A13" s="41"/>
      <c r="B13" s="184" t="s">
        <v>66</v>
      </c>
      <c r="C13" s="179"/>
      <c r="D13" s="180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  <c r="R13" s="35"/>
    </row>
    <row r="14" spans="1:18" ht="33.75" x14ac:dyDescent="0.5">
      <c r="A14" s="59"/>
      <c r="B14" s="180"/>
      <c r="C14" s="181"/>
      <c r="D14" s="181"/>
      <c r="E14" s="182"/>
      <c r="F14" s="180"/>
      <c r="G14" s="181"/>
      <c r="H14" s="181"/>
      <c r="I14" s="182"/>
      <c r="J14" s="180"/>
      <c r="K14" s="181"/>
      <c r="L14" s="181"/>
      <c r="M14" s="182"/>
      <c r="N14" s="180"/>
      <c r="O14" s="181"/>
      <c r="P14" s="181"/>
      <c r="Q14" s="183"/>
      <c r="R14" s="35"/>
    </row>
    <row r="15" spans="1:18" ht="62.25" thickBot="1" x14ac:dyDescent="0.95">
      <c r="A15" s="59"/>
      <c r="B15" s="204" t="s">
        <v>67</v>
      </c>
      <c r="C15" s="204" t="s">
        <v>64</v>
      </c>
      <c r="D15" s="204" t="s">
        <v>15</v>
      </c>
      <c r="E15" s="204" t="s">
        <v>16</v>
      </c>
      <c r="F15" s="204" t="s">
        <v>68</v>
      </c>
      <c r="G15" s="204" t="s">
        <v>69</v>
      </c>
      <c r="H15" s="204" t="s">
        <v>65</v>
      </c>
      <c r="I15" s="204"/>
      <c r="J15" s="204"/>
      <c r="K15" s="204"/>
      <c r="L15" s="204"/>
      <c r="M15" s="182"/>
      <c r="N15" s="180"/>
      <c r="O15" s="181"/>
      <c r="P15" s="181"/>
      <c r="Q15" s="183"/>
      <c r="R15" s="35"/>
    </row>
    <row r="16" spans="1:18" ht="47.25" thickBot="1" x14ac:dyDescent="0.55000000000000004">
      <c r="A16" s="59"/>
      <c r="B16" s="201"/>
      <c r="C16" s="186"/>
      <c r="D16" s="186"/>
      <c r="E16" s="187"/>
      <c r="F16" s="188"/>
      <c r="G16" s="186"/>
      <c r="H16" s="186"/>
      <c r="I16" s="189"/>
      <c r="J16" s="188"/>
      <c r="K16" s="186"/>
      <c r="L16" s="186"/>
      <c r="M16" s="190"/>
      <c r="N16" s="180"/>
      <c r="O16" s="181"/>
      <c r="P16" s="181"/>
      <c r="Q16" s="183"/>
      <c r="R16" s="35"/>
    </row>
    <row r="17" spans="1:18" ht="47.25" thickBot="1" x14ac:dyDescent="0.55000000000000004">
      <c r="A17" s="59"/>
      <c r="B17" s="202"/>
      <c r="C17" s="196"/>
      <c r="D17" s="196"/>
      <c r="E17" s="197"/>
      <c r="F17" s="198"/>
      <c r="G17" s="196"/>
      <c r="H17" s="196"/>
      <c r="I17" s="199"/>
      <c r="J17" s="198"/>
      <c r="K17" s="196"/>
      <c r="L17" s="196"/>
      <c r="M17" s="200"/>
      <c r="N17" s="180"/>
      <c r="O17" s="181"/>
      <c r="P17" s="181"/>
      <c r="Q17" s="183"/>
      <c r="R17" s="35"/>
    </row>
    <row r="18" spans="1:18" ht="47.25" thickBot="1" x14ac:dyDescent="0.55000000000000004">
      <c r="A18" s="59"/>
      <c r="B18" s="203"/>
      <c r="C18" s="191"/>
      <c r="D18" s="191"/>
      <c r="E18" s="192"/>
      <c r="F18" s="193"/>
      <c r="G18" s="191"/>
      <c r="H18" s="191"/>
      <c r="I18" s="194"/>
      <c r="J18" s="193"/>
      <c r="K18" s="191"/>
      <c r="L18" s="191"/>
      <c r="M18" s="195"/>
      <c r="N18" s="180"/>
      <c r="O18" s="181"/>
      <c r="P18" s="181"/>
      <c r="Q18" s="183"/>
      <c r="R18" s="35"/>
    </row>
    <row r="19" spans="1:18" ht="47.25" thickBot="1" x14ac:dyDescent="0.55000000000000004">
      <c r="A19" s="59"/>
      <c r="B19" s="203"/>
      <c r="C19" s="191"/>
      <c r="D19" s="191"/>
      <c r="E19" s="192"/>
      <c r="F19" s="193"/>
      <c r="G19" s="191"/>
      <c r="H19" s="191"/>
      <c r="I19" s="194"/>
      <c r="J19" s="193"/>
      <c r="K19" s="191"/>
      <c r="L19" s="191"/>
      <c r="M19" s="195"/>
      <c r="N19" s="180"/>
      <c r="O19" s="181"/>
      <c r="P19" s="181"/>
      <c r="Q19" s="183"/>
      <c r="R19" s="35"/>
    </row>
    <row r="20" spans="1:18" ht="33.75" x14ac:dyDescent="0.5">
      <c r="A20" s="59"/>
      <c r="B20" s="180"/>
      <c r="C20" s="181" t="s">
        <v>70</v>
      </c>
      <c r="D20" s="181"/>
      <c r="E20" s="183"/>
      <c r="F20" s="180"/>
      <c r="G20" s="181"/>
      <c r="H20" s="181"/>
      <c r="I20" s="182"/>
      <c r="J20" s="180"/>
      <c r="K20" s="181"/>
      <c r="L20" s="181"/>
      <c r="M20" s="182"/>
      <c r="N20" s="180"/>
      <c r="O20" s="181"/>
      <c r="P20" s="181"/>
      <c r="Q20" s="183"/>
      <c r="R20" s="35"/>
    </row>
    <row r="21" spans="1:18" ht="33.75" x14ac:dyDescent="0.5">
      <c r="A21" s="59"/>
      <c r="B21" s="180"/>
      <c r="C21" s="181"/>
      <c r="D21" s="181"/>
      <c r="E21" s="183"/>
      <c r="F21" s="180"/>
      <c r="G21" s="181"/>
      <c r="H21" s="181"/>
      <c r="I21" s="182"/>
      <c r="J21" s="180"/>
      <c r="K21" s="181"/>
      <c r="L21" s="181"/>
      <c r="M21" s="182"/>
      <c r="N21" s="180"/>
      <c r="O21" s="181"/>
      <c r="P21" s="181"/>
      <c r="Q21" s="183"/>
      <c r="R21" s="35"/>
    </row>
    <row r="22" spans="1:18" ht="33.75" x14ac:dyDescent="0.5">
      <c r="A22" s="59"/>
      <c r="B22" s="180"/>
      <c r="C22" s="181"/>
      <c r="D22" s="181"/>
      <c r="E22" s="183"/>
      <c r="F22" s="180"/>
      <c r="G22" s="181"/>
      <c r="H22" s="181"/>
      <c r="I22" s="182"/>
      <c r="J22" s="180"/>
      <c r="K22" s="181"/>
      <c r="L22" s="181"/>
      <c r="M22" s="182"/>
      <c r="N22" s="180"/>
      <c r="O22" s="181"/>
      <c r="P22" s="181"/>
      <c r="Q22" s="183"/>
      <c r="R22" s="35"/>
    </row>
    <row r="23" spans="1:18" ht="33.75" x14ac:dyDescent="0.5">
      <c r="A23" s="59"/>
      <c r="B23" s="180"/>
      <c r="C23" s="181"/>
      <c r="D23" s="181"/>
      <c r="E23" s="183"/>
      <c r="F23" s="185"/>
      <c r="G23" s="181"/>
      <c r="H23" s="181"/>
      <c r="I23" s="182"/>
      <c r="J23" s="180"/>
      <c r="K23" s="181"/>
      <c r="L23" s="181"/>
      <c r="M23" s="182"/>
      <c r="N23" s="180"/>
      <c r="O23" s="181"/>
      <c r="P23" s="181"/>
      <c r="Q23" s="183"/>
      <c r="R23" s="35"/>
    </row>
    <row r="24" spans="1:18" ht="33.75" x14ac:dyDescent="0.5">
      <c r="A24" s="59"/>
      <c r="B24" s="180"/>
      <c r="C24" s="181"/>
      <c r="D24" s="181"/>
      <c r="E24" s="183"/>
      <c r="F24" s="180"/>
      <c r="G24" s="181"/>
      <c r="H24" s="181"/>
      <c r="I24" s="182"/>
      <c r="J24" s="180"/>
      <c r="K24" s="181"/>
      <c r="L24" s="181"/>
      <c r="M24" s="182"/>
      <c r="N24" s="180"/>
      <c r="O24" s="181"/>
      <c r="P24" s="181"/>
      <c r="Q24" s="183"/>
      <c r="R24" s="35"/>
    </row>
    <row r="25" spans="1:18" ht="33.75" x14ac:dyDescent="0.5">
      <c r="A25" s="59"/>
      <c r="B25" s="180"/>
      <c r="C25" s="181"/>
      <c r="D25" s="181"/>
      <c r="E25" s="183"/>
      <c r="F25" s="180"/>
      <c r="G25" s="181"/>
      <c r="H25" s="181"/>
      <c r="I25" s="182"/>
      <c r="J25" s="180"/>
      <c r="K25" s="181"/>
      <c r="L25" s="181"/>
      <c r="M25" s="182"/>
      <c r="N25" s="180"/>
      <c r="O25" s="181"/>
      <c r="P25" s="181"/>
      <c r="Q25" s="183"/>
      <c r="R25" s="35"/>
    </row>
    <row r="26" spans="1:18" ht="33.75" x14ac:dyDescent="0.5">
      <c r="A26" s="59"/>
      <c r="B26" s="180"/>
      <c r="C26" s="181"/>
      <c r="D26" s="181"/>
      <c r="E26" s="183"/>
      <c r="F26" s="180"/>
      <c r="G26" s="181"/>
      <c r="H26" s="181"/>
      <c r="I26" s="182"/>
      <c r="J26" s="180"/>
      <c r="K26" s="181"/>
      <c r="L26" s="181"/>
      <c r="M26" s="182"/>
      <c r="N26" s="180"/>
      <c r="O26" s="181"/>
      <c r="P26" s="181"/>
      <c r="Q26" s="183"/>
      <c r="R26" s="35"/>
    </row>
    <row r="27" spans="1:18" ht="33.75" x14ac:dyDescent="0.5">
      <c r="A27" s="59"/>
      <c r="B27" s="180"/>
      <c r="C27" s="181"/>
      <c r="D27" s="181"/>
      <c r="E27" s="183"/>
      <c r="F27" s="180"/>
      <c r="G27" s="181"/>
      <c r="H27" s="181"/>
      <c r="I27" s="182"/>
      <c r="J27" s="180"/>
      <c r="K27" s="181"/>
      <c r="L27" s="181"/>
      <c r="M27" s="182"/>
      <c r="N27" s="180"/>
      <c r="O27" s="181"/>
      <c r="P27" s="181"/>
      <c r="Q27" s="183"/>
      <c r="R27" s="35"/>
    </row>
    <row r="28" spans="1:18" ht="33.75" x14ac:dyDescent="0.5">
      <c r="A28" s="59"/>
      <c r="B28" s="180"/>
      <c r="C28" s="181"/>
      <c r="D28" s="181"/>
      <c r="E28" s="183"/>
      <c r="F28" s="180"/>
      <c r="G28" s="181"/>
      <c r="H28" s="181"/>
      <c r="I28" s="182"/>
      <c r="J28" s="180"/>
      <c r="K28" s="181"/>
      <c r="L28" s="181"/>
      <c r="M28" s="182"/>
      <c r="N28" s="180"/>
      <c r="O28" s="181"/>
      <c r="P28" s="181"/>
      <c r="Q28" s="183"/>
      <c r="R28" s="35"/>
    </row>
    <row r="29" spans="1:18" ht="33.75" x14ac:dyDescent="0.5">
      <c r="A29" s="59"/>
      <c r="B29" s="180"/>
      <c r="C29" s="181"/>
      <c r="D29" s="181"/>
      <c r="E29" s="183"/>
      <c r="F29" s="180"/>
      <c r="G29" s="181"/>
      <c r="H29" s="181"/>
      <c r="I29" s="182"/>
      <c r="J29" s="180"/>
      <c r="K29" s="181"/>
      <c r="L29" s="181"/>
      <c r="M29" s="182"/>
      <c r="N29" s="180"/>
      <c r="O29" s="181"/>
      <c r="P29" s="181"/>
      <c r="Q29" s="183"/>
      <c r="R29" s="35"/>
    </row>
    <row r="30" spans="1:18" ht="33.75" x14ac:dyDescent="0.5">
      <c r="A30" s="59"/>
      <c r="B30" s="180"/>
      <c r="C30" s="181"/>
      <c r="D30" s="181"/>
      <c r="E30" s="183"/>
      <c r="F30" s="180"/>
      <c r="G30" s="181"/>
      <c r="H30" s="181"/>
      <c r="I30" s="182"/>
      <c r="J30" s="180"/>
      <c r="K30" s="181"/>
      <c r="L30" s="181"/>
      <c r="M30" s="182"/>
      <c r="N30" s="180"/>
      <c r="O30" s="181"/>
      <c r="P30" s="181"/>
      <c r="Q30" s="183"/>
      <c r="R30" s="35"/>
    </row>
    <row r="31" spans="1:18" ht="33.75" x14ac:dyDescent="0.5">
      <c r="A31" s="59"/>
      <c r="B31" s="180"/>
      <c r="C31" s="181"/>
      <c r="D31" s="181"/>
      <c r="E31" s="183"/>
      <c r="F31" s="180"/>
      <c r="G31" s="181"/>
      <c r="H31" s="181"/>
      <c r="I31" s="182"/>
      <c r="J31" s="180"/>
      <c r="K31" s="181"/>
      <c r="L31" s="181"/>
      <c r="M31" s="182"/>
      <c r="N31" s="180"/>
      <c r="O31" s="181"/>
      <c r="P31" s="181"/>
      <c r="Q31" s="183"/>
      <c r="R31" s="35"/>
    </row>
    <row r="32" spans="1:18" ht="33.75" x14ac:dyDescent="0.5">
      <c r="A32" s="59"/>
      <c r="B32" s="180"/>
      <c r="C32" s="181"/>
      <c r="D32" s="181"/>
      <c r="E32" s="183"/>
      <c r="F32" s="180"/>
      <c r="G32" s="181"/>
      <c r="H32" s="181"/>
      <c r="I32" s="182"/>
      <c r="J32" s="180"/>
      <c r="K32" s="181"/>
      <c r="L32" s="181"/>
      <c r="M32" s="182"/>
      <c r="N32" s="180"/>
      <c r="O32" s="181"/>
      <c r="P32" s="181"/>
      <c r="Q32" s="183"/>
      <c r="R32" s="35"/>
    </row>
    <row r="33" spans="1:18" ht="33.75" x14ac:dyDescent="0.5">
      <c r="A33" s="59"/>
      <c r="B33" s="180"/>
      <c r="C33" s="181"/>
      <c r="D33" s="181"/>
      <c r="E33" s="183"/>
      <c r="F33" s="180"/>
      <c r="G33" s="181"/>
      <c r="H33" s="181"/>
      <c r="I33" s="182"/>
      <c r="J33" s="180"/>
      <c r="K33" s="181"/>
      <c r="L33" s="181"/>
      <c r="M33" s="182"/>
      <c r="N33" s="180"/>
      <c r="O33" s="181"/>
      <c r="P33" s="181"/>
      <c r="Q33" s="183"/>
      <c r="R33" s="35"/>
    </row>
    <row r="34" spans="1:18" ht="33.75" x14ac:dyDescent="0.5">
      <c r="A34" s="59"/>
      <c r="B34" s="180"/>
      <c r="C34" s="181"/>
      <c r="D34" s="181"/>
      <c r="E34" s="183"/>
      <c r="F34" s="180"/>
      <c r="G34" s="181"/>
      <c r="H34" s="181"/>
      <c r="I34" s="182"/>
      <c r="J34" s="180"/>
      <c r="K34" s="181"/>
      <c r="L34" s="181"/>
      <c r="M34" s="182"/>
      <c r="N34" s="180"/>
      <c r="O34" s="181"/>
      <c r="P34" s="181"/>
      <c r="Q34" s="183"/>
      <c r="R34" s="35"/>
    </row>
    <row r="35" spans="1:18" ht="33.75" x14ac:dyDescent="0.5">
      <c r="A35" s="59"/>
      <c r="B35" s="180"/>
      <c r="C35" s="181"/>
      <c r="D35" s="181"/>
      <c r="E35" s="183"/>
      <c r="F35" s="180"/>
      <c r="G35" s="181"/>
      <c r="H35" s="181"/>
      <c r="I35" s="182"/>
      <c r="J35" s="180"/>
      <c r="K35" s="181"/>
      <c r="L35" s="181"/>
      <c r="M35" s="182"/>
      <c r="N35" s="180"/>
      <c r="O35" s="181"/>
      <c r="P35" s="181"/>
      <c r="Q35" s="183"/>
      <c r="R35" s="35"/>
    </row>
    <row r="36" spans="1:18" ht="33.75" x14ac:dyDescent="0.5">
      <c r="A36" s="59"/>
      <c r="B36" s="180"/>
      <c r="C36" s="181"/>
      <c r="D36" s="181"/>
      <c r="E36" s="183"/>
      <c r="F36" s="180"/>
      <c r="G36" s="181"/>
      <c r="H36" s="181"/>
      <c r="I36" s="182"/>
      <c r="J36" s="180"/>
      <c r="K36" s="181"/>
      <c r="L36" s="181"/>
      <c r="M36" s="182"/>
      <c r="N36" s="180"/>
      <c r="O36" s="181"/>
      <c r="P36" s="181"/>
      <c r="Q36" s="183"/>
      <c r="R36" s="35"/>
    </row>
    <row r="37" spans="1:18" ht="33.75" x14ac:dyDescent="0.5">
      <c r="A37" s="59"/>
      <c r="B37" s="180"/>
      <c r="C37" s="181"/>
      <c r="D37" s="181"/>
      <c r="E37" s="183"/>
      <c r="F37" s="180"/>
      <c r="G37" s="181"/>
      <c r="H37" s="181"/>
      <c r="I37" s="182"/>
      <c r="J37" s="180"/>
      <c r="K37" s="181"/>
      <c r="L37" s="181"/>
      <c r="M37" s="182"/>
      <c r="N37" s="180"/>
      <c r="O37" s="181"/>
      <c r="P37" s="181"/>
      <c r="Q37" s="183"/>
      <c r="R37" s="35"/>
    </row>
    <row r="38" spans="1:18" ht="33.75" x14ac:dyDescent="0.5">
      <c r="A38" s="59"/>
      <c r="B38" s="180"/>
      <c r="C38" s="181"/>
      <c r="D38" s="181"/>
      <c r="E38" s="183"/>
      <c r="F38" s="180"/>
      <c r="G38" s="181"/>
      <c r="H38" s="181"/>
      <c r="I38" s="182"/>
      <c r="J38" s="180"/>
      <c r="K38" s="181"/>
      <c r="L38" s="181"/>
      <c r="M38" s="182"/>
      <c r="N38" s="180"/>
      <c r="O38" s="181"/>
      <c r="P38" s="181"/>
      <c r="Q38" s="183"/>
      <c r="R38" s="35"/>
    </row>
    <row r="39" spans="1:18" ht="33.75" x14ac:dyDescent="0.5">
      <c r="A39" s="59"/>
      <c r="B39" s="180"/>
      <c r="C39" s="181"/>
      <c r="D39" s="181"/>
      <c r="E39" s="183"/>
      <c r="F39" s="180"/>
      <c r="G39" s="181"/>
      <c r="H39" s="181"/>
      <c r="I39" s="182"/>
      <c r="J39" s="180"/>
      <c r="K39" s="181"/>
      <c r="L39" s="181"/>
      <c r="M39" s="182"/>
      <c r="N39" s="180"/>
      <c r="O39" s="181"/>
      <c r="P39" s="181"/>
      <c r="Q39" s="183"/>
      <c r="R39" s="35"/>
    </row>
    <row r="40" spans="1:18" ht="33.75" x14ac:dyDescent="0.5">
      <c r="A40" s="59"/>
      <c r="B40" s="180"/>
      <c r="C40" s="181"/>
      <c r="D40" s="181"/>
      <c r="E40" s="183"/>
      <c r="F40" s="180"/>
      <c r="G40" s="181"/>
      <c r="H40" s="181"/>
      <c r="I40" s="182"/>
      <c r="J40" s="180"/>
      <c r="K40" s="181"/>
      <c r="L40" s="181"/>
      <c r="M40" s="182"/>
      <c r="N40" s="180"/>
      <c r="O40" s="181"/>
      <c r="P40" s="181"/>
      <c r="Q40" s="183"/>
      <c r="R40" s="35"/>
    </row>
    <row r="41" spans="1:18" ht="33.75" x14ac:dyDescent="0.5">
      <c r="A41" s="59"/>
      <c r="B41" s="180"/>
      <c r="C41" s="181"/>
      <c r="D41" s="181"/>
      <c r="E41" s="183"/>
      <c r="F41" s="180"/>
      <c r="G41" s="181"/>
      <c r="H41" s="181"/>
      <c r="I41" s="182"/>
      <c r="J41" s="180"/>
      <c r="K41" s="181"/>
      <c r="L41" s="181"/>
      <c r="M41" s="182"/>
      <c r="N41" s="180"/>
      <c r="O41" s="181"/>
      <c r="P41" s="181"/>
      <c r="Q41" s="183"/>
      <c r="R41" s="35"/>
    </row>
    <row r="42" spans="1:18" ht="33.75" x14ac:dyDescent="0.5">
      <c r="A42" s="59"/>
      <c r="B42" s="180"/>
      <c r="C42" s="181"/>
      <c r="D42" s="181"/>
      <c r="E42" s="183"/>
      <c r="F42" s="180"/>
      <c r="G42" s="181"/>
      <c r="H42" s="181"/>
      <c r="I42" s="182"/>
      <c r="J42" s="180"/>
      <c r="K42" s="181"/>
      <c r="L42" s="181"/>
      <c r="M42" s="182"/>
      <c r="N42" s="180"/>
      <c r="O42" s="181"/>
      <c r="P42" s="181"/>
      <c r="Q42" s="183"/>
      <c r="R42" s="35"/>
    </row>
    <row r="43" spans="1:18" ht="33.75" x14ac:dyDescent="0.5">
      <c r="A43" s="59"/>
      <c r="B43" s="180"/>
      <c r="C43" s="181"/>
      <c r="D43" s="181"/>
      <c r="E43" s="183"/>
      <c r="F43" s="180"/>
      <c r="G43" s="181"/>
      <c r="H43" s="181"/>
      <c r="I43" s="182"/>
      <c r="J43" s="180"/>
      <c r="K43" s="181"/>
      <c r="L43" s="181"/>
      <c r="M43" s="182"/>
      <c r="N43" s="180"/>
      <c r="O43" s="181"/>
      <c r="P43" s="181"/>
      <c r="Q43" s="183"/>
      <c r="R43" s="35"/>
    </row>
    <row r="44" spans="1:18" ht="33.75" x14ac:dyDescent="0.5">
      <c r="A44" s="59"/>
      <c r="B44" s="180"/>
      <c r="C44" s="181"/>
      <c r="D44" s="181"/>
      <c r="E44" s="183"/>
      <c r="F44" s="180"/>
      <c r="G44" s="181"/>
      <c r="H44" s="181"/>
      <c r="I44" s="182"/>
      <c r="J44" s="180"/>
      <c r="K44" s="181"/>
      <c r="L44" s="181"/>
      <c r="M44" s="182"/>
      <c r="N44" s="180"/>
      <c r="O44" s="181"/>
      <c r="P44" s="181"/>
      <c r="Q44" s="183"/>
      <c r="R44" s="35"/>
    </row>
    <row r="45" spans="1:18" ht="33.75" x14ac:dyDescent="0.5">
      <c r="A45" s="59"/>
      <c r="B45" s="180"/>
      <c r="C45" s="181"/>
      <c r="D45" s="181"/>
      <c r="E45" s="183"/>
      <c r="F45" s="180"/>
      <c r="G45" s="181"/>
      <c r="H45" s="181"/>
      <c r="I45" s="182"/>
      <c r="J45" s="180"/>
      <c r="K45" s="181"/>
      <c r="L45" s="181"/>
      <c r="M45" s="182"/>
      <c r="N45" s="180"/>
      <c r="O45" s="181"/>
      <c r="P45" s="181"/>
      <c r="Q45" s="183"/>
      <c r="R45" s="35"/>
    </row>
    <row r="46" spans="1:18" ht="33.75" x14ac:dyDescent="0.5">
      <c r="A46" s="59"/>
      <c r="B46" s="180"/>
      <c r="C46" s="181"/>
      <c r="D46" s="181"/>
      <c r="E46" s="183"/>
      <c r="F46" s="180"/>
      <c r="G46" s="181"/>
      <c r="H46" s="181"/>
      <c r="I46" s="182"/>
      <c r="J46" s="180"/>
      <c r="K46" s="181"/>
      <c r="L46" s="181"/>
      <c r="M46" s="182"/>
      <c r="N46" s="180"/>
      <c r="O46" s="181"/>
      <c r="P46" s="181"/>
      <c r="Q46" s="183"/>
      <c r="R46" s="35"/>
    </row>
    <row r="47" spans="1:18" ht="33.75" x14ac:dyDescent="0.5">
      <c r="A47" s="59"/>
      <c r="B47" s="180"/>
      <c r="C47" s="181"/>
      <c r="D47" s="181"/>
      <c r="E47" s="183"/>
      <c r="F47" s="180"/>
      <c r="G47" s="181"/>
      <c r="H47" s="181"/>
      <c r="I47" s="182"/>
      <c r="J47" s="180"/>
      <c r="K47" s="181"/>
      <c r="L47" s="181"/>
      <c r="M47" s="182"/>
      <c r="N47" s="180"/>
      <c r="O47" s="181"/>
      <c r="P47" s="181"/>
      <c r="Q47" s="183"/>
      <c r="R47" s="35"/>
    </row>
    <row r="48" spans="1:18" ht="33.75" x14ac:dyDescent="0.5">
      <c r="A48" s="59"/>
      <c r="B48" s="180"/>
      <c r="C48" s="181"/>
      <c r="D48" s="181"/>
      <c r="E48" s="183"/>
      <c r="F48" s="180"/>
      <c r="G48" s="181"/>
      <c r="H48" s="181"/>
      <c r="I48" s="182"/>
      <c r="J48" s="180"/>
      <c r="K48" s="181"/>
      <c r="L48" s="181"/>
      <c r="M48" s="182"/>
      <c r="N48" s="180"/>
      <c r="O48" s="181"/>
      <c r="P48" s="181"/>
      <c r="Q48" s="183"/>
      <c r="R48" s="35"/>
    </row>
    <row r="49" spans="1:18" ht="33.75" x14ac:dyDescent="0.5">
      <c r="A49" s="59"/>
      <c r="B49" s="180"/>
      <c r="C49" s="181"/>
      <c r="D49" s="181"/>
      <c r="E49" s="183"/>
      <c r="F49" s="180"/>
      <c r="G49" s="181"/>
      <c r="H49" s="181"/>
      <c r="I49" s="182"/>
      <c r="J49" s="180"/>
      <c r="K49" s="181"/>
      <c r="L49" s="181"/>
      <c r="M49" s="182"/>
      <c r="N49" s="180"/>
      <c r="O49" s="181"/>
      <c r="P49" s="181"/>
      <c r="Q49" s="183"/>
      <c r="R49" s="35"/>
    </row>
    <row r="50" spans="1:18" ht="33.75" x14ac:dyDescent="0.5">
      <c r="A50" s="59"/>
      <c r="B50" s="180"/>
      <c r="C50" s="181"/>
      <c r="D50" s="181"/>
      <c r="E50" s="183"/>
      <c r="F50" s="180"/>
      <c r="G50" s="181"/>
      <c r="H50" s="181"/>
      <c r="I50" s="182"/>
      <c r="J50" s="180"/>
      <c r="K50" s="181"/>
      <c r="L50" s="181"/>
      <c r="M50" s="182"/>
      <c r="N50" s="180"/>
      <c r="O50" s="181"/>
      <c r="P50" s="181"/>
      <c r="Q50" s="183"/>
      <c r="R50" s="35"/>
    </row>
    <row r="51" spans="1:18" ht="33.75" x14ac:dyDescent="0.5">
      <c r="A51" s="59"/>
      <c r="B51" s="180"/>
      <c r="C51" s="181"/>
      <c r="D51" s="181"/>
      <c r="E51" s="183"/>
      <c r="F51" s="180"/>
      <c r="G51" s="181"/>
      <c r="H51" s="181"/>
      <c r="I51" s="182"/>
      <c r="J51" s="180"/>
      <c r="K51" s="181"/>
      <c r="L51" s="181"/>
      <c r="M51" s="182"/>
      <c r="N51" s="180"/>
      <c r="O51" s="181"/>
      <c r="P51" s="181"/>
      <c r="Q51" s="183"/>
      <c r="R51" s="35"/>
    </row>
    <row r="52" spans="1:18" ht="33.75" x14ac:dyDescent="0.5">
      <c r="A52" s="59"/>
      <c r="B52" s="180"/>
      <c r="C52" s="181"/>
      <c r="D52" s="181"/>
      <c r="E52" s="183"/>
      <c r="F52" s="180"/>
      <c r="G52" s="181"/>
      <c r="H52" s="181"/>
      <c r="I52" s="182"/>
      <c r="J52" s="180"/>
      <c r="K52" s="181"/>
      <c r="L52" s="181"/>
      <c r="M52" s="182"/>
      <c r="N52" s="180"/>
      <c r="O52" s="181"/>
      <c r="P52" s="181"/>
      <c r="Q52" s="183"/>
      <c r="R52" s="35"/>
    </row>
    <row r="53" spans="1:18" ht="33.75" x14ac:dyDescent="0.5">
      <c r="A53" s="59"/>
      <c r="B53" s="180"/>
      <c r="C53" s="181"/>
      <c r="D53" s="181"/>
      <c r="E53" s="183"/>
      <c r="F53" s="180"/>
      <c r="G53" s="181"/>
      <c r="H53" s="181"/>
      <c r="I53" s="182"/>
      <c r="J53" s="180"/>
      <c r="K53" s="181"/>
      <c r="L53" s="181"/>
      <c r="M53" s="182"/>
      <c r="N53" s="180"/>
      <c r="O53" s="181"/>
      <c r="P53" s="181"/>
      <c r="Q53" s="183"/>
      <c r="R53" s="35"/>
    </row>
    <row r="54" spans="1:18" ht="33.75" x14ac:dyDescent="0.5">
      <c r="A54" s="59"/>
      <c r="B54" s="180"/>
      <c r="C54" s="181"/>
      <c r="D54" s="181"/>
      <c r="E54" s="183"/>
      <c r="F54" s="180"/>
      <c r="G54" s="181"/>
      <c r="H54" s="181"/>
      <c r="I54" s="182"/>
      <c r="J54" s="180"/>
      <c r="K54" s="181"/>
      <c r="L54" s="181"/>
      <c r="M54" s="182"/>
      <c r="N54" s="180"/>
      <c r="O54" s="181"/>
      <c r="P54" s="181"/>
      <c r="Q54" s="183"/>
      <c r="R54" s="35"/>
    </row>
    <row r="55" spans="1:18" ht="33.75" x14ac:dyDescent="0.5">
      <c r="A55" s="59"/>
      <c r="B55" s="180"/>
      <c r="C55" s="181"/>
      <c r="D55" s="181"/>
      <c r="E55" s="183"/>
      <c r="F55" s="180"/>
      <c r="G55" s="181"/>
      <c r="H55" s="181"/>
      <c r="I55" s="182"/>
      <c r="J55" s="180"/>
      <c r="K55" s="181"/>
      <c r="L55" s="181"/>
      <c r="M55" s="182"/>
      <c r="N55" s="180"/>
      <c r="O55" s="181"/>
      <c r="P55" s="181"/>
      <c r="Q55" s="183"/>
      <c r="R55" s="35"/>
    </row>
    <row r="56" spans="1:18" ht="33.75" x14ac:dyDescent="0.5">
      <c r="A56" s="59"/>
      <c r="B56" s="180"/>
      <c r="C56" s="181"/>
      <c r="D56" s="181"/>
      <c r="E56" s="183"/>
      <c r="F56" s="180"/>
      <c r="G56" s="181"/>
      <c r="H56" s="181"/>
      <c r="I56" s="182"/>
      <c r="J56" s="180"/>
      <c r="K56" s="181"/>
      <c r="L56" s="181"/>
      <c r="M56" s="182"/>
      <c r="N56" s="180"/>
      <c r="O56" s="181"/>
      <c r="P56" s="181"/>
      <c r="Q56" s="183"/>
      <c r="R56" s="35"/>
    </row>
    <row r="57" spans="1:18" ht="33.75" x14ac:dyDescent="0.5">
      <c r="A57" s="59"/>
      <c r="B57" s="180"/>
      <c r="C57" s="181"/>
      <c r="D57" s="181"/>
      <c r="E57" s="183"/>
      <c r="F57" s="180"/>
      <c r="G57" s="181"/>
      <c r="H57" s="181"/>
      <c r="I57" s="182"/>
      <c r="J57" s="180"/>
      <c r="K57" s="181"/>
      <c r="L57" s="181"/>
      <c r="M57" s="182"/>
      <c r="N57" s="180"/>
      <c r="O57" s="181"/>
      <c r="P57" s="181"/>
      <c r="Q57" s="183"/>
      <c r="R57" s="35"/>
    </row>
    <row r="58" spans="1:18" ht="33.75" x14ac:dyDescent="0.5">
      <c r="A58" s="59"/>
      <c r="B58" s="180"/>
      <c r="C58" s="181"/>
      <c r="D58" s="181"/>
      <c r="E58" s="183"/>
      <c r="F58" s="180"/>
      <c r="G58" s="181"/>
      <c r="H58" s="181"/>
      <c r="I58" s="182"/>
      <c r="J58" s="180"/>
      <c r="K58" s="181"/>
      <c r="L58" s="181"/>
      <c r="M58" s="182"/>
      <c r="N58" s="180"/>
      <c r="O58" s="181"/>
      <c r="P58" s="181"/>
      <c r="Q58" s="183"/>
      <c r="R58" s="35"/>
    </row>
    <row r="59" spans="1:18" ht="33.75" x14ac:dyDescent="0.5">
      <c r="A59" s="59"/>
      <c r="B59" s="180"/>
      <c r="C59" s="181"/>
      <c r="D59" s="181"/>
      <c r="E59" s="183"/>
      <c r="F59" s="180"/>
      <c r="G59" s="181"/>
      <c r="H59" s="181"/>
      <c r="I59" s="182"/>
      <c r="J59" s="180"/>
      <c r="K59" s="181"/>
      <c r="L59" s="181"/>
      <c r="M59" s="182"/>
      <c r="N59" s="180"/>
      <c r="O59" s="181"/>
      <c r="P59" s="181"/>
      <c r="Q59" s="183"/>
      <c r="R59" s="35"/>
    </row>
    <row r="60" spans="1:18" ht="33.75" x14ac:dyDescent="0.5">
      <c r="A60" s="59"/>
      <c r="B60" s="180"/>
      <c r="C60" s="181"/>
      <c r="D60" s="181"/>
      <c r="E60" s="183"/>
      <c r="F60" s="180"/>
      <c r="G60" s="181"/>
      <c r="H60" s="181"/>
      <c r="I60" s="182"/>
      <c r="J60" s="180"/>
      <c r="K60" s="181"/>
      <c r="L60" s="181"/>
      <c r="M60" s="182"/>
      <c r="N60" s="180"/>
      <c r="O60" s="181"/>
      <c r="P60" s="181"/>
      <c r="Q60" s="183"/>
      <c r="R60" s="35"/>
    </row>
    <row r="61" spans="1:18" ht="33.75" x14ac:dyDescent="0.5">
      <c r="A61" s="59"/>
      <c r="B61" s="180"/>
      <c r="C61" s="181"/>
      <c r="D61" s="181"/>
      <c r="E61" s="183"/>
      <c r="F61" s="180"/>
      <c r="G61" s="181"/>
      <c r="H61" s="181"/>
      <c r="I61" s="182"/>
      <c r="J61" s="180"/>
      <c r="K61" s="181"/>
      <c r="L61" s="181"/>
      <c r="M61" s="182"/>
      <c r="N61" s="180"/>
      <c r="O61" s="181"/>
      <c r="P61" s="181"/>
      <c r="Q61" s="183"/>
      <c r="R61" s="35"/>
    </row>
    <row r="62" spans="1:18" ht="33.75" x14ac:dyDescent="0.5">
      <c r="A62" s="59"/>
      <c r="B62" s="180"/>
      <c r="C62" s="181"/>
      <c r="D62" s="181"/>
      <c r="E62" s="183"/>
      <c r="F62" s="180"/>
      <c r="G62" s="181"/>
      <c r="H62" s="181"/>
      <c r="I62" s="182"/>
      <c r="J62" s="180"/>
      <c r="K62" s="181"/>
      <c r="L62" s="181"/>
      <c r="M62" s="182"/>
      <c r="N62" s="180"/>
      <c r="O62" s="181"/>
      <c r="P62" s="181"/>
      <c r="Q62" s="183"/>
      <c r="R62" s="35"/>
    </row>
    <row r="63" spans="1:18" ht="33.75" x14ac:dyDescent="0.5">
      <c r="A63" s="59"/>
      <c r="B63" s="180"/>
      <c r="C63" s="181"/>
      <c r="D63" s="181"/>
      <c r="E63" s="183"/>
      <c r="F63" s="180"/>
      <c r="G63" s="181"/>
      <c r="H63" s="181"/>
      <c r="I63" s="182"/>
      <c r="J63" s="180"/>
      <c r="K63" s="181"/>
      <c r="L63" s="181"/>
      <c r="M63" s="182"/>
      <c r="N63" s="180"/>
      <c r="O63" s="181"/>
      <c r="P63" s="181"/>
      <c r="Q63" s="183"/>
      <c r="R63" s="35"/>
    </row>
    <row r="64" spans="1:18" ht="33.75" x14ac:dyDescent="0.5">
      <c r="A64" s="59"/>
      <c r="B64" s="180"/>
      <c r="C64" s="181"/>
      <c r="D64" s="181"/>
      <c r="E64" s="183"/>
      <c r="F64" s="180"/>
      <c r="G64" s="181"/>
      <c r="H64" s="181"/>
      <c r="I64" s="182"/>
      <c r="J64" s="180"/>
      <c r="K64" s="181"/>
      <c r="L64" s="181"/>
      <c r="M64" s="182"/>
      <c r="N64" s="180"/>
      <c r="O64" s="181"/>
      <c r="P64" s="181"/>
      <c r="Q64" s="183"/>
      <c r="R64" s="35"/>
    </row>
    <row r="65" spans="1:18" ht="33.75" x14ac:dyDescent="0.5">
      <c r="A65" s="59"/>
      <c r="B65" s="180"/>
      <c r="C65" s="181"/>
      <c r="D65" s="181"/>
      <c r="E65" s="183"/>
      <c r="F65" s="180"/>
      <c r="G65" s="181"/>
      <c r="H65" s="181"/>
      <c r="I65" s="182"/>
      <c r="J65" s="180"/>
      <c r="K65" s="181"/>
      <c r="L65" s="181"/>
      <c r="M65" s="182"/>
      <c r="N65" s="180"/>
      <c r="O65" s="181"/>
      <c r="P65" s="181"/>
      <c r="Q65" s="183"/>
      <c r="R65" s="35"/>
    </row>
    <row r="66" spans="1:18" ht="33.75" x14ac:dyDescent="0.5">
      <c r="A66" s="59"/>
      <c r="B66" s="180"/>
      <c r="C66" s="181"/>
      <c r="D66" s="181"/>
      <c r="E66" s="183"/>
      <c r="F66" s="180"/>
      <c r="G66" s="181"/>
      <c r="H66" s="181"/>
      <c r="I66" s="182"/>
      <c r="J66" s="180"/>
      <c r="K66" s="181"/>
      <c r="L66" s="181"/>
      <c r="M66" s="182"/>
      <c r="N66" s="180"/>
      <c r="O66" s="181"/>
      <c r="P66" s="181"/>
      <c r="Q66" s="183"/>
      <c r="R66" s="35"/>
    </row>
    <row r="67" spans="1:18" ht="33.75" x14ac:dyDescent="0.5">
      <c r="A67" s="59"/>
      <c r="B67" s="180"/>
      <c r="C67" s="181"/>
      <c r="D67" s="181"/>
      <c r="E67" s="183"/>
      <c r="F67" s="180"/>
      <c r="G67" s="181"/>
      <c r="H67" s="181"/>
      <c r="I67" s="182"/>
      <c r="J67" s="180"/>
      <c r="K67" s="181"/>
      <c r="L67" s="181"/>
      <c r="M67" s="182"/>
      <c r="N67" s="180"/>
      <c r="O67" s="181"/>
      <c r="P67" s="181"/>
      <c r="Q67" s="183"/>
      <c r="R67" s="35"/>
    </row>
    <row r="68" spans="1:18" ht="33.75" x14ac:dyDescent="0.5">
      <c r="A68" s="59"/>
      <c r="B68" s="180"/>
      <c r="C68" s="181"/>
      <c r="D68" s="181"/>
      <c r="E68" s="183"/>
      <c r="F68" s="180"/>
      <c r="G68" s="181"/>
      <c r="H68" s="181"/>
      <c r="I68" s="182"/>
      <c r="J68" s="180"/>
      <c r="K68" s="181"/>
      <c r="L68" s="181"/>
      <c r="M68" s="182"/>
      <c r="N68" s="180"/>
      <c r="O68" s="181"/>
      <c r="P68" s="181"/>
      <c r="Q68" s="183"/>
      <c r="R68" s="35"/>
    </row>
    <row r="69" spans="1:18" ht="33.75" x14ac:dyDescent="0.5">
      <c r="A69" s="59"/>
      <c r="B69" s="180"/>
      <c r="C69" s="181"/>
      <c r="D69" s="181"/>
      <c r="E69" s="183"/>
      <c r="F69" s="180"/>
      <c r="G69" s="181"/>
      <c r="H69" s="181"/>
      <c r="I69" s="182"/>
      <c r="J69" s="180"/>
      <c r="K69" s="181"/>
      <c r="L69" s="181"/>
      <c r="M69" s="182"/>
      <c r="N69" s="180"/>
      <c r="O69" s="181"/>
      <c r="P69" s="181"/>
      <c r="Q69" s="183"/>
      <c r="R69" s="35"/>
    </row>
    <row r="70" spans="1:18" ht="33.75" x14ac:dyDescent="0.5">
      <c r="A70" s="59"/>
      <c r="B70" s="180"/>
      <c r="C70" s="181"/>
      <c r="D70" s="181"/>
      <c r="E70" s="183"/>
      <c r="F70" s="180"/>
      <c r="G70" s="181"/>
      <c r="H70" s="181"/>
      <c r="I70" s="182"/>
      <c r="J70" s="180"/>
      <c r="K70" s="181"/>
      <c r="L70" s="181"/>
      <c r="M70" s="182"/>
      <c r="N70" s="180"/>
      <c r="O70" s="181"/>
      <c r="P70" s="181"/>
      <c r="Q70" s="183"/>
      <c r="R70" s="35"/>
    </row>
    <row r="71" spans="1:18" ht="33.75" x14ac:dyDescent="0.5">
      <c r="A71" s="59"/>
      <c r="B71" s="180"/>
      <c r="C71" s="181"/>
      <c r="D71" s="181"/>
      <c r="E71" s="183"/>
      <c r="F71" s="180"/>
      <c r="G71" s="181"/>
      <c r="H71" s="181"/>
      <c r="I71" s="182"/>
      <c r="J71" s="180"/>
      <c r="K71" s="181"/>
      <c r="L71" s="181"/>
      <c r="M71" s="182"/>
      <c r="N71" s="180"/>
      <c r="O71" s="181"/>
      <c r="P71" s="181"/>
      <c r="Q71" s="183"/>
      <c r="R71" s="35"/>
    </row>
    <row r="72" spans="1:18" ht="33.75" x14ac:dyDescent="0.5">
      <c r="A72" s="59"/>
      <c r="B72" s="180"/>
      <c r="C72" s="181"/>
      <c r="D72" s="181"/>
      <c r="E72" s="183"/>
      <c r="F72" s="180"/>
      <c r="G72" s="181"/>
      <c r="H72" s="181"/>
      <c r="I72" s="182"/>
      <c r="J72" s="180"/>
      <c r="K72" s="181"/>
      <c r="L72" s="181"/>
      <c r="M72" s="182"/>
      <c r="N72" s="180"/>
      <c r="O72" s="181"/>
      <c r="P72" s="181"/>
      <c r="Q72" s="183"/>
      <c r="R72" s="35"/>
    </row>
    <row r="73" spans="1:18" ht="33.75" x14ac:dyDescent="0.5">
      <c r="A73" s="59"/>
      <c r="B73" s="180"/>
      <c r="C73" s="181"/>
      <c r="D73" s="181"/>
      <c r="E73" s="183"/>
      <c r="F73" s="180"/>
      <c r="G73" s="181"/>
      <c r="H73" s="181"/>
      <c r="I73" s="182"/>
      <c r="J73" s="180"/>
      <c r="K73" s="181"/>
      <c r="L73" s="181"/>
      <c r="M73" s="182"/>
      <c r="N73" s="180"/>
      <c r="O73" s="181"/>
      <c r="P73" s="181"/>
      <c r="Q73" s="183"/>
      <c r="R73" s="35"/>
    </row>
    <row r="74" spans="1:18" ht="33.75" x14ac:dyDescent="0.5">
      <c r="A74" s="59"/>
      <c r="B74" s="180"/>
      <c r="C74" s="181"/>
      <c r="D74" s="181"/>
      <c r="E74" s="183"/>
      <c r="F74" s="180"/>
      <c r="G74" s="181"/>
      <c r="H74" s="181"/>
      <c r="I74" s="182"/>
      <c r="J74" s="180"/>
      <c r="K74" s="181"/>
      <c r="L74" s="181"/>
      <c r="M74" s="182"/>
      <c r="N74" s="180"/>
      <c r="O74" s="181"/>
      <c r="P74" s="181"/>
      <c r="Q74" s="183"/>
      <c r="R74" s="35"/>
    </row>
    <row r="75" spans="1:18" ht="33.75" x14ac:dyDescent="0.5">
      <c r="A75" s="59"/>
      <c r="B75" s="180"/>
      <c r="C75" s="181"/>
      <c r="D75" s="181"/>
      <c r="E75" s="183"/>
      <c r="F75" s="180"/>
      <c r="G75" s="181"/>
      <c r="H75" s="181"/>
      <c r="I75" s="182"/>
      <c r="J75" s="180"/>
      <c r="K75" s="181"/>
      <c r="L75" s="181"/>
      <c r="M75" s="182"/>
      <c r="N75" s="180"/>
      <c r="O75" s="181"/>
      <c r="P75" s="181"/>
      <c r="Q75" s="183"/>
      <c r="R75" s="35"/>
    </row>
    <row r="76" spans="1:18" ht="33.75" x14ac:dyDescent="0.5">
      <c r="A76" s="59"/>
      <c r="B76" s="180"/>
      <c r="C76" s="181"/>
      <c r="D76" s="181"/>
      <c r="E76" s="183"/>
      <c r="F76" s="180"/>
      <c r="G76" s="181"/>
      <c r="H76" s="181"/>
      <c r="I76" s="182"/>
      <c r="J76" s="180"/>
      <c r="K76" s="181"/>
      <c r="L76" s="181"/>
      <c r="M76" s="182"/>
      <c r="N76" s="180"/>
      <c r="O76" s="181"/>
      <c r="P76" s="181"/>
      <c r="Q76" s="183"/>
      <c r="R76" s="35"/>
    </row>
    <row r="77" spans="1:18" ht="33.75" x14ac:dyDescent="0.5">
      <c r="A77" s="59"/>
      <c r="B77" s="180"/>
      <c r="C77" s="181"/>
      <c r="D77" s="181"/>
      <c r="E77" s="183"/>
      <c r="F77" s="180"/>
      <c r="G77" s="181"/>
      <c r="H77" s="181"/>
      <c r="I77" s="182"/>
      <c r="J77" s="180"/>
      <c r="K77" s="181"/>
      <c r="L77" s="181"/>
      <c r="M77" s="182"/>
      <c r="N77" s="180"/>
      <c r="O77" s="181"/>
      <c r="P77" s="181"/>
      <c r="Q77" s="183"/>
      <c r="R77" s="35"/>
    </row>
    <row r="78" spans="1:18" ht="33.75" x14ac:dyDescent="0.5">
      <c r="A78" s="59"/>
      <c r="B78" s="180"/>
      <c r="C78" s="181"/>
      <c r="D78" s="181"/>
      <c r="E78" s="183"/>
      <c r="F78" s="180"/>
      <c r="G78" s="181"/>
      <c r="H78" s="181"/>
      <c r="I78" s="182"/>
      <c r="J78" s="180"/>
      <c r="K78" s="181"/>
      <c r="L78" s="181"/>
      <c r="M78" s="182"/>
      <c r="N78" s="180"/>
      <c r="O78" s="181"/>
      <c r="P78" s="181"/>
      <c r="Q78" s="183"/>
      <c r="R78" s="35"/>
    </row>
    <row r="79" spans="1:18" ht="33.75" x14ac:dyDescent="0.5">
      <c r="A79" s="59"/>
      <c r="B79" s="180"/>
      <c r="C79" s="181"/>
      <c r="D79" s="181"/>
      <c r="E79" s="183"/>
      <c r="F79" s="180"/>
      <c r="G79" s="181"/>
      <c r="H79" s="181"/>
      <c r="I79" s="182"/>
      <c r="J79" s="180"/>
      <c r="K79" s="181"/>
      <c r="L79" s="181"/>
      <c r="M79" s="182"/>
      <c r="N79" s="180"/>
      <c r="O79" s="181"/>
      <c r="P79" s="181"/>
      <c r="Q79" s="183"/>
      <c r="R79" s="35"/>
    </row>
    <row r="80" spans="1:18" ht="33.75" x14ac:dyDescent="0.5">
      <c r="A80" s="59"/>
      <c r="B80" s="180"/>
      <c r="C80" s="181"/>
      <c r="D80" s="181"/>
      <c r="E80" s="183"/>
      <c r="F80" s="180"/>
      <c r="G80" s="181"/>
      <c r="H80" s="181"/>
      <c r="I80" s="182"/>
      <c r="J80" s="180"/>
      <c r="K80" s="181"/>
      <c r="L80" s="181"/>
      <c r="M80" s="182"/>
      <c r="N80" s="180"/>
      <c r="O80" s="181"/>
      <c r="P80" s="181"/>
      <c r="Q80" s="183"/>
      <c r="R80" s="35"/>
    </row>
    <row r="81" spans="1:18" ht="33.75" x14ac:dyDescent="0.5">
      <c r="A81" s="59"/>
      <c r="B81" s="180"/>
      <c r="C81" s="181"/>
      <c r="D81" s="181"/>
      <c r="E81" s="183"/>
      <c r="F81" s="180"/>
      <c r="G81" s="181"/>
      <c r="H81" s="181"/>
      <c r="I81" s="182"/>
      <c r="J81" s="180"/>
      <c r="K81" s="181"/>
      <c r="L81" s="181"/>
      <c r="M81" s="182"/>
      <c r="N81" s="180"/>
      <c r="O81" s="181"/>
      <c r="P81" s="181"/>
      <c r="Q81" s="183"/>
      <c r="R81" s="35"/>
    </row>
    <row r="82" spans="1:18" ht="33.75" x14ac:dyDescent="0.5">
      <c r="A82" s="59"/>
      <c r="B82" s="180"/>
      <c r="C82" s="181"/>
      <c r="D82" s="181"/>
      <c r="E82" s="183"/>
      <c r="F82" s="180"/>
      <c r="G82" s="181"/>
      <c r="H82" s="181"/>
      <c r="I82" s="182"/>
      <c r="J82" s="180"/>
      <c r="K82" s="181"/>
      <c r="L82" s="181"/>
      <c r="M82" s="182"/>
      <c r="N82" s="180"/>
      <c r="O82" s="181"/>
      <c r="P82" s="181"/>
      <c r="Q82" s="183"/>
      <c r="R82" s="35"/>
    </row>
    <row r="83" spans="1:18" ht="33.75" x14ac:dyDescent="0.5">
      <c r="A83" s="59"/>
      <c r="B83" s="180"/>
      <c r="C83" s="181"/>
      <c r="D83" s="181"/>
      <c r="E83" s="183"/>
      <c r="F83" s="180"/>
      <c r="G83" s="181"/>
      <c r="H83" s="181"/>
      <c r="I83" s="182"/>
      <c r="J83" s="180"/>
      <c r="K83" s="181"/>
      <c r="L83" s="181"/>
      <c r="M83" s="182"/>
      <c r="N83" s="180"/>
      <c r="O83" s="181"/>
      <c r="P83" s="181"/>
      <c r="Q83" s="183"/>
      <c r="R83" s="35"/>
    </row>
    <row r="84" spans="1:18" ht="33.75" x14ac:dyDescent="0.5">
      <c r="A84" s="59"/>
      <c r="B84" s="180"/>
      <c r="C84" s="181"/>
      <c r="D84" s="181"/>
      <c r="E84" s="183"/>
      <c r="F84" s="180"/>
      <c r="G84" s="181"/>
      <c r="H84" s="181"/>
      <c r="I84" s="182"/>
      <c r="J84" s="180"/>
      <c r="K84" s="181"/>
      <c r="L84" s="181"/>
      <c r="M84" s="182"/>
      <c r="N84" s="180"/>
      <c r="O84" s="181"/>
      <c r="P84" s="181"/>
      <c r="Q84" s="183"/>
      <c r="R84" s="35"/>
    </row>
    <row r="85" spans="1:18" ht="33.75" x14ac:dyDescent="0.5">
      <c r="A85" s="59"/>
      <c r="B85" s="180"/>
      <c r="C85" s="181"/>
      <c r="D85" s="181"/>
      <c r="E85" s="183"/>
      <c r="F85" s="180"/>
      <c r="G85" s="181"/>
      <c r="H85" s="181"/>
      <c r="I85" s="182"/>
      <c r="J85" s="180"/>
      <c r="K85" s="181"/>
      <c r="L85" s="181"/>
      <c r="M85" s="182"/>
      <c r="N85" s="180"/>
      <c r="O85" s="181"/>
      <c r="P85" s="181"/>
      <c r="Q85" s="183"/>
      <c r="R85" s="35"/>
    </row>
    <row r="86" spans="1:18" ht="33.75" x14ac:dyDescent="0.5">
      <c r="A86" s="59"/>
      <c r="B86" s="180"/>
      <c r="C86" s="181"/>
      <c r="D86" s="181"/>
      <c r="E86" s="183"/>
      <c r="F86" s="180"/>
      <c r="G86" s="181"/>
      <c r="H86" s="181"/>
      <c r="I86" s="182"/>
      <c r="J86" s="180"/>
      <c r="K86" s="181"/>
      <c r="L86" s="181"/>
      <c r="M86" s="182"/>
      <c r="N86" s="180"/>
      <c r="O86" s="181"/>
      <c r="P86" s="181"/>
      <c r="Q86" s="183"/>
      <c r="R86" s="35"/>
    </row>
    <row r="87" spans="1:18" ht="33.75" x14ac:dyDescent="0.5">
      <c r="A87" s="59"/>
      <c r="B87" s="180"/>
      <c r="C87" s="181"/>
      <c r="D87" s="181"/>
      <c r="E87" s="183"/>
      <c r="F87" s="180"/>
      <c r="G87" s="181"/>
      <c r="H87" s="181"/>
      <c r="I87" s="182"/>
      <c r="J87" s="180"/>
      <c r="K87" s="181"/>
      <c r="L87" s="181"/>
      <c r="M87" s="182"/>
      <c r="N87" s="180"/>
      <c r="O87" s="181"/>
      <c r="P87" s="181"/>
      <c r="Q87" s="183"/>
      <c r="R87" s="35"/>
    </row>
    <row r="88" spans="1:18" ht="33.75" x14ac:dyDescent="0.5">
      <c r="A88" s="59"/>
      <c r="B88" s="180"/>
      <c r="C88" s="181"/>
      <c r="D88" s="181"/>
      <c r="E88" s="183"/>
      <c r="F88" s="180"/>
      <c r="G88" s="181"/>
      <c r="H88" s="181"/>
      <c r="I88" s="182"/>
      <c r="J88" s="180"/>
      <c r="K88" s="181"/>
      <c r="L88" s="181"/>
      <c r="M88" s="182"/>
      <c r="N88" s="180"/>
      <c r="O88" s="181"/>
      <c r="P88" s="181"/>
      <c r="Q88" s="183"/>
      <c r="R88" s="35"/>
    </row>
    <row r="89" spans="1:18" ht="33.75" x14ac:dyDescent="0.5">
      <c r="A89" s="59"/>
      <c r="B89" s="180"/>
      <c r="C89" s="181"/>
      <c r="D89" s="181"/>
      <c r="E89" s="183"/>
      <c r="F89" s="180"/>
      <c r="G89" s="181"/>
      <c r="H89" s="181"/>
      <c r="I89" s="182"/>
      <c r="J89" s="180"/>
      <c r="K89" s="181"/>
      <c r="L89" s="181"/>
      <c r="M89" s="182"/>
      <c r="N89" s="180"/>
      <c r="O89" s="181"/>
      <c r="P89" s="181"/>
      <c r="Q89" s="183"/>
      <c r="R89" s="35"/>
    </row>
    <row r="90" spans="1:18" ht="33.75" x14ac:dyDescent="0.5">
      <c r="A90" s="59"/>
      <c r="B90" s="180"/>
      <c r="C90" s="181"/>
      <c r="D90" s="181"/>
      <c r="E90" s="183"/>
      <c r="F90" s="180"/>
      <c r="G90" s="181"/>
      <c r="H90" s="181"/>
      <c r="I90" s="182"/>
      <c r="J90" s="180"/>
      <c r="K90" s="181"/>
      <c r="L90" s="181"/>
      <c r="M90" s="182"/>
      <c r="N90" s="180"/>
      <c r="O90" s="181"/>
      <c r="P90" s="181"/>
      <c r="Q90" s="183"/>
      <c r="R90" s="35"/>
    </row>
    <row r="91" spans="1:18" ht="33.75" x14ac:dyDescent="0.5">
      <c r="A91" s="59"/>
      <c r="B91" s="180"/>
      <c r="C91" s="181"/>
      <c r="D91" s="181"/>
      <c r="E91" s="183"/>
      <c r="F91" s="180"/>
      <c r="G91" s="181"/>
      <c r="H91" s="181"/>
      <c r="I91" s="182"/>
      <c r="J91" s="180"/>
      <c r="K91" s="181"/>
      <c r="L91" s="181"/>
      <c r="M91" s="182"/>
      <c r="N91" s="180"/>
      <c r="O91" s="181"/>
      <c r="P91" s="181"/>
      <c r="Q91" s="183"/>
      <c r="R91" s="35"/>
    </row>
    <row r="92" spans="1:18" ht="33.75" x14ac:dyDescent="0.5">
      <c r="A92" s="59"/>
      <c r="B92" s="180"/>
      <c r="C92" s="181"/>
      <c r="D92" s="181"/>
      <c r="E92" s="183"/>
      <c r="F92" s="180"/>
      <c r="G92" s="181"/>
      <c r="H92" s="181"/>
      <c r="I92" s="182"/>
      <c r="J92" s="180"/>
      <c r="K92" s="181"/>
      <c r="L92" s="181"/>
      <c r="M92" s="182"/>
      <c r="N92" s="180"/>
      <c r="O92" s="181"/>
      <c r="P92" s="181"/>
      <c r="Q92" s="183"/>
      <c r="R92" s="35"/>
    </row>
    <row r="93" spans="1:18" ht="33.75" x14ac:dyDescent="0.5">
      <c r="A93" s="59"/>
      <c r="B93" s="180"/>
      <c r="C93" s="181"/>
      <c r="D93" s="181"/>
      <c r="E93" s="183"/>
      <c r="F93" s="180"/>
      <c r="G93" s="181"/>
      <c r="H93" s="181"/>
      <c r="I93" s="182"/>
      <c r="J93" s="180"/>
      <c r="K93" s="181"/>
      <c r="L93" s="181"/>
      <c r="M93" s="182"/>
      <c r="N93" s="180"/>
      <c r="O93" s="181"/>
      <c r="P93" s="181"/>
      <c r="Q93" s="183"/>
      <c r="R93" s="35"/>
    </row>
    <row r="94" spans="1:18" ht="33.75" x14ac:dyDescent="0.5">
      <c r="A94" s="59"/>
      <c r="B94" s="180"/>
      <c r="C94" s="181"/>
      <c r="D94" s="181"/>
      <c r="E94" s="183"/>
      <c r="F94" s="180"/>
      <c r="G94" s="181"/>
      <c r="H94" s="181"/>
      <c r="I94" s="182"/>
      <c r="J94" s="180"/>
      <c r="K94" s="181"/>
      <c r="L94" s="181"/>
      <c r="M94" s="182"/>
      <c r="N94" s="180"/>
      <c r="O94" s="181"/>
      <c r="P94" s="181"/>
      <c r="Q94" s="183"/>
      <c r="R94" s="35"/>
    </row>
    <row r="95" spans="1:18" ht="33.75" x14ac:dyDescent="0.5">
      <c r="A95" s="59"/>
      <c r="B95" s="180"/>
      <c r="C95" s="181"/>
      <c r="D95" s="181"/>
      <c r="E95" s="183"/>
      <c r="F95" s="180"/>
      <c r="G95" s="181"/>
      <c r="H95" s="181"/>
      <c r="I95" s="182"/>
      <c r="J95" s="180"/>
      <c r="K95" s="181"/>
      <c r="L95" s="181"/>
      <c r="M95" s="182"/>
      <c r="N95" s="180"/>
      <c r="O95" s="181"/>
      <c r="P95" s="181"/>
      <c r="Q95" s="183"/>
      <c r="R95" s="35"/>
    </row>
    <row r="96" spans="1:18" ht="33.75" x14ac:dyDescent="0.5">
      <c r="A96" s="59"/>
      <c r="B96" s="180"/>
      <c r="C96" s="181"/>
      <c r="D96" s="181"/>
      <c r="E96" s="183"/>
      <c r="F96" s="180"/>
      <c r="G96" s="181"/>
      <c r="H96" s="181"/>
      <c r="I96" s="182"/>
      <c r="J96" s="180"/>
      <c r="K96" s="181"/>
      <c r="L96" s="181"/>
      <c r="M96" s="182"/>
      <c r="N96" s="180"/>
      <c r="O96" s="181"/>
      <c r="P96" s="181"/>
      <c r="Q96" s="183"/>
      <c r="R96" s="35"/>
    </row>
    <row r="97" spans="1:18" ht="33.75" x14ac:dyDescent="0.5">
      <c r="A97" s="59"/>
      <c r="B97" s="180"/>
      <c r="C97" s="181"/>
      <c r="D97" s="181"/>
      <c r="E97" s="183"/>
      <c r="F97" s="180"/>
      <c r="G97" s="181"/>
      <c r="H97" s="181"/>
      <c r="I97" s="182"/>
      <c r="J97" s="180"/>
      <c r="K97" s="181"/>
      <c r="L97" s="181"/>
      <c r="M97" s="182"/>
      <c r="N97" s="180"/>
      <c r="O97" s="181"/>
      <c r="P97" s="181"/>
      <c r="Q97" s="183"/>
      <c r="R97" s="35"/>
    </row>
    <row r="98" spans="1:18" ht="33.75" x14ac:dyDescent="0.5">
      <c r="A98" s="59"/>
      <c r="B98" s="180"/>
      <c r="C98" s="181"/>
      <c r="D98" s="181"/>
      <c r="E98" s="183"/>
      <c r="F98" s="180"/>
      <c r="G98" s="181"/>
      <c r="H98" s="181"/>
      <c r="I98" s="182"/>
      <c r="J98" s="180"/>
      <c r="K98" s="181"/>
      <c r="L98" s="181"/>
      <c r="M98" s="182"/>
      <c r="N98" s="180"/>
      <c r="O98" s="181"/>
      <c r="P98" s="181"/>
      <c r="Q98" s="183"/>
      <c r="R98" s="35"/>
    </row>
    <row r="99" spans="1:18" ht="53.25" customHeight="1" x14ac:dyDescent="0.5">
      <c r="A99" s="59"/>
      <c r="B99" s="180"/>
      <c r="C99" s="181"/>
      <c r="D99" s="181"/>
      <c r="E99" s="183"/>
      <c r="F99" s="180"/>
      <c r="G99" s="181"/>
      <c r="H99" s="181"/>
      <c r="I99" s="182"/>
      <c r="J99" s="180"/>
      <c r="K99" s="181"/>
      <c r="L99" s="181"/>
      <c r="M99" s="182"/>
      <c r="N99" s="180"/>
      <c r="O99" s="181"/>
      <c r="P99" s="181"/>
      <c r="Q99" s="183"/>
      <c r="R99" s="35"/>
    </row>
    <row r="100" spans="1:18" ht="28.5" hidden="1" x14ac:dyDescent="0.45">
      <c r="A100" s="59" t="e">
        <f>(D100/Grapic!$J$14)*E100</f>
        <v>#VALUE!</v>
      </c>
      <c r="B100" s="70" t="str">
        <f>IF(TUDO!B100="","",PROPER(TUDO!B100))</f>
        <v/>
      </c>
      <c r="C100" s="69" t="str">
        <f>IF(TUDO!D100="","",TUDO!D100)</f>
        <v/>
      </c>
      <c r="D100" s="69" t="str">
        <f>IF(TUDO!E100="","",TUDO!E100)</f>
        <v/>
      </c>
      <c r="E100" s="70">
        <f>IF(TUDO!F100="","",TUDO!F100)</f>
        <v>362.18</v>
      </c>
      <c r="F100" s="70" t="str">
        <f>IF(TUDO!H100="","",TUDO!H100)</f>
        <v/>
      </c>
      <c r="G100" s="69" t="str">
        <f>IF(TUDO!I100="","",TUDO!I100)</f>
        <v/>
      </c>
      <c r="H100" s="69" t="str">
        <f>IF(TUDO!J100="","",TUDO!J100)</f>
        <v/>
      </c>
      <c r="I100" s="71" t="str">
        <f>IF(TUDO!I100="","",TUDO!K100)</f>
        <v/>
      </c>
      <c r="J100" s="70" t="str">
        <f>IF(TUDO!M100="","",TUDO!M100)</f>
        <v/>
      </c>
      <c r="K100" s="69" t="str">
        <f>IF(TUDO!N100="","",TUDO!N100)</f>
        <v/>
      </c>
      <c r="L100" s="69" t="str">
        <f>IF(TUDO!O100="","",TUDO!O100)</f>
        <v/>
      </c>
      <c r="N100" s="70" t="str">
        <f>IF(TUDO!Q100="","",TUDO!Q100)</f>
        <v/>
      </c>
      <c r="O100" s="69" t="str">
        <f>IF(TUDO!S100="","",TUDO!S100)</f>
        <v/>
      </c>
      <c r="P100" s="69" t="str">
        <f>IF(TUDO!T100="","",TUDO!T100)</f>
        <v/>
      </c>
      <c r="Q100" s="72" t="str">
        <f>IF(TUDO!U100="","",TUDO!U100)</f>
        <v/>
      </c>
    </row>
    <row r="101" spans="1:18" ht="15" hidden="1" x14ac:dyDescent="0.25"/>
    <row r="102" spans="1:18" ht="15" hidden="1" x14ac:dyDescent="0.25"/>
    <row r="103" spans="1:18" ht="15" hidden="1" x14ac:dyDescent="0.25"/>
    <row r="104" spans="1:18" ht="15" hidden="1" x14ac:dyDescent="0.25"/>
    <row r="105" spans="1:18" ht="15" hidden="1" x14ac:dyDescent="0.25"/>
    <row r="1048576" ht="37.5" hidden="1" customHeight="1" x14ac:dyDescent="0.25"/>
  </sheetData>
  <mergeCells count="1">
    <mergeCell ref="I11:L1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6D4D-2A52-4416-86A6-85799E4FC42D}">
  <sheetPr codeName="Planilha11"/>
  <dimension ref="A1:XFC105"/>
  <sheetViews>
    <sheetView zoomScale="34" zoomScaleNormal="34" workbookViewId="0">
      <pane ySplit="13" topLeftCell="A14" activePane="bottomLeft" state="frozen"/>
      <selection pane="bottomLeft"/>
    </sheetView>
  </sheetViews>
  <sheetFormatPr defaultColWidth="0" defaultRowHeight="0" customHeight="1" zeroHeight="1" x14ac:dyDescent="0.25"/>
  <cols>
    <col min="1" max="1" width="13.140625" style="37" customWidth="1"/>
    <col min="2" max="2" width="35.7109375" style="37" customWidth="1"/>
    <col min="3" max="4" width="29.7109375" style="37" customWidth="1"/>
    <col min="5" max="5" width="33" style="37" bestFit="1" customWidth="1"/>
    <col min="6" max="6" width="55.5703125" style="37" customWidth="1"/>
    <col min="7" max="8" width="29.7109375" style="37" customWidth="1"/>
    <col min="9" max="9" width="33" style="37" bestFit="1" customWidth="1"/>
    <col min="10" max="10" width="35.7109375" style="37" customWidth="1"/>
    <col min="11" max="12" width="29.7109375" style="37" customWidth="1"/>
    <col min="13" max="13" width="33" style="37" bestFit="1" customWidth="1"/>
    <col min="14" max="14" width="35.7109375" style="37" customWidth="1"/>
    <col min="15" max="16" width="29.7109375" style="37" customWidth="1"/>
    <col min="17" max="17" width="33" style="37" bestFit="1" customWidth="1"/>
    <col min="18" max="18" width="30.7109375" style="37" customWidth="1"/>
    <col min="19" max="22" width="0" style="37" hidden="1" customWidth="1"/>
    <col min="23" max="16383" width="9.140625" style="37" hidden="1"/>
    <col min="16384" max="16384" width="14.28515625" style="37" hidden="1" customWidth="1"/>
  </cols>
  <sheetData>
    <row r="1" spans="1:18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  <c r="R1" s="35"/>
    </row>
    <row r="2" spans="1:18" ht="15" x14ac:dyDescent="0.25">
      <c r="A2" s="35"/>
      <c r="B2" s="35"/>
      <c r="C2" s="35"/>
      <c r="D2" s="35"/>
      <c r="E2" s="35"/>
      <c r="F2" s="35"/>
      <c r="G2" s="35" t="s">
        <v>3</v>
      </c>
      <c r="H2" s="35"/>
      <c r="I2" s="35"/>
      <c r="J2" s="35"/>
      <c r="K2" s="35"/>
      <c r="L2" s="38"/>
      <c r="M2" s="39"/>
      <c r="N2" s="39"/>
      <c r="O2" s="39"/>
      <c r="P2" s="39"/>
      <c r="Q2" s="40"/>
      <c r="R2" s="35"/>
    </row>
    <row r="3" spans="1:18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0"/>
      <c r="M3" s="39"/>
      <c r="N3" s="39"/>
      <c r="O3" s="39"/>
      <c r="P3" s="39"/>
      <c r="Q3" s="40"/>
      <c r="R3" s="35"/>
    </row>
    <row r="4" spans="1:18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0"/>
      <c r="M4" s="39"/>
      <c r="N4" s="39"/>
      <c r="O4" s="39"/>
      <c r="P4" s="39"/>
      <c r="Q4" s="40"/>
      <c r="R4" s="35"/>
    </row>
    <row r="5" spans="1:18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0"/>
      <c r="M5" s="39"/>
      <c r="N5" s="39"/>
      <c r="O5" s="39"/>
      <c r="P5" s="39"/>
      <c r="Q5" s="40"/>
      <c r="R5" s="35"/>
    </row>
    <row r="6" spans="1:18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0"/>
      <c r="M6" s="40"/>
      <c r="N6" s="40"/>
      <c r="O6" s="40"/>
      <c r="P6" s="40"/>
      <c r="Q6" s="40"/>
      <c r="R6" s="35"/>
    </row>
    <row r="7" spans="1:18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8"/>
      <c r="M7" s="38"/>
      <c r="N7" s="38"/>
      <c r="O7" s="38"/>
      <c r="P7" s="38"/>
      <c r="Q7" s="38"/>
      <c r="R7" s="35"/>
    </row>
    <row r="8" spans="1:18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8"/>
      <c r="M8" s="38"/>
      <c r="N8" s="38"/>
      <c r="O8" s="38"/>
      <c r="P8" s="38"/>
      <c r="Q8" s="38"/>
      <c r="R8" s="35"/>
    </row>
    <row r="9" spans="1:18" ht="28.5" x14ac:dyDescent="0.45">
      <c r="A9" s="35"/>
      <c r="B9" s="42"/>
      <c r="C9" s="43"/>
      <c r="D9" s="43"/>
      <c r="E9" s="43"/>
      <c r="F9" s="43"/>
      <c r="G9" s="43"/>
      <c r="H9" s="43"/>
      <c r="I9" s="43"/>
      <c r="J9" s="43"/>
      <c r="K9" s="44"/>
      <c r="L9" s="43"/>
      <c r="M9" s="43"/>
      <c r="N9" s="43"/>
      <c r="O9" s="43"/>
      <c r="P9" s="43"/>
      <c r="Q9" s="43"/>
      <c r="R9" s="35"/>
    </row>
    <row r="10" spans="1:18" ht="28.5" x14ac:dyDescent="0.45">
      <c r="A10" s="35"/>
      <c r="B10" s="42" t="s">
        <v>0</v>
      </c>
      <c r="C10" s="43"/>
      <c r="D10" s="43"/>
      <c r="E10" s="43"/>
      <c r="F10" s="43"/>
      <c r="G10" s="43"/>
      <c r="H10" s="45"/>
      <c r="I10" s="45"/>
      <c r="J10" s="45"/>
      <c r="K10" s="45"/>
      <c r="L10" s="46"/>
      <c r="M10" s="47"/>
      <c r="N10" s="47"/>
      <c r="O10" s="47"/>
      <c r="P10" s="47"/>
      <c r="Q10" s="47"/>
      <c r="R10" s="35"/>
    </row>
    <row r="11" spans="1:18" ht="93" thickBot="1" x14ac:dyDescent="1.4">
      <c r="A11" s="35"/>
      <c r="B11" s="48"/>
      <c r="C11" s="45"/>
      <c r="D11" s="45"/>
      <c r="E11" s="45"/>
      <c r="F11" s="45"/>
      <c r="G11" s="50"/>
      <c r="H11" s="51"/>
      <c r="I11" s="214"/>
      <c r="J11" s="214"/>
      <c r="K11" s="214"/>
      <c r="L11" s="214"/>
      <c r="M11" s="53"/>
      <c r="N11" s="45"/>
      <c r="O11" s="45"/>
      <c r="P11" s="45"/>
      <c r="Q11" s="45"/>
      <c r="R11" s="35"/>
    </row>
    <row r="12" spans="1:18" ht="93" thickBot="1" x14ac:dyDescent="1.4">
      <c r="A12" s="54"/>
      <c r="B12" s="215" t="s">
        <v>7</v>
      </c>
      <c r="C12" s="216"/>
      <c r="D12" s="216"/>
      <c r="E12" s="216"/>
      <c r="F12" s="215" t="s">
        <v>21</v>
      </c>
      <c r="G12" s="216"/>
      <c r="H12" s="216"/>
      <c r="I12" s="217"/>
      <c r="J12" s="216" t="s">
        <v>5</v>
      </c>
      <c r="K12" s="216"/>
      <c r="L12" s="216"/>
      <c r="M12" s="217"/>
      <c r="N12" s="216" t="s">
        <v>13</v>
      </c>
      <c r="O12" s="216"/>
      <c r="P12" s="216"/>
      <c r="Q12" s="217"/>
      <c r="R12" s="35"/>
    </row>
    <row r="13" spans="1:18" ht="39" x14ac:dyDescent="0.6">
      <c r="A13" s="41"/>
      <c r="B13" s="73" t="s">
        <v>18</v>
      </c>
      <c r="C13" s="74" t="s">
        <v>15</v>
      </c>
      <c r="D13" s="74" t="s">
        <v>16</v>
      </c>
      <c r="E13" s="75" t="s">
        <v>17</v>
      </c>
      <c r="F13" s="73" t="s">
        <v>1</v>
      </c>
      <c r="G13" s="74" t="s">
        <v>15</v>
      </c>
      <c r="H13" s="74" t="s">
        <v>16</v>
      </c>
      <c r="I13" s="75" t="s">
        <v>17</v>
      </c>
      <c r="J13" s="73" t="s">
        <v>18</v>
      </c>
      <c r="K13" s="74" t="s">
        <v>15</v>
      </c>
      <c r="L13" s="74" t="s">
        <v>16</v>
      </c>
      <c r="M13" s="75" t="s">
        <v>17</v>
      </c>
      <c r="N13" s="73" t="s">
        <v>18</v>
      </c>
      <c r="O13" s="74" t="s">
        <v>15</v>
      </c>
      <c r="P13" s="74" t="s">
        <v>16</v>
      </c>
      <c r="Q13" s="75" t="s">
        <v>17</v>
      </c>
      <c r="R13" s="35"/>
    </row>
    <row r="14" spans="1:18" ht="33.75" x14ac:dyDescent="0.5">
      <c r="A14" s="59"/>
      <c r="B14" s="76"/>
      <c r="C14" s="77"/>
      <c r="D14" s="77"/>
      <c r="E14" s="33"/>
      <c r="F14" s="76"/>
      <c r="G14" s="77"/>
      <c r="H14" s="77"/>
      <c r="I14" s="78"/>
      <c r="J14" s="76"/>
      <c r="K14" s="77"/>
      <c r="L14" s="77"/>
      <c r="M14" s="78"/>
      <c r="N14" s="76"/>
      <c r="O14" s="77"/>
      <c r="P14" s="77"/>
      <c r="Q14" s="79"/>
      <c r="R14" s="35"/>
    </row>
    <row r="15" spans="1:18" ht="33.75" x14ac:dyDescent="0.5">
      <c r="A15" s="59"/>
      <c r="B15" s="76"/>
      <c r="C15" s="77"/>
      <c r="D15" s="77"/>
      <c r="E15" s="33"/>
      <c r="F15" s="76"/>
      <c r="G15" s="77"/>
      <c r="H15" s="77"/>
      <c r="I15" s="78"/>
      <c r="J15" s="76"/>
      <c r="K15" s="77"/>
      <c r="L15" s="77"/>
      <c r="M15" s="78"/>
      <c r="N15" s="76"/>
      <c r="O15" s="77"/>
      <c r="P15" s="77"/>
      <c r="Q15" s="79"/>
      <c r="R15" s="35"/>
    </row>
    <row r="16" spans="1:18" ht="33.75" x14ac:dyDescent="0.5">
      <c r="A16" s="59"/>
      <c r="B16" s="76"/>
      <c r="C16" s="77"/>
      <c r="D16" s="77"/>
      <c r="E16" s="79"/>
      <c r="F16" s="76"/>
      <c r="G16" s="77"/>
      <c r="H16" s="77"/>
      <c r="I16" s="78"/>
      <c r="J16" s="76"/>
      <c r="K16" s="77"/>
      <c r="L16" s="77"/>
      <c r="M16" s="78"/>
      <c r="N16" s="76"/>
      <c r="O16" s="77"/>
      <c r="P16" s="77"/>
      <c r="Q16" s="79"/>
      <c r="R16" s="35"/>
    </row>
    <row r="17" spans="1:18" ht="33.75" x14ac:dyDescent="0.5">
      <c r="A17" s="59"/>
      <c r="B17" s="76"/>
      <c r="C17" s="77"/>
      <c r="D17" s="77"/>
      <c r="E17" s="79"/>
      <c r="F17" s="76"/>
      <c r="G17" s="77"/>
      <c r="H17" s="77"/>
      <c r="I17" s="78"/>
      <c r="J17" s="76"/>
      <c r="K17" s="77"/>
      <c r="L17" s="77"/>
      <c r="M17" s="78"/>
      <c r="N17" s="76"/>
      <c r="O17" s="77"/>
      <c r="P17" s="77"/>
      <c r="Q17" s="79"/>
      <c r="R17" s="35"/>
    </row>
    <row r="18" spans="1:18" ht="33.75" x14ac:dyDescent="0.5">
      <c r="A18" s="59"/>
      <c r="B18" s="76"/>
      <c r="C18" s="77"/>
      <c r="D18" s="77"/>
      <c r="E18" s="79"/>
      <c r="F18" s="76"/>
      <c r="G18" s="77"/>
      <c r="H18" s="77"/>
      <c r="I18" s="78"/>
      <c r="J18" s="76"/>
      <c r="K18" s="77"/>
      <c r="L18" s="77"/>
      <c r="M18" s="78"/>
      <c r="N18" s="76"/>
      <c r="O18" s="77"/>
      <c r="P18" s="77"/>
      <c r="Q18" s="79"/>
      <c r="R18" s="35"/>
    </row>
    <row r="19" spans="1:18" ht="33.75" x14ac:dyDescent="0.5">
      <c r="A19" s="59"/>
      <c r="B19" s="76"/>
      <c r="C19" s="77"/>
      <c r="D19" s="77"/>
      <c r="E19" s="79"/>
      <c r="F19" s="76"/>
      <c r="G19" s="77"/>
      <c r="H19" s="77"/>
      <c r="I19" s="78"/>
      <c r="J19" s="76"/>
      <c r="K19" s="77"/>
      <c r="L19" s="77"/>
      <c r="M19" s="78"/>
      <c r="N19" s="76"/>
      <c r="O19" s="77"/>
      <c r="P19" s="77"/>
      <c r="Q19" s="79"/>
      <c r="R19" s="35"/>
    </row>
    <row r="20" spans="1:18" ht="33.75" x14ac:dyDescent="0.5">
      <c r="A20" s="59"/>
      <c r="B20" s="76"/>
      <c r="C20" s="77"/>
      <c r="D20" s="77"/>
      <c r="E20" s="79"/>
      <c r="F20" s="76"/>
      <c r="G20" s="77"/>
      <c r="H20" s="77"/>
      <c r="I20" s="78"/>
      <c r="J20" s="76"/>
      <c r="K20" s="77"/>
      <c r="L20" s="77"/>
      <c r="M20" s="78"/>
      <c r="N20" s="76"/>
      <c r="O20" s="77"/>
      <c r="P20" s="77"/>
      <c r="Q20" s="79"/>
      <c r="R20" s="35"/>
    </row>
    <row r="21" spans="1:18" ht="33.75" x14ac:dyDescent="0.5">
      <c r="A21" s="59"/>
      <c r="B21" s="76"/>
      <c r="C21" s="77"/>
      <c r="D21" s="77"/>
      <c r="E21" s="79"/>
      <c r="F21" s="76"/>
      <c r="G21" s="77"/>
      <c r="H21" s="77"/>
      <c r="I21" s="78"/>
      <c r="J21" s="76"/>
      <c r="K21" s="77"/>
      <c r="L21" s="77"/>
      <c r="M21" s="78"/>
      <c r="N21" s="76"/>
      <c r="O21" s="77"/>
      <c r="P21" s="77"/>
      <c r="Q21" s="79"/>
      <c r="R21" s="35"/>
    </row>
    <row r="22" spans="1:18" ht="33.75" x14ac:dyDescent="0.5">
      <c r="A22" s="59"/>
      <c r="B22" s="76"/>
      <c r="C22" s="77"/>
      <c r="D22" s="77"/>
      <c r="E22" s="79"/>
      <c r="F22" s="76"/>
      <c r="G22" s="77"/>
      <c r="H22" s="77"/>
      <c r="I22" s="78"/>
      <c r="J22" s="76"/>
      <c r="K22" s="77"/>
      <c r="L22" s="77"/>
      <c r="M22" s="78"/>
      <c r="N22" s="76"/>
      <c r="O22" s="77"/>
      <c r="P22" s="77"/>
      <c r="Q22" s="79"/>
      <c r="R22" s="35"/>
    </row>
    <row r="23" spans="1:18" ht="33.75" x14ac:dyDescent="0.5">
      <c r="A23" s="59"/>
      <c r="B23" s="76"/>
      <c r="C23" s="77"/>
      <c r="D23" s="77"/>
      <c r="E23" s="79"/>
      <c r="F23" s="76"/>
      <c r="G23" s="77"/>
      <c r="H23" s="77"/>
      <c r="I23" s="78"/>
      <c r="J23" s="76"/>
      <c r="K23" s="77"/>
      <c r="L23" s="77"/>
      <c r="M23" s="78"/>
      <c r="N23" s="76"/>
      <c r="O23" s="77"/>
      <c r="P23" s="77"/>
      <c r="Q23" s="79"/>
      <c r="R23" s="35"/>
    </row>
    <row r="24" spans="1:18" ht="33.75" x14ac:dyDescent="0.5">
      <c r="A24" s="59"/>
      <c r="B24" s="76"/>
      <c r="C24" s="77"/>
      <c r="D24" s="77"/>
      <c r="E24" s="79"/>
      <c r="F24" s="76"/>
      <c r="G24" s="77"/>
      <c r="H24" s="77"/>
      <c r="I24" s="78"/>
      <c r="J24" s="76"/>
      <c r="K24" s="77"/>
      <c r="L24" s="77"/>
      <c r="M24" s="78"/>
      <c r="N24" s="76"/>
      <c r="O24" s="77"/>
      <c r="P24" s="77"/>
      <c r="Q24" s="79"/>
      <c r="R24" s="35"/>
    </row>
    <row r="25" spans="1:18" ht="33.75" x14ac:dyDescent="0.5">
      <c r="A25" s="59"/>
      <c r="B25" s="76"/>
      <c r="C25" s="77"/>
      <c r="D25" s="77"/>
      <c r="E25" s="79"/>
      <c r="F25" s="76"/>
      <c r="G25" s="77"/>
      <c r="H25" s="77"/>
      <c r="I25" s="78"/>
      <c r="J25" s="76"/>
      <c r="K25" s="77"/>
      <c r="L25" s="77"/>
      <c r="M25" s="78"/>
      <c r="N25" s="76"/>
      <c r="O25" s="77"/>
      <c r="P25" s="77"/>
      <c r="Q25" s="79"/>
      <c r="R25" s="35"/>
    </row>
    <row r="26" spans="1:18" ht="33.75" x14ac:dyDescent="0.5">
      <c r="A26" s="59"/>
      <c r="B26" s="76"/>
      <c r="C26" s="77"/>
      <c r="D26" s="77"/>
      <c r="E26" s="79"/>
      <c r="F26" s="76"/>
      <c r="G26" s="77"/>
      <c r="H26" s="77"/>
      <c r="I26" s="78"/>
      <c r="J26" s="76"/>
      <c r="K26" s="77"/>
      <c r="L26" s="77"/>
      <c r="M26" s="78"/>
      <c r="N26" s="76"/>
      <c r="O26" s="77"/>
      <c r="P26" s="77"/>
      <c r="Q26" s="79"/>
      <c r="R26" s="35"/>
    </row>
    <row r="27" spans="1:18" ht="33.75" x14ac:dyDescent="0.5">
      <c r="A27" s="59"/>
      <c r="B27" s="76"/>
      <c r="C27" s="77"/>
      <c r="D27" s="77"/>
      <c r="E27" s="79"/>
      <c r="F27" s="76"/>
      <c r="G27" s="77"/>
      <c r="H27" s="77"/>
      <c r="I27" s="78"/>
      <c r="J27" s="76"/>
      <c r="K27" s="77"/>
      <c r="L27" s="77"/>
      <c r="M27" s="78"/>
      <c r="N27" s="76"/>
      <c r="O27" s="77"/>
      <c r="P27" s="77"/>
      <c r="Q27" s="79"/>
      <c r="R27" s="35"/>
    </row>
    <row r="28" spans="1:18" ht="33.75" x14ac:dyDescent="0.5">
      <c r="A28" s="59"/>
      <c r="B28" s="76"/>
      <c r="C28" s="77"/>
      <c r="D28" s="77"/>
      <c r="E28" s="79"/>
      <c r="F28" s="76"/>
      <c r="G28" s="77"/>
      <c r="H28" s="77"/>
      <c r="I28" s="78"/>
      <c r="J28" s="76"/>
      <c r="K28" s="77"/>
      <c r="L28" s="77"/>
      <c r="M28" s="78"/>
      <c r="N28" s="76"/>
      <c r="O28" s="77"/>
      <c r="P28" s="77"/>
      <c r="Q28" s="79"/>
      <c r="R28" s="35"/>
    </row>
    <row r="29" spans="1:18" ht="33.75" x14ac:dyDescent="0.5">
      <c r="A29" s="59"/>
      <c r="B29" s="76"/>
      <c r="C29" s="77"/>
      <c r="D29" s="77"/>
      <c r="E29" s="79"/>
      <c r="F29" s="76"/>
      <c r="G29" s="77"/>
      <c r="H29" s="77"/>
      <c r="I29" s="78"/>
      <c r="J29" s="76"/>
      <c r="K29" s="77"/>
      <c r="L29" s="77"/>
      <c r="M29" s="78"/>
      <c r="N29" s="76"/>
      <c r="O29" s="77"/>
      <c r="P29" s="77"/>
      <c r="Q29" s="79"/>
      <c r="R29" s="35"/>
    </row>
    <row r="30" spans="1:18" ht="33.75" x14ac:dyDescent="0.5">
      <c r="A30" s="59"/>
      <c r="B30" s="76"/>
      <c r="C30" s="77"/>
      <c r="D30" s="77"/>
      <c r="E30" s="79"/>
      <c r="F30" s="76"/>
      <c r="G30" s="77"/>
      <c r="H30" s="77"/>
      <c r="I30" s="78"/>
      <c r="J30" s="76"/>
      <c r="K30" s="77"/>
      <c r="L30" s="77"/>
      <c r="M30" s="78"/>
      <c r="N30" s="76"/>
      <c r="O30" s="77"/>
      <c r="P30" s="77"/>
      <c r="Q30" s="79"/>
      <c r="R30" s="35"/>
    </row>
    <row r="31" spans="1:18" ht="33.75" x14ac:dyDescent="0.5">
      <c r="A31" s="59"/>
      <c r="B31" s="76"/>
      <c r="C31" s="77"/>
      <c r="D31" s="77"/>
      <c r="E31" s="79"/>
      <c r="F31" s="76"/>
      <c r="G31" s="77"/>
      <c r="H31" s="77"/>
      <c r="I31" s="78"/>
      <c r="J31" s="76"/>
      <c r="K31" s="77"/>
      <c r="L31" s="77"/>
      <c r="M31" s="78"/>
      <c r="N31" s="76"/>
      <c r="O31" s="77"/>
      <c r="P31" s="77"/>
      <c r="Q31" s="79"/>
      <c r="R31" s="35"/>
    </row>
    <row r="32" spans="1:18" ht="33.75" x14ac:dyDescent="0.5">
      <c r="A32" s="59"/>
      <c r="B32" s="76"/>
      <c r="C32" s="77"/>
      <c r="D32" s="77"/>
      <c r="E32" s="79"/>
      <c r="F32" s="76"/>
      <c r="G32" s="77"/>
      <c r="H32" s="77"/>
      <c r="I32" s="78"/>
      <c r="J32" s="76"/>
      <c r="K32" s="77"/>
      <c r="L32" s="77"/>
      <c r="M32" s="78"/>
      <c r="N32" s="76"/>
      <c r="O32" s="77"/>
      <c r="P32" s="77"/>
      <c r="Q32" s="79"/>
      <c r="R32" s="35"/>
    </row>
    <row r="33" spans="1:18" ht="33.75" x14ac:dyDescent="0.5">
      <c r="A33" s="59"/>
      <c r="B33" s="76"/>
      <c r="C33" s="77"/>
      <c r="D33" s="77"/>
      <c r="E33" s="79"/>
      <c r="F33" s="76"/>
      <c r="G33" s="77"/>
      <c r="H33" s="77"/>
      <c r="I33" s="78"/>
      <c r="J33" s="76"/>
      <c r="K33" s="77"/>
      <c r="L33" s="77"/>
      <c r="M33" s="78"/>
      <c r="N33" s="76"/>
      <c r="O33" s="77"/>
      <c r="P33" s="77"/>
      <c r="Q33" s="79"/>
      <c r="R33" s="35"/>
    </row>
    <row r="34" spans="1:18" ht="33.75" x14ac:dyDescent="0.5">
      <c r="A34" s="59"/>
      <c r="B34" s="76"/>
      <c r="C34" s="77"/>
      <c r="D34" s="77"/>
      <c r="E34" s="79"/>
      <c r="F34" s="76"/>
      <c r="G34" s="77"/>
      <c r="H34" s="77"/>
      <c r="I34" s="78"/>
      <c r="J34" s="76"/>
      <c r="K34" s="77"/>
      <c r="L34" s="77"/>
      <c r="M34" s="78"/>
      <c r="N34" s="76"/>
      <c r="O34" s="77"/>
      <c r="P34" s="77"/>
      <c r="Q34" s="79"/>
      <c r="R34" s="35"/>
    </row>
    <row r="35" spans="1:18" ht="33.75" x14ac:dyDescent="0.5">
      <c r="A35" s="59"/>
      <c r="B35" s="76"/>
      <c r="C35" s="77"/>
      <c r="D35" s="77"/>
      <c r="E35" s="79"/>
      <c r="F35" s="76"/>
      <c r="G35" s="77"/>
      <c r="H35" s="77"/>
      <c r="I35" s="78"/>
      <c r="J35" s="76"/>
      <c r="K35" s="77"/>
      <c r="L35" s="77"/>
      <c r="M35" s="78"/>
      <c r="N35" s="76"/>
      <c r="O35" s="77"/>
      <c r="P35" s="77"/>
      <c r="Q35" s="79"/>
      <c r="R35" s="35"/>
    </row>
    <row r="36" spans="1:18" ht="33.75" x14ac:dyDescent="0.5">
      <c r="A36" s="59"/>
      <c r="B36" s="76"/>
      <c r="C36" s="77"/>
      <c r="D36" s="77"/>
      <c r="E36" s="79"/>
      <c r="F36" s="76"/>
      <c r="G36" s="77"/>
      <c r="H36" s="77"/>
      <c r="I36" s="78"/>
      <c r="J36" s="76"/>
      <c r="K36" s="77"/>
      <c r="L36" s="77"/>
      <c r="M36" s="78"/>
      <c r="N36" s="76"/>
      <c r="O36" s="77"/>
      <c r="P36" s="77"/>
      <c r="Q36" s="79"/>
      <c r="R36" s="35"/>
    </row>
    <row r="37" spans="1:18" ht="33.75" x14ac:dyDescent="0.5">
      <c r="A37" s="59"/>
      <c r="B37" s="76"/>
      <c r="C37" s="77"/>
      <c r="D37" s="77"/>
      <c r="E37" s="79"/>
      <c r="F37" s="76"/>
      <c r="G37" s="77"/>
      <c r="H37" s="77"/>
      <c r="I37" s="78"/>
      <c r="J37" s="76"/>
      <c r="K37" s="77"/>
      <c r="L37" s="77"/>
      <c r="M37" s="78"/>
      <c r="N37" s="76"/>
      <c r="O37" s="77"/>
      <c r="P37" s="77"/>
      <c r="Q37" s="79"/>
      <c r="R37" s="35"/>
    </row>
    <row r="38" spans="1:18" ht="33.75" x14ac:dyDescent="0.5">
      <c r="A38" s="59"/>
      <c r="B38" s="76"/>
      <c r="C38" s="77"/>
      <c r="D38" s="77"/>
      <c r="E38" s="79"/>
      <c r="F38" s="76"/>
      <c r="G38" s="77"/>
      <c r="H38" s="77"/>
      <c r="I38" s="78"/>
      <c r="J38" s="76"/>
      <c r="K38" s="77"/>
      <c r="L38" s="77"/>
      <c r="M38" s="78"/>
      <c r="N38" s="76"/>
      <c r="O38" s="77"/>
      <c r="P38" s="77"/>
      <c r="Q38" s="79"/>
      <c r="R38" s="35"/>
    </row>
    <row r="39" spans="1:18" ht="33.75" x14ac:dyDescent="0.5">
      <c r="A39" s="59"/>
      <c r="B39" s="76"/>
      <c r="C39" s="77"/>
      <c r="D39" s="77"/>
      <c r="E39" s="79"/>
      <c r="F39" s="76"/>
      <c r="G39" s="77"/>
      <c r="H39" s="77"/>
      <c r="I39" s="78"/>
      <c r="J39" s="76"/>
      <c r="K39" s="77"/>
      <c r="L39" s="77"/>
      <c r="M39" s="78"/>
      <c r="N39" s="76"/>
      <c r="O39" s="77"/>
      <c r="P39" s="77"/>
      <c r="Q39" s="79"/>
      <c r="R39" s="35"/>
    </row>
    <row r="40" spans="1:18" ht="33.75" x14ac:dyDescent="0.5">
      <c r="A40" s="59"/>
      <c r="B40" s="76"/>
      <c r="C40" s="77"/>
      <c r="D40" s="77"/>
      <c r="E40" s="79"/>
      <c r="F40" s="76"/>
      <c r="G40" s="77"/>
      <c r="H40" s="77"/>
      <c r="I40" s="78"/>
      <c r="J40" s="76"/>
      <c r="K40" s="77"/>
      <c r="L40" s="77"/>
      <c r="M40" s="78"/>
      <c r="N40" s="76"/>
      <c r="O40" s="77"/>
      <c r="P40" s="77"/>
      <c r="Q40" s="79"/>
      <c r="R40" s="35"/>
    </row>
    <row r="41" spans="1:18" ht="33.75" x14ac:dyDescent="0.5">
      <c r="A41" s="59"/>
      <c r="B41" s="76"/>
      <c r="C41" s="77"/>
      <c r="D41" s="77"/>
      <c r="E41" s="79"/>
      <c r="F41" s="76"/>
      <c r="G41" s="77"/>
      <c r="H41" s="77"/>
      <c r="I41" s="78"/>
      <c r="J41" s="76"/>
      <c r="K41" s="77"/>
      <c r="L41" s="77"/>
      <c r="M41" s="78"/>
      <c r="N41" s="76"/>
      <c r="O41" s="77"/>
      <c r="P41" s="77"/>
      <c r="Q41" s="79"/>
      <c r="R41" s="35"/>
    </row>
    <row r="42" spans="1:18" ht="33.75" x14ac:dyDescent="0.5">
      <c r="A42" s="59"/>
      <c r="B42" s="76"/>
      <c r="C42" s="77"/>
      <c r="D42" s="77"/>
      <c r="E42" s="79"/>
      <c r="F42" s="76"/>
      <c r="G42" s="77"/>
      <c r="H42" s="77"/>
      <c r="I42" s="78"/>
      <c r="J42" s="76"/>
      <c r="K42" s="77"/>
      <c r="L42" s="77"/>
      <c r="M42" s="78"/>
      <c r="N42" s="76"/>
      <c r="O42" s="77"/>
      <c r="P42" s="77"/>
      <c r="Q42" s="79"/>
      <c r="R42" s="35"/>
    </row>
    <row r="43" spans="1:18" ht="33.75" x14ac:dyDescent="0.5">
      <c r="A43" s="59"/>
      <c r="B43" s="76"/>
      <c r="C43" s="77"/>
      <c r="D43" s="77"/>
      <c r="E43" s="79"/>
      <c r="F43" s="76"/>
      <c r="G43" s="77"/>
      <c r="H43" s="77"/>
      <c r="I43" s="78"/>
      <c r="J43" s="76"/>
      <c r="K43" s="77"/>
      <c r="L43" s="77"/>
      <c r="M43" s="78"/>
      <c r="N43" s="76"/>
      <c r="O43" s="77"/>
      <c r="P43" s="77"/>
      <c r="Q43" s="79"/>
      <c r="R43" s="35"/>
    </row>
    <row r="44" spans="1:18" ht="33.75" x14ac:dyDescent="0.5">
      <c r="A44" s="59"/>
      <c r="B44" s="76"/>
      <c r="C44" s="77"/>
      <c r="D44" s="77"/>
      <c r="E44" s="79"/>
      <c r="F44" s="76"/>
      <c r="G44" s="77"/>
      <c r="H44" s="77"/>
      <c r="I44" s="78"/>
      <c r="J44" s="76"/>
      <c r="K44" s="77"/>
      <c r="L44" s="77"/>
      <c r="M44" s="78"/>
      <c r="N44" s="76"/>
      <c r="O44" s="77"/>
      <c r="P44" s="77"/>
      <c r="Q44" s="79"/>
      <c r="R44" s="35"/>
    </row>
    <row r="45" spans="1:18" ht="33.75" x14ac:dyDescent="0.5">
      <c r="A45" s="59"/>
      <c r="B45" s="76"/>
      <c r="C45" s="77"/>
      <c r="D45" s="77"/>
      <c r="E45" s="79"/>
      <c r="F45" s="76"/>
      <c r="G45" s="77"/>
      <c r="H45" s="77"/>
      <c r="I45" s="78"/>
      <c r="J45" s="76"/>
      <c r="K45" s="77"/>
      <c r="L45" s="77"/>
      <c r="M45" s="78"/>
      <c r="N45" s="76"/>
      <c r="O45" s="77"/>
      <c r="P45" s="77"/>
      <c r="Q45" s="79"/>
      <c r="R45" s="35"/>
    </row>
    <row r="46" spans="1:18" ht="33.75" x14ac:dyDescent="0.5">
      <c r="A46" s="59"/>
      <c r="B46" s="76"/>
      <c r="C46" s="77"/>
      <c r="D46" s="77"/>
      <c r="E46" s="79"/>
      <c r="F46" s="76"/>
      <c r="G46" s="77"/>
      <c r="H46" s="77"/>
      <c r="I46" s="78"/>
      <c r="J46" s="76"/>
      <c r="K46" s="77"/>
      <c r="L46" s="77"/>
      <c r="M46" s="78"/>
      <c r="N46" s="76"/>
      <c r="O46" s="77"/>
      <c r="P46" s="77"/>
      <c r="Q46" s="79"/>
      <c r="R46" s="35"/>
    </row>
    <row r="47" spans="1:18" ht="33.75" x14ac:dyDescent="0.5">
      <c r="A47" s="59"/>
      <c r="B47" s="76"/>
      <c r="C47" s="77"/>
      <c r="D47" s="77"/>
      <c r="E47" s="79"/>
      <c r="F47" s="76"/>
      <c r="G47" s="77"/>
      <c r="H47" s="77"/>
      <c r="I47" s="78"/>
      <c r="J47" s="76"/>
      <c r="K47" s="77"/>
      <c r="L47" s="77"/>
      <c r="M47" s="78"/>
      <c r="N47" s="76"/>
      <c r="O47" s="77"/>
      <c r="P47" s="77"/>
      <c r="Q47" s="79"/>
      <c r="R47" s="35"/>
    </row>
    <row r="48" spans="1:18" ht="33.75" x14ac:dyDescent="0.5">
      <c r="A48" s="59"/>
      <c r="B48" s="76"/>
      <c r="C48" s="77"/>
      <c r="D48" s="77"/>
      <c r="E48" s="79"/>
      <c r="F48" s="76"/>
      <c r="G48" s="77"/>
      <c r="H48" s="77"/>
      <c r="I48" s="78"/>
      <c r="J48" s="76"/>
      <c r="K48" s="77"/>
      <c r="L48" s="77"/>
      <c r="M48" s="78"/>
      <c r="N48" s="76"/>
      <c r="O48" s="77"/>
      <c r="P48" s="77"/>
      <c r="Q48" s="79"/>
      <c r="R48" s="35"/>
    </row>
    <row r="49" spans="1:18" ht="33.75" x14ac:dyDescent="0.5">
      <c r="A49" s="59"/>
      <c r="B49" s="76"/>
      <c r="C49" s="77"/>
      <c r="D49" s="77"/>
      <c r="E49" s="79"/>
      <c r="F49" s="76"/>
      <c r="G49" s="77"/>
      <c r="H49" s="77"/>
      <c r="I49" s="78"/>
      <c r="J49" s="76"/>
      <c r="K49" s="77"/>
      <c r="L49" s="77"/>
      <c r="M49" s="78"/>
      <c r="N49" s="76"/>
      <c r="O49" s="77"/>
      <c r="P49" s="77"/>
      <c r="Q49" s="79"/>
      <c r="R49" s="35"/>
    </row>
    <row r="50" spans="1:18" ht="33.75" x14ac:dyDescent="0.5">
      <c r="A50" s="59"/>
      <c r="B50" s="76"/>
      <c r="C50" s="77"/>
      <c r="D50" s="77"/>
      <c r="E50" s="79"/>
      <c r="F50" s="76"/>
      <c r="G50" s="77"/>
      <c r="H50" s="77"/>
      <c r="I50" s="78"/>
      <c r="J50" s="76"/>
      <c r="K50" s="77"/>
      <c r="L50" s="77"/>
      <c r="M50" s="78"/>
      <c r="N50" s="76"/>
      <c r="O50" s="77"/>
      <c r="P50" s="77"/>
      <c r="Q50" s="79"/>
      <c r="R50" s="35"/>
    </row>
    <row r="51" spans="1:18" ht="33.75" x14ac:dyDescent="0.5">
      <c r="A51" s="59"/>
      <c r="B51" s="76"/>
      <c r="C51" s="77"/>
      <c r="D51" s="77"/>
      <c r="E51" s="79"/>
      <c r="F51" s="76"/>
      <c r="G51" s="77"/>
      <c r="H51" s="77"/>
      <c r="I51" s="78"/>
      <c r="J51" s="76"/>
      <c r="K51" s="77"/>
      <c r="L51" s="77"/>
      <c r="M51" s="78"/>
      <c r="N51" s="76"/>
      <c r="O51" s="77"/>
      <c r="P51" s="77"/>
      <c r="Q51" s="79"/>
      <c r="R51" s="35"/>
    </row>
    <row r="52" spans="1:18" ht="33.75" x14ac:dyDescent="0.5">
      <c r="A52" s="59"/>
      <c r="B52" s="76"/>
      <c r="C52" s="77"/>
      <c r="D52" s="77"/>
      <c r="E52" s="79"/>
      <c r="F52" s="76"/>
      <c r="G52" s="77"/>
      <c r="H52" s="77"/>
      <c r="I52" s="78"/>
      <c r="J52" s="76"/>
      <c r="K52" s="77"/>
      <c r="L52" s="77"/>
      <c r="M52" s="78"/>
      <c r="N52" s="76"/>
      <c r="O52" s="77"/>
      <c r="P52" s="77"/>
      <c r="Q52" s="79"/>
      <c r="R52" s="35"/>
    </row>
    <row r="53" spans="1:18" ht="33.75" x14ac:dyDescent="0.5">
      <c r="A53" s="59"/>
      <c r="B53" s="76"/>
      <c r="C53" s="77"/>
      <c r="D53" s="77"/>
      <c r="E53" s="79"/>
      <c r="F53" s="76"/>
      <c r="G53" s="77"/>
      <c r="H53" s="77"/>
      <c r="I53" s="78"/>
      <c r="J53" s="76"/>
      <c r="K53" s="77"/>
      <c r="L53" s="77"/>
      <c r="M53" s="78"/>
      <c r="N53" s="76"/>
      <c r="O53" s="77"/>
      <c r="P53" s="77"/>
      <c r="Q53" s="79"/>
      <c r="R53" s="35"/>
    </row>
    <row r="54" spans="1:18" ht="33.75" x14ac:dyDescent="0.5">
      <c r="A54" s="59"/>
      <c r="B54" s="76"/>
      <c r="C54" s="77"/>
      <c r="D54" s="77"/>
      <c r="E54" s="79"/>
      <c r="F54" s="76"/>
      <c r="G54" s="77"/>
      <c r="H54" s="77"/>
      <c r="I54" s="78"/>
      <c r="J54" s="76"/>
      <c r="K54" s="77"/>
      <c r="L54" s="77"/>
      <c r="M54" s="78"/>
      <c r="N54" s="76"/>
      <c r="O54" s="77"/>
      <c r="P54" s="77"/>
      <c r="Q54" s="79"/>
      <c r="R54" s="35"/>
    </row>
    <row r="55" spans="1:18" ht="33.75" x14ac:dyDescent="0.5">
      <c r="A55" s="59"/>
      <c r="B55" s="76"/>
      <c r="C55" s="77"/>
      <c r="D55" s="77"/>
      <c r="E55" s="79"/>
      <c r="F55" s="76"/>
      <c r="G55" s="77"/>
      <c r="H55" s="77"/>
      <c r="I55" s="78"/>
      <c r="J55" s="76"/>
      <c r="K55" s="77"/>
      <c r="L55" s="77"/>
      <c r="M55" s="78"/>
      <c r="N55" s="76"/>
      <c r="O55" s="77"/>
      <c r="P55" s="77"/>
      <c r="Q55" s="79"/>
      <c r="R55" s="35"/>
    </row>
    <row r="56" spans="1:18" ht="33.75" x14ac:dyDescent="0.5">
      <c r="A56" s="59"/>
      <c r="B56" s="76"/>
      <c r="C56" s="77"/>
      <c r="D56" s="77"/>
      <c r="E56" s="79"/>
      <c r="F56" s="76"/>
      <c r="G56" s="77"/>
      <c r="H56" s="77"/>
      <c r="I56" s="78"/>
      <c r="J56" s="76"/>
      <c r="K56" s="77"/>
      <c r="L56" s="77"/>
      <c r="M56" s="78"/>
      <c r="N56" s="76"/>
      <c r="O56" s="77"/>
      <c r="P56" s="77"/>
      <c r="Q56" s="79"/>
      <c r="R56" s="35"/>
    </row>
    <row r="57" spans="1:18" ht="33.75" x14ac:dyDescent="0.5">
      <c r="A57" s="59"/>
      <c r="B57" s="76"/>
      <c r="C57" s="77"/>
      <c r="D57" s="77"/>
      <c r="E57" s="79"/>
      <c r="F57" s="76"/>
      <c r="G57" s="77"/>
      <c r="H57" s="77"/>
      <c r="I57" s="78"/>
      <c r="J57" s="76"/>
      <c r="K57" s="77"/>
      <c r="L57" s="77"/>
      <c r="M57" s="78"/>
      <c r="N57" s="76"/>
      <c r="O57" s="77"/>
      <c r="P57" s="77"/>
      <c r="Q57" s="79"/>
      <c r="R57" s="35"/>
    </row>
    <row r="58" spans="1:18" ht="33.75" x14ac:dyDescent="0.5">
      <c r="A58" s="59"/>
      <c r="B58" s="76"/>
      <c r="C58" s="77"/>
      <c r="D58" s="77"/>
      <c r="E58" s="79"/>
      <c r="F58" s="76"/>
      <c r="G58" s="77"/>
      <c r="H58" s="77"/>
      <c r="I58" s="78"/>
      <c r="J58" s="76"/>
      <c r="K58" s="77"/>
      <c r="L58" s="77"/>
      <c r="M58" s="78"/>
      <c r="N58" s="76"/>
      <c r="O58" s="77"/>
      <c r="P58" s="77"/>
      <c r="Q58" s="79"/>
      <c r="R58" s="35"/>
    </row>
    <row r="59" spans="1:18" ht="33.75" x14ac:dyDescent="0.5">
      <c r="A59" s="59"/>
      <c r="B59" s="76"/>
      <c r="C59" s="77"/>
      <c r="D59" s="77"/>
      <c r="E59" s="79"/>
      <c r="F59" s="76"/>
      <c r="G59" s="77"/>
      <c r="H59" s="77"/>
      <c r="I59" s="78"/>
      <c r="J59" s="76"/>
      <c r="K59" s="77"/>
      <c r="L59" s="77"/>
      <c r="M59" s="78"/>
      <c r="N59" s="76"/>
      <c r="O59" s="77"/>
      <c r="P59" s="77"/>
      <c r="Q59" s="79"/>
      <c r="R59" s="35"/>
    </row>
    <row r="60" spans="1:18" ht="33.75" x14ac:dyDescent="0.5">
      <c r="A60" s="59"/>
      <c r="B60" s="76"/>
      <c r="C60" s="77"/>
      <c r="D60" s="77"/>
      <c r="E60" s="79"/>
      <c r="F60" s="76"/>
      <c r="G60" s="77"/>
      <c r="H60" s="77"/>
      <c r="I60" s="78"/>
      <c r="J60" s="76"/>
      <c r="K60" s="77"/>
      <c r="L60" s="77"/>
      <c r="M60" s="78"/>
      <c r="N60" s="76"/>
      <c r="O60" s="77"/>
      <c r="P60" s="77"/>
      <c r="Q60" s="79"/>
      <c r="R60" s="35"/>
    </row>
    <row r="61" spans="1:18" ht="33.75" x14ac:dyDescent="0.5">
      <c r="A61" s="59"/>
      <c r="B61" s="76"/>
      <c r="C61" s="77"/>
      <c r="D61" s="77"/>
      <c r="E61" s="79"/>
      <c r="F61" s="76"/>
      <c r="G61" s="77"/>
      <c r="H61" s="77"/>
      <c r="I61" s="78"/>
      <c r="J61" s="76"/>
      <c r="K61" s="77"/>
      <c r="L61" s="77"/>
      <c r="M61" s="78"/>
      <c r="N61" s="76"/>
      <c r="O61" s="77"/>
      <c r="P61" s="77"/>
      <c r="Q61" s="79"/>
      <c r="R61" s="35"/>
    </row>
    <row r="62" spans="1:18" ht="33.75" x14ac:dyDescent="0.5">
      <c r="A62" s="59"/>
      <c r="B62" s="76"/>
      <c r="C62" s="77"/>
      <c r="D62" s="77"/>
      <c r="E62" s="79"/>
      <c r="F62" s="76"/>
      <c r="G62" s="77"/>
      <c r="H62" s="77"/>
      <c r="I62" s="78"/>
      <c r="J62" s="76"/>
      <c r="K62" s="77"/>
      <c r="L62" s="77"/>
      <c r="M62" s="78"/>
      <c r="N62" s="76"/>
      <c r="O62" s="77"/>
      <c r="P62" s="77"/>
      <c r="Q62" s="79"/>
      <c r="R62" s="35"/>
    </row>
    <row r="63" spans="1:18" ht="33.75" x14ac:dyDescent="0.5">
      <c r="A63" s="59"/>
      <c r="B63" s="76"/>
      <c r="C63" s="77"/>
      <c r="D63" s="77"/>
      <c r="E63" s="79"/>
      <c r="F63" s="76"/>
      <c r="G63" s="77"/>
      <c r="H63" s="77"/>
      <c r="I63" s="78"/>
      <c r="J63" s="76"/>
      <c r="K63" s="77"/>
      <c r="L63" s="77"/>
      <c r="M63" s="78"/>
      <c r="N63" s="76"/>
      <c r="O63" s="77"/>
      <c r="P63" s="77"/>
      <c r="Q63" s="79"/>
      <c r="R63" s="35"/>
    </row>
    <row r="64" spans="1:18" ht="33.75" x14ac:dyDescent="0.5">
      <c r="A64" s="59"/>
      <c r="B64" s="76"/>
      <c r="C64" s="77"/>
      <c r="D64" s="77"/>
      <c r="E64" s="79"/>
      <c r="F64" s="76"/>
      <c r="G64" s="77"/>
      <c r="H64" s="77"/>
      <c r="I64" s="78"/>
      <c r="J64" s="76"/>
      <c r="K64" s="77"/>
      <c r="L64" s="77"/>
      <c r="M64" s="78"/>
      <c r="N64" s="76"/>
      <c r="O64" s="77"/>
      <c r="P64" s="77"/>
      <c r="Q64" s="79"/>
      <c r="R64" s="35"/>
    </row>
    <row r="65" spans="1:18" ht="33.75" x14ac:dyDescent="0.5">
      <c r="A65" s="59"/>
      <c r="B65" s="76"/>
      <c r="C65" s="77"/>
      <c r="D65" s="77"/>
      <c r="E65" s="79"/>
      <c r="F65" s="76"/>
      <c r="G65" s="77"/>
      <c r="H65" s="77"/>
      <c r="I65" s="78"/>
      <c r="J65" s="76"/>
      <c r="K65" s="77"/>
      <c r="L65" s="77"/>
      <c r="M65" s="78"/>
      <c r="N65" s="76"/>
      <c r="O65" s="77"/>
      <c r="P65" s="77"/>
      <c r="Q65" s="79"/>
      <c r="R65" s="35"/>
    </row>
    <row r="66" spans="1:18" ht="33.75" x14ac:dyDescent="0.5">
      <c r="A66" s="59"/>
      <c r="B66" s="76"/>
      <c r="C66" s="77"/>
      <c r="D66" s="77"/>
      <c r="E66" s="79"/>
      <c r="F66" s="76"/>
      <c r="G66" s="77"/>
      <c r="H66" s="77"/>
      <c r="I66" s="78"/>
      <c r="J66" s="76"/>
      <c r="K66" s="77"/>
      <c r="L66" s="77"/>
      <c r="M66" s="78"/>
      <c r="N66" s="76"/>
      <c r="O66" s="77"/>
      <c r="P66" s="77"/>
      <c r="Q66" s="79"/>
      <c r="R66" s="35"/>
    </row>
    <row r="67" spans="1:18" ht="33.75" x14ac:dyDescent="0.5">
      <c r="A67" s="59"/>
      <c r="B67" s="76"/>
      <c r="C67" s="77"/>
      <c r="D67" s="77"/>
      <c r="E67" s="79"/>
      <c r="F67" s="76"/>
      <c r="G67" s="77"/>
      <c r="H67" s="77"/>
      <c r="I67" s="78"/>
      <c r="J67" s="76"/>
      <c r="K67" s="77"/>
      <c r="L67" s="77"/>
      <c r="M67" s="78"/>
      <c r="N67" s="76"/>
      <c r="O67" s="77"/>
      <c r="P67" s="77"/>
      <c r="Q67" s="79"/>
      <c r="R67" s="35"/>
    </row>
    <row r="68" spans="1:18" ht="33.75" x14ac:dyDescent="0.5">
      <c r="A68" s="59"/>
      <c r="B68" s="76"/>
      <c r="C68" s="77"/>
      <c r="D68" s="77"/>
      <c r="E68" s="79"/>
      <c r="F68" s="76"/>
      <c r="G68" s="77"/>
      <c r="H68" s="77"/>
      <c r="I68" s="78"/>
      <c r="J68" s="76"/>
      <c r="K68" s="77"/>
      <c r="L68" s="77"/>
      <c r="M68" s="78"/>
      <c r="N68" s="76"/>
      <c r="O68" s="77"/>
      <c r="P68" s="77"/>
      <c r="Q68" s="79"/>
      <c r="R68" s="35"/>
    </row>
    <row r="69" spans="1:18" ht="33.75" x14ac:dyDescent="0.5">
      <c r="A69" s="59"/>
      <c r="B69" s="76"/>
      <c r="C69" s="77"/>
      <c r="D69" s="77"/>
      <c r="E69" s="79"/>
      <c r="F69" s="76"/>
      <c r="G69" s="77"/>
      <c r="H69" s="77"/>
      <c r="I69" s="78"/>
      <c r="J69" s="76"/>
      <c r="K69" s="77"/>
      <c r="L69" s="77"/>
      <c r="M69" s="78"/>
      <c r="N69" s="76"/>
      <c r="O69" s="77"/>
      <c r="P69" s="77"/>
      <c r="Q69" s="79"/>
      <c r="R69" s="35"/>
    </row>
    <row r="70" spans="1:18" ht="33.75" x14ac:dyDescent="0.5">
      <c r="A70" s="59"/>
      <c r="B70" s="76"/>
      <c r="C70" s="77"/>
      <c r="D70" s="77"/>
      <c r="E70" s="79"/>
      <c r="F70" s="76"/>
      <c r="G70" s="77"/>
      <c r="H70" s="77"/>
      <c r="I70" s="78"/>
      <c r="J70" s="76"/>
      <c r="K70" s="77"/>
      <c r="L70" s="77"/>
      <c r="M70" s="78"/>
      <c r="N70" s="76"/>
      <c r="O70" s="77"/>
      <c r="P70" s="77"/>
      <c r="Q70" s="79"/>
      <c r="R70" s="35"/>
    </row>
    <row r="71" spans="1:18" ht="33.75" x14ac:dyDescent="0.5">
      <c r="A71" s="59"/>
      <c r="B71" s="76"/>
      <c r="C71" s="77"/>
      <c r="D71" s="77"/>
      <c r="E71" s="79"/>
      <c r="F71" s="76"/>
      <c r="G71" s="77"/>
      <c r="H71" s="77"/>
      <c r="I71" s="78"/>
      <c r="J71" s="76"/>
      <c r="K71" s="77"/>
      <c r="L71" s="77"/>
      <c r="M71" s="78"/>
      <c r="N71" s="76"/>
      <c r="O71" s="77"/>
      <c r="P71" s="77"/>
      <c r="Q71" s="79"/>
      <c r="R71" s="35"/>
    </row>
    <row r="72" spans="1:18" ht="33.75" x14ac:dyDescent="0.5">
      <c r="A72" s="59"/>
      <c r="B72" s="76"/>
      <c r="C72" s="77"/>
      <c r="D72" s="77"/>
      <c r="E72" s="79"/>
      <c r="F72" s="76"/>
      <c r="G72" s="77"/>
      <c r="H72" s="77"/>
      <c r="I72" s="78"/>
      <c r="J72" s="76"/>
      <c r="K72" s="77"/>
      <c r="L72" s="77"/>
      <c r="M72" s="78"/>
      <c r="N72" s="76"/>
      <c r="O72" s="77"/>
      <c r="P72" s="77"/>
      <c r="Q72" s="79"/>
      <c r="R72" s="35"/>
    </row>
    <row r="73" spans="1:18" ht="33.75" x14ac:dyDescent="0.5">
      <c r="A73" s="59"/>
      <c r="B73" s="76"/>
      <c r="C73" s="77"/>
      <c r="D73" s="77"/>
      <c r="E73" s="79"/>
      <c r="F73" s="76"/>
      <c r="G73" s="77"/>
      <c r="H73" s="77"/>
      <c r="I73" s="78"/>
      <c r="J73" s="76"/>
      <c r="K73" s="77"/>
      <c r="L73" s="77"/>
      <c r="M73" s="78"/>
      <c r="N73" s="76"/>
      <c r="O73" s="77"/>
      <c r="P73" s="77"/>
      <c r="Q73" s="79"/>
      <c r="R73" s="35"/>
    </row>
    <row r="74" spans="1:18" ht="33.75" x14ac:dyDescent="0.5">
      <c r="A74" s="59"/>
      <c r="B74" s="76"/>
      <c r="C74" s="77"/>
      <c r="D74" s="77"/>
      <c r="E74" s="79"/>
      <c r="F74" s="76"/>
      <c r="G74" s="77"/>
      <c r="H74" s="77"/>
      <c r="I74" s="78"/>
      <c r="J74" s="76"/>
      <c r="K74" s="77"/>
      <c r="L74" s="77"/>
      <c r="M74" s="78"/>
      <c r="N74" s="76"/>
      <c r="O74" s="77"/>
      <c r="P74" s="77"/>
      <c r="Q74" s="79"/>
      <c r="R74" s="35"/>
    </row>
    <row r="75" spans="1:18" ht="33.75" x14ac:dyDescent="0.5">
      <c r="A75" s="59"/>
      <c r="B75" s="76"/>
      <c r="C75" s="77"/>
      <c r="D75" s="77"/>
      <c r="E75" s="79"/>
      <c r="F75" s="76"/>
      <c r="G75" s="77"/>
      <c r="H75" s="77"/>
      <c r="I75" s="78"/>
      <c r="J75" s="76"/>
      <c r="K75" s="77"/>
      <c r="L75" s="77"/>
      <c r="M75" s="78"/>
      <c r="N75" s="76"/>
      <c r="O75" s="77"/>
      <c r="P75" s="77"/>
      <c r="Q75" s="79"/>
      <c r="R75" s="35"/>
    </row>
    <row r="76" spans="1:18" ht="33.75" x14ac:dyDescent="0.5">
      <c r="A76" s="59"/>
      <c r="B76" s="76"/>
      <c r="C76" s="77"/>
      <c r="D76" s="77"/>
      <c r="E76" s="79"/>
      <c r="F76" s="76"/>
      <c r="G76" s="77"/>
      <c r="H76" s="77"/>
      <c r="I76" s="78"/>
      <c r="J76" s="76"/>
      <c r="K76" s="77"/>
      <c r="L76" s="77"/>
      <c r="M76" s="78"/>
      <c r="N76" s="76"/>
      <c r="O76" s="77"/>
      <c r="P76" s="77"/>
      <c r="Q76" s="79"/>
      <c r="R76" s="35"/>
    </row>
    <row r="77" spans="1:18" ht="33.75" x14ac:dyDescent="0.5">
      <c r="A77" s="59"/>
      <c r="B77" s="76"/>
      <c r="C77" s="77"/>
      <c r="D77" s="77"/>
      <c r="E77" s="79"/>
      <c r="F77" s="76"/>
      <c r="G77" s="77"/>
      <c r="H77" s="77"/>
      <c r="I77" s="78"/>
      <c r="J77" s="76"/>
      <c r="K77" s="77"/>
      <c r="L77" s="77"/>
      <c r="M77" s="78"/>
      <c r="N77" s="76"/>
      <c r="O77" s="77"/>
      <c r="P77" s="77"/>
      <c r="Q77" s="79"/>
      <c r="R77" s="35"/>
    </row>
    <row r="78" spans="1:18" ht="33.75" x14ac:dyDescent="0.5">
      <c r="A78" s="59"/>
      <c r="B78" s="76"/>
      <c r="C78" s="77"/>
      <c r="D78" s="77"/>
      <c r="E78" s="79"/>
      <c r="F78" s="76"/>
      <c r="G78" s="77"/>
      <c r="H78" s="77"/>
      <c r="I78" s="78"/>
      <c r="J78" s="76"/>
      <c r="K78" s="77"/>
      <c r="L78" s="77"/>
      <c r="M78" s="78"/>
      <c r="N78" s="76"/>
      <c r="O78" s="77"/>
      <c r="P78" s="77"/>
      <c r="Q78" s="79"/>
      <c r="R78" s="35"/>
    </row>
    <row r="79" spans="1:18" ht="33.75" x14ac:dyDescent="0.5">
      <c r="A79" s="59"/>
      <c r="B79" s="76"/>
      <c r="C79" s="77"/>
      <c r="D79" s="77"/>
      <c r="E79" s="79"/>
      <c r="F79" s="76"/>
      <c r="G79" s="77"/>
      <c r="H79" s="77"/>
      <c r="I79" s="78"/>
      <c r="J79" s="76"/>
      <c r="K79" s="77"/>
      <c r="L79" s="77"/>
      <c r="M79" s="78"/>
      <c r="N79" s="76"/>
      <c r="O79" s="77"/>
      <c r="P79" s="77"/>
      <c r="Q79" s="79"/>
      <c r="R79" s="35"/>
    </row>
    <row r="80" spans="1:18" ht="33.75" x14ac:dyDescent="0.5">
      <c r="A80" s="59"/>
      <c r="B80" s="76"/>
      <c r="C80" s="77"/>
      <c r="D80" s="77"/>
      <c r="E80" s="79"/>
      <c r="F80" s="76"/>
      <c r="G80" s="77"/>
      <c r="H80" s="77"/>
      <c r="I80" s="78"/>
      <c r="J80" s="76"/>
      <c r="K80" s="77"/>
      <c r="L80" s="77"/>
      <c r="M80" s="78"/>
      <c r="N80" s="76"/>
      <c r="O80" s="77"/>
      <c r="P80" s="77"/>
      <c r="Q80" s="79"/>
      <c r="R80" s="35"/>
    </row>
    <row r="81" spans="1:18" ht="33.75" x14ac:dyDescent="0.5">
      <c r="A81" s="59"/>
      <c r="B81" s="76"/>
      <c r="C81" s="77"/>
      <c r="D81" s="77"/>
      <c r="E81" s="79"/>
      <c r="F81" s="76"/>
      <c r="G81" s="77"/>
      <c r="H81" s="77"/>
      <c r="I81" s="78"/>
      <c r="J81" s="76"/>
      <c r="K81" s="77"/>
      <c r="L81" s="77"/>
      <c r="M81" s="78"/>
      <c r="N81" s="76"/>
      <c r="O81" s="77"/>
      <c r="P81" s="77"/>
      <c r="Q81" s="79"/>
      <c r="R81" s="35"/>
    </row>
    <row r="82" spans="1:18" ht="33.75" x14ac:dyDescent="0.5">
      <c r="A82" s="59"/>
      <c r="B82" s="76"/>
      <c r="C82" s="77"/>
      <c r="D82" s="77"/>
      <c r="E82" s="79"/>
      <c r="F82" s="76"/>
      <c r="G82" s="77"/>
      <c r="H82" s="77"/>
      <c r="I82" s="78"/>
      <c r="J82" s="76"/>
      <c r="K82" s="77"/>
      <c r="L82" s="77"/>
      <c r="M82" s="78"/>
      <c r="N82" s="76"/>
      <c r="O82" s="77"/>
      <c r="P82" s="77"/>
      <c r="Q82" s="79"/>
      <c r="R82" s="35"/>
    </row>
    <row r="83" spans="1:18" ht="33.75" x14ac:dyDescent="0.5">
      <c r="A83" s="59"/>
      <c r="B83" s="76"/>
      <c r="C83" s="77"/>
      <c r="D83" s="77"/>
      <c r="E83" s="79"/>
      <c r="F83" s="76"/>
      <c r="G83" s="77"/>
      <c r="H83" s="77"/>
      <c r="I83" s="78"/>
      <c r="J83" s="76"/>
      <c r="K83" s="77"/>
      <c r="L83" s="77"/>
      <c r="M83" s="78"/>
      <c r="N83" s="76"/>
      <c r="O83" s="77"/>
      <c r="P83" s="77"/>
      <c r="Q83" s="79"/>
      <c r="R83" s="35"/>
    </row>
    <row r="84" spans="1:18" ht="33.75" x14ac:dyDescent="0.5">
      <c r="A84" s="59"/>
      <c r="B84" s="76"/>
      <c r="C84" s="77"/>
      <c r="D84" s="77"/>
      <c r="E84" s="79"/>
      <c r="F84" s="76"/>
      <c r="G84" s="77"/>
      <c r="H84" s="77"/>
      <c r="I84" s="78"/>
      <c r="J84" s="76"/>
      <c r="K84" s="77"/>
      <c r="L84" s="77"/>
      <c r="M84" s="78"/>
      <c r="N84" s="76"/>
      <c r="O84" s="77"/>
      <c r="P84" s="77"/>
      <c r="Q84" s="79"/>
      <c r="R84" s="35"/>
    </row>
    <row r="85" spans="1:18" ht="33.75" x14ac:dyDescent="0.5">
      <c r="A85" s="59"/>
      <c r="B85" s="76"/>
      <c r="C85" s="77"/>
      <c r="D85" s="77"/>
      <c r="E85" s="79"/>
      <c r="F85" s="76"/>
      <c r="G85" s="77"/>
      <c r="H85" s="77"/>
      <c r="I85" s="78"/>
      <c r="J85" s="76"/>
      <c r="K85" s="77"/>
      <c r="L85" s="77"/>
      <c r="M85" s="78"/>
      <c r="N85" s="76"/>
      <c r="O85" s="77"/>
      <c r="P85" s="77"/>
      <c r="Q85" s="79"/>
      <c r="R85" s="35"/>
    </row>
    <row r="86" spans="1:18" ht="33.75" x14ac:dyDescent="0.5">
      <c r="A86" s="59"/>
      <c r="B86" s="76"/>
      <c r="C86" s="77"/>
      <c r="D86" s="77"/>
      <c r="E86" s="79"/>
      <c r="F86" s="76"/>
      <c r="G86" s="77"/>
      <c r="H86" s="77"/>
      <c r="I86" s="78"/>
      <c r="J86" s="76"/>
      <c r="K86" s="77"/>
      <c r="L86" s="77"/>
      <c r="M86" s="78"/>
      <c r="N86" s="76"/>
      <c r="O86" s="77"/>
      <c r="P86" s="77"/>
      <c r="Q86" s="79"/>
      <c r="R86" s="35"/>
    </row>
    <row r="87" spans="1:18" ht="33.75" x14ac:dyDescent="0.5">
      <c r="A87" s="59"/>
      <c r="B87" s="76"/>
      <c r="C87" s="77"/>
      <c r="D87" s="77"/>
      <c r="E87" s="79"/>
      <c r="F87" s="76"/>
      <c r="G87" s="77"/>
      <c r="H87" s="77"/>
      <c r="I87" s="78"/>
      <c r="J87" s="76"/>
      <c r="K87" s="77"/>
      <c r="L87" s="77"/>
      <c r="M87" s="78"/>
      <c r="N87" s="76"/>
      <c r="O87" s="77"/>
      <c r="P87" s="77"/>
      <c r="Q87" s="79"/>
      <c r="R87" s="35"/>
    </row>
    <row r="88" spans="1:18" ht="33.75" x14ac:dyDescent="0.5">
      <c r="A88" s="59"/>
      <c r="B88" s="76"/>
      <c r="C88" s="77"/>
      <c r="D88" s="77"/>
      <c r="E88" s="79"/>
      <c r="F88" s="76"/>
      <c r="G88" s="77"/>
      <c r="H88" s="77"/>
      <c r="I88" s="78"/>
      <c r="J88" s="76"/>
      <c r="K88" s="77"/>
      <c r="L88" s="77"/>
      <c r="M88" s="78"/>
      <c r="N88" s="76"/>
      <c r="O88" s="77"/>
      <c r="P88" s="77"/>
      <c r="Q88" s="79"/>
      <c r="R88" s="35"/>
    </row>
    <row r="89" spans="1:18" ht="33.75" x14ac:dyDescent="0.5">
      <c r="A89" s="59"/>
      <c r="B89" s="76"/>
      <c r="C89" s="77"/>
      <c r="D89" s="77"/>
      <c r="E89" s="79"/>
      <c r="F89" s="76"/>
      <c r="G89" s="77"/>
      <c r="H89" s="77"/>
      <c r="I89" s="78"/>
      <c r="J89" s="76"/>
      <c r="K89" s="77"/>
      <c r="L89" s="77"/>
      <c r="M89" s="78"/>
      <c r="N89" s="76"/>
      <c r="O89" s="77"/>
      <c r="P89" s="77"/>
      <c r="Q89" s="79"/>
      <c r="R89" s="35"/>
    </row>
    <row r="90" spans="1:18" ht="33.75" x14ac:dyDescent="0.5">
      <c r="A90" s="59"/>
      <c r="B90" s="76"/>
      <c r="C90" s="77"/>
      <c r="D90" s="77"/>
      <c r="E90" s="79"/>
      <c r="F90" s="76"/>
      <c r="G90" s="77"/>
      <c r="H90" s="77"/>
      <c r="I90" s="78"/>
      <c r="J90" s="76"/>
      <c r="K90" s="77"/>
      <c r="L90" s="77"/>
      <c r="M90" s="78"/>
      <c r="N90" s="76"/>
      <c r="O90" s="77"/>
      <c r="P90" s="77"/>
      <c r="Q90" s="79"/>
      <c r="R90" s="35"/>
    </row>
    <row r="91" spans="1:18" ht="33.75" x14ac:dyDescent="0.5">
      <c r="A91" s="59"/>
      <c r="B91" s="76"/>
      <c r="C91" s="77"/>
      <c r="D91" s="77"/>
      <c r="E91" s="79"/>
      <c r="F91" s="76"/>
      <c r="G91" s="77"/>
      <c r="H91" s="77"/>
      <c r="I91" s="78"/>
      <c r="J91" s="76"/>
      <c r="K91" s="77"/>
      <c r="L91" s="77"/>
      <c r="M91" s="78"/>
      <c r="N91" s="76"/>
      <c r="O91" s="77"/>
      <c r="P91" s="77"/>
      <c r="Q91" s="79"/>
      <c r="R91" s="35"/>
    </row>
    <row r="92" spans="1:18" ht="33.75" x14ac:dyDescent="0.5">
      <c r="A92" s="59"/>
      <c r="B92" s="76"/>
      <c r="C92" s="77"/>
      <c r="D92" s="77"/>
      <c r="E92" s="79"/>
      <c r="F92" s="76"/>
      <c r="G92" s="77"/>
      <c r="H92" s="77"/>
      <c r="I92" s="78"/>
      <c r="J92" s="76"/>
      <c r="K92" s="77"/>
      <c r="L92" s="77"/>
      <c r="M92" s="78"/>
      <c r="N92" s="76"/>
      <c r="O92" s="77"/>
      <c r="P92" s="77"/>
      <c r="Q92" s="79"/>
      <c r="R92" s="35"/>
    </row>
    <row r="93" spans="1:18" ht="33.75" x14ac:dyDescent="0.5">
      <c r="A93" s="59"/>
      <c r="B93" s="76"/>
      <c r="C93" s="77"/>
      <c r="D93" s="77"/>
      <c r="E93" s="79"/>
      <c r="F93" s="76"/>
      <c r="G93" s="77"/>
      <c r="H93" s="77"/>
      <c r="I93" s="78"/>
      <c r="J93" s="76"/>
      <c r="K93" s="77"/>
      <c r="L93" s="77"/>
      <c r="M93" s="78"/>
      <c r="N93" s="76"/>
      <c r="O93" s="77"/>
      <c r="P93" s="77"/>
      <c r="Q93" s="79"/>
      <c r="R93" s="35"/>
    </row>
    <row r="94" spans="1:18" ht="33.75" x14ac:dyDescent="0.5">
      <c r="A94" s="59"/>
      <c r="B94" s="76"/>
      <c r="C94" s="77"/>
      <c r="D94" s="77"/>
      <c r="E94" s="79"/>
      <c r="F94" s="76"/>
      <c r="G94" s="77"/>
      <c r="H94" s="77"/>
      <c r="I94" s="78"/>
      <c r="J94" s="76"/>
      <c r="K94" s="77"/>
      <c r="L94" s="77"/>
      <c r="M94" s="78"/>
      <c r="N94" s="76"/>
      <c r="O94" s="77"/>
      <c r="P94" s="77"/>
      <c r="Q94" s="79"/>
      <c r="R94" s="35"/>
    </row>
    <row r="95" spans="1:18" ht="33.75" x14ac:dyDescent="0.5">
      <c r="A95" s="59"/>
      <c r="B95" s="76"/>
      <c r="C95" s="77"/>
      <c r="D95" s="77"/>
      <c r="E95" s="79"/>
      <c r="F95" s="76"/>
      <c r="G95" s="77"/>
      <c r="H95" s="77"/>
      <c r="I95" s="78"/>
      <c r="J95" s="76"/>
      <c r="K95" s="77"/>
      <c r="L95" s="77"/>
      <c r="M95" s="78"/>
      <c r="N95" s="76"/>
      <c r="O95" s="77"/>
      <c r="P95" s="77"/>
      <c r="Q95" s="79"/>
      <c r="R95" s="35"/>
    </row>
    <row r="96" spans="1:18" ht="33.75" x14ac:dyDescent="0.5">
      <c r="A96" s="59"/>
      <c r="B96" s="76"/>
      <c r="C96" s="77"/>
      <c r="D96" s="77"/>
      <c r="E96" s="79"/>
      <c r="F96" s="76"/>
      <c r="G96" s="77"/>
      <c r="H96" s="77"/>
      <c r="I96" s="78"/>
      <c r="J96" s="76"/>
      <c r="K96" s="77"/>
      <c r="L96" s="77"/>
      <c r="M96" s="78"/>
      <c r="N96" s="76"/>
      <c r="O96" s="77"/>
      <c r="P96" s="77"/>
      <c r="Q96" s="79"/>
      <c r="R96" s="35"/>
    </row>
    <row r="97" spans="1:18" ht="33.75" x14ac:dyDescent="0.5">
      <c r="A97" s="59"/>
      <c r="B97" s="76"/>
      <c r="C97" s="77"/>
      <c r="D97" s="77"/>
      <c r="E97" s="79"/>
      <c r="F97" s="76"/>
      <c r="G97" s="77"/>
      <c r="H97" s="77"/>
      <c r="I97" s="78"/>
      <c r="J97" s="76"/>
      <c r="K97" s="77"/>
      <c r="L97" s="77"/>
      <c r="M97" s="78"/>
      <c r="N97" s="76"/>
      <c r="O97" s="77"/>
      <c r="P97" s="77"/>
      <c r="Q97" s="79"/>
      <c r="R97" s="35"/>
    </row>
    <row r="98" spans="1:18" ht="33.75" x14ac:dyDescent="0.5">
      <c r="A98" s="59"/>
      <c r="B98" s="76"/>
      <c r="C98" s="77"/>
      <c r="D98" s="77"/>
      <c r="E98" s="79"/>
      <c r="F98" s="76"/>
      <c r="G98" s="77"/>
      <c r="H98" s="77"/>
      <c r="I98" s="78"/>
      <c r="J98" s="76"/>
      <c r="K98" s="77"/>
      <c r="L98" s="77"/>
      <c r="M98" s="78"/>
      <c r="N98" s="76"/>
      <c r="O98" s="77"/>
      <c r="P98" s="77"/>
      <c r="Q98" s="79"/>
      <c r="R98" s="35"/>
    </row>
    <row r="99" spans="1:18" ht="33.75" x14ac:dyDescent="0.5">
      <c r="A99" s="59"/>
      <c r="B99" s="76"/>
      <c r="C99" s="77"/>
      <c r="D99" s="77"/>
      <c r="E99" s="79"/>
      <c r="F99" s="76"/>
      <c r="G99" s="77"/>
      <c r="H99" s="77"/>
      <c r="I99" s="78"/>
      <c r="J99" s="76"/>
      <c r="K99" s="77"/>
      <c r="L99" s="77"/>
      <c r="M99" s="78"/>
      <c r="N99" s="76"/>
      <c r="O99" s="77"/>
      <c r="P99" s="77"/>
      <c r="Q99" s="79"/>
      <c r="R99" s="35"/>
    </row>
    <row r="100" spans="1:18" ht="28.5" hidden="1" x14ac:dyDescent="0.45">
      <c r="A100" s="59" t="e">
        <f>(D100/Grapic!$J$14)*E100</f>
        <v>#VALUE!</v>
      </c>
      <c r="B100" s="80" t="str">
        <f>IF(TUDO!B100="","",PROPER(TUDO!B100))</f>
        <v/>
      </c>
      <c r="C100" s="81" t="str">
        <f>IF(TUDO!D100="","",TUDO!D100)</f>
        <v/>
      </c>
      <c r="D100" s="81" t="str">
        <f>IF(TUDO!E100="","",TUDO!E100)</f>
        <v/>
      </c>
      <c r="E100" s="80">
        <f>IF(TUDO!F100="","",TUDO!F100)</f>
        <v>362.18</v>
      </c>
      <c r="F100" s="80" t="str">
        <f>IF(TUDO!H100="","",TUDO!H100)</f>
        <v/>
      </c>
      <c r="G100" s="81" t="str">
        <f>IF(TUDO!I100="","",TUDO!I100)</f>
        <v/>
      </c>
      <c r="H100" s="81" t="str">
        <f>IF(TUDO!J100="","",TUDO!J100)</f>
        <v/>
      </c>
      <c r="I100" s="82" t="str">
        <f>IF(TUDO!I100="","",TUDO!K100)</f>
        <v/>
      </c>
      <c r="J100" s="80" t="str">
        <f>IF(TUDO!M100="","",TUDO!M100)</f>
        <v/>
      </c>
      <c r="K100" s="81" t="str">
        <f>IF(TUDO!N100="","",TUDO!N100)</f>
        <v/>
      </c>
      <c r="L100" s="81" t="str">
        <f>IF(TUDO!O100="","",TUDO!O100)</f>
        <v/>
      </c>
      <c r="N100" s="80" t="str">
        <f>IF(TUDO!Q100="","",TUDO!Q100)</f>
        <v/>
      </c>
      <c r="O100" s="81" t="str">
        <f>IF(TUDO!S100="","",TUDO!S100)</f>
        <v/>
      </c>
      <c r="P100" s="81" t="str">
        <f>IF(TUDO!T100="","",TUDO!T100)</f>
        <v/>
      </c>
      <c r="Q100" s="83" t="str">
        <f>IF(TUDO!U100="","",TUDO!U100)</f>
        <v/>
      </c>
    </row>
    <row r="101" spans="1:18" ht="15" hidden="1" x14ac:dyDescent="0.25"/>
    <row r="102" spans="1:18" ht="15" hidden="1" x14ac:dyDescent="0.25"/>
    <row r="103" spans="1:18" ht="15" hidden="1" x14ac:dyDescent="0.25"/>
    <row r="104" spans="1:18" ht="15" hidden="1" x14ac:dyDescent="0.25"/>
    <row r="105" spans="1:18" ht="15" hidden="1" x14ac:dyDescent="0.25"/>
  </sheetData>
  <mergeCells count="5">
    <mergeCell ref="I11:L11"/>
    <mergeCell ref="B12:E12"/>
    <mergeCell ref="F12:I12"/>
    <mergeCell ref="J12:M12"/>
    <mergeCell ref="N12:Q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3F304-C330-4D03-9174-6DC362511DE6}">
  <sheetPr codeName="Planilha12"/>
  <dimension ref="A1:XFC105"/>
  <sheetViews>
    <sheetView zoomScale="34" zoomScaleNormal="34" workbookViewId="0">
      <pane ySplit="13" topLeftCell="A14" activePane="bottomLeft" state="frozen"/>
      <selection pane="bottomLeft"/>
    </sheetView>
  </sheetViews>
  <sheetFormatPr defaultColWidth="0" defaultRowHeight="0" customHeight="1" zeroHeight="1" x14ac:dyDescent="0.25"/>
  <cols>
    <col min="1" max="1" width="13.140625" style="37" customWidth="1"/>
    <col min="2" max="2" width="35.7109375" style="37" customWidth="1"/>
    <col min="3" max="4" width="29.7109375" style="37" customWidth="1"/>
    <col min="5" max="5" width="33" style="37" bestFit="1" customWidth="1"/>
    <col min="6" max="6" width="55.5703125" style="37" customWidth="1"/>
    <col min="7" max="8" width="29.7109375" style="37" customWidth="1"/>
    <col min="9" max="9" width="33" style="37" bestFit="1" customWidth="1"/>
    <col min="10" max="10" width="35.7109375" style="37" customWidth="1"/>
    <col min="11" max="12" width="29.7109375" style="37" customWidth="1"/>
    <col min="13" max="13" width="33" style="37" bestFit="1" customWidth="1"/>
    <col min="14" max="14" width="35.7109375" style="37" customWidth="1"/>
    <col min="15" max="16" width="29.7109375" style="37" customWidth="1"/>
    <col min="17" max="17" width="33" style="37" bestFit="1" customWidth="1"/>
    <col min="18" max="18" width="30.7109375" style="37" customWidth="1"/>
    <col min="19" max="22" width="0" style="37" hidden="1" customWidth="1"/>
    <col min="23" max="16383" width="9.140625" style="37" hidden="1"/>
    <col min="16384" max="16384" width="14.28515625" style="37" hidden="1" customWidth="1"/>
  </cols>
  <sheetData>
    <row r="1" spans="1:18" ht="15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  <c r="R1" s="35"/>
    </row>
    <row r="2" spans="1:18" ht="15" x14ac:dyDescent="0.25">
      <c r="A2" s="35"/>
      <c r="B2" s="35"/>
      <c r="C2" s="35"/>
      <c r="D2" s="35"/>
      <c r="E2" s="35"/>
      <c r="F2" s="35"/>
      <c r="G2" s="35" t="s">
        <v>3</v>
      </c>
      <c r="H2" s="35"/>
      <c r="I2" s="35"/>
      <c r="J2" s="35"/>
      <c r="K2" s="35"/>
      <c r="L2" s="38"/>
      <c r="M2" s="39"/>
      <c r="N2" s="39"/>
      <c r="O2" s="39"/>
      <c r="P2" s="39"/>
      <c r="Q2" s="40"/>
      <c r="R2" s="35"/>
    </row>
    <row r="3" spans="1:18" ht="15" x14ac:dyDescent="0.25">
      <c r="A3" s="35"/>
      <c r="B3" s="41"/>
      <c r="C3" s="41"/>
      <c r="D3" s="41"/>
      <c r="E3" s="41"/>
      <c r="F3" s="41"/>
      <c r="G3" s="41"/>
      <c r="H3" s="41"/>
      <c r="I3" s="41"/>
      <c r="J3" s="41"/>
      <c r="K3" s="41"/>
      <c r="L3" s="40"/>
      <c r="M3" s="39"/>
      <c r="N3" s="39"/>
      <c r="O3" s="39"/>
      <c r="P3" s="39"/>
      <c r="Q3" s="40"/>
      <c r="R3" s="35"/>
    </row>
    <row r="4" spans="1:18" ht="15" x14ac:dyDescent="0.25">
      <c r="A4" s="35"/>
      <c r="B4" s="41"/>
      <c r="C4" s="41"/>
      <c r="D4" s="41"/>
      <c r="E4" s="41"/>
      <c r="F4" s="41"/>
      <c r="G4" s="41"/>
      <c r="H4" s="41"/>
      <c r="I4" s="41"/>
      <c r="J4" s="41"/>
      <c r="K4" s="41"/>
      <c r="L4" s="40"/>
      <c r="M4" s="39"/>
      <c r="N4" s="39"/>
      <c r="O4" s="39"/>
      <c r="P4" s="39"/>
      <c r="Q4" s="40"/>
      <c r="R4" s="35"/>
    </row>
    <row r="5" spans="1:18" ht="15" x14ac:dyDescent="0.25">
      <c r="A5" s="35"/>
      <c r="B5" s="41"/>
      <c r="C5" s="41"/>
      <c r="D5" s="41"/>
      <c r="E5" s="41"/>
      <c r="F5" s="41"/>
      <c r="G5" s="41"/>
      <c r="H5" s="41"/>
      <c r="I5" s="41"/>
      <c r="J5" s="41"/>
      <c r="K5" s="41"/>
      <c r="L5" s="40"/>
      <c r="M5" s="39"/>
      <c r="N5" s="39"/>
      <c r="O5" s="39"/>
      <c r="P5" s="39"/>
      <c r="Q5" s="40"/>
      <c r="R5" s="35"/>
    </row>
    <row r="6" spans="1:18" ht="15" x14ac:dyDescent="0.25">
      <c r="A6" s="35"/>
      <c r="B6" s="41"/>
      <c r="C6" s="41"/>
      <c r="D6" s="41"/>
      <c r="E6" s="41"/>
      <c r="F6" s="41"/>
      <c r="G6" s="41"/>
      <c r="H6" s="41"/>
      <c r="I6" s="41"/>
      <c r="J6" s="41"/>
      <c r="K6" s="41"/>
      <c r="L6" s="40"/>
      <c r="M6" s="40"/>
      <c r="N6" s="40"/>
      <c r="O6" s="40"/>
      <c r="P6" s="40"/>
      <c r="Q6" s="40"/>
      <c r="R6" s="35"/>
    </row>
    <row r="7" spans="1:18" ht="15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8"/>
      <c r="M7" s="38"/>
      <c r="N7" s="38"/>
      <c r="O7" s="38"/>
      <c r="P7" s="38"/>
      <c r="Q7" s="38"/>
      <c r="R7" s="35"/>
    </row>
    <row r="8" spans="1:18" ht="15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8"/>
      <c r="M8" s="38"/>
      <c r="N8" s="38"/>
      <c r="O8" s="38"/>
      <c r="P8" s="38"/>
      <c r="Q8" s="38"/>
      <c r="R8" s="35"/>
    </row>
    <row r="9" spans="1:18" ht="28.5" x14ac:dyDescent="0.45">
      <c r="A9" s="35"/>
      <c r="B9" s="42"/>
      <c r="C9" s="43"/>
      <c r="D9" s="43"/>
      <c r="E9" s="43"/>
      <c r="F9" s="43"/>
      <c r="G9" s="43"/>
      <c r="H9" s="43"/>
      <c r="I9" s="43"/>
      <c r="J9" s="43"/>
      <c r="K9" s="44"/>
      <c r="L9" s="43"/>
      <c r="M9" s="43"/>
      <c r="N9" s="43"/>
      <c r="O9" s="43"/>
      <c r="P9" s="43"/>
      <c r="Q9" s="43"/>
      <c r="R9" s="35"/>
    </row>
    <row r="10" spans="1:18" ht="28.5" x14ac:dyDescent="0.45">
      <c r="A10" s="35"/>
      <c r="B10" s="42" t="s">
        <v>0</v>
      </c>
      <c r="C10" s="43"/>
      <c r="D10" s="43"/>
      <c r="E10" s="43"/>
      <c r="F10" s="43"/>
      <c r="G10" s="43"/>
      <c r="H10" s="45"/>
      <c r="I10" s="45"/>
      <c r="J10" s="45"/>
      <c r="K10" s="45"/>
      <c r="L10" s="46"/>
      <c r="M10" s="47"/>
      <c r="N10" s="47"/>
      <c r="O10" s="47"/>
      <c r="P10" s="47"/>
      <c r="Q10" s="47"/>
      <c r="R10" s="35"/>
    </row>
    <row r="11" spans="1:18" ht="93" thickBot="1" x14ac:dyDescent="1.4">
      <c r="A11" s="35"/>
      <c r="B11" s="48"/>
      <c r="C11" s="45"/>
      <c r="D11" s="45"/>
      <c r="E11" s="45"/>
      <c r="F11" s="45"/>
      <c r="G11" s="50"/>
      <c r="H11" s="51"/>
      <c r="I11" s="214"/>
      <c r="J11" s="214"/>
      <c r="K11" s="214"/>
      <c r="L11" s="214"/>
      <c r="M11" s="53"/>
      <c r="N11" s="45"/>
      <c r="O11" s="45"/>
      <c r="P11" s="45"/>
      <c r="Q11" s="45"/>
      <c r="R11" s="35"/>
    </row>
    <row r="12" spans="1:18" ht="93" thickBot="1" x14ac:dyDescent="1.4">
      <c r="A12" s="54"/>
      <c r="B12" s="215" t="s">
        <v>7</v>
      </c>
      <c r="C12" s="216"/>
      <c r="D12" s="216"/>
      <c r="E12" s="216"/>
      <c r="F12" s="215" t="s">
        <v>21</v>
      </c>
      <c r="G12" s="216"/>
      <c r="H12" s="216"/>
      <c r="I12" s="217"/>
      <c r="J12" s="216" t="s">
        <v>5</v>
      </c>
      <c r="K12" s="216"/>
      <c r="L12" s="216"/>
      <c r="M12" s="217"/>
      <c r="N12" s="216" t="s">
        <v>13</v>
      </c>
      <c r="O12" s="216"/>
      <c r="P12" s="216"/>
      <c r="Q12" s="217"/>
      <c r="R12" s="35"/>
    </row>
    <row r="13" spans="1:18" ht="39" x14ac:dyDescent="0.6">
      <c r="A13" s="41"/>
      <c r="B13" s="73" t="s">
        <v>18</v>
      </c>
      <c r="C13" s="74" t="s">
        <v>15</v>
      </c>
      <c r="D13" s="74" t="s">
        <v>16</v>
      </c>
      <c r="E13" s="75" t="s">
        <v>17</v>
      </c>
      <c r="F13" s="73" t="s">
        <v>1</v>
      </c>
      <c r="G13" s="74" t="s">
        <v>15</v>
      </c>
      <c r="H13" s="74" t="s">
        <v>16</v>
      </c>
      <c r="I13" s="75" t="s">
        <v>17</v>
      </c>
      <c r="J13" s="73" t="s">
        <v>18</v>
      </c>
      <c r="K13" s="74" t="s">
        <v>15</v>
      </c>
      <c r="L13" s="74" t="s">
        <v>16</v>
      </c>
      <c r="M13" s="75" t="s">
        <v>17</v>
      </c>
      <c r="N13" s="73" t="s">
        <v>18</v>
      </c>
      <c r="O13" s="74" t="s">
        <v>15</v>
      </c>
      <c r="P13" s="74" t="s">
        <v>16</v>
      </c>
      <c r="Q13" s="75" t="s">
        <v>17</v>
      </c>
      <c r="R13" s="35"/>
    </row>
    <row r="14" spans="1:18" ht="33.75" x14ac:dyDescent="0.5">
      <c r="A14" s="59"/>
      <c r="B14" s="76"/>
      <c r="C14" s="77"/>
      <c r="D14" s="77"/>
      <c r="E14" s="33"/>
      <c r="F14" s="76"/>
      <c r="G14" s="77"/>
      <c r="H14" s="77"/>
      <c r="I14" s="78"/>
      <c r="J14" s="76"/>
      <c r="K14" s="77"/>
      <c r="L14" s="77"/>
      <c r="M14" s="78"/>
      <c r="N14" s="76"/>
      <c r="O14" s="77"/>
      <c r="P14" s="77"/>
      <c r="Q14" s="79"/>
      <c r="R14" s="35"/>
    </row>
    <row r="15" spans="1:18" ht="33.75" x14ac:dyDescent="0.5">
      <c r="A15" s="59"/>
      <c r="B15" s="76"/>
      <c r="C15" s="77"/>
      <c r="D15" s="77"/>
      <c r="E15" s="33"/>
      <c r="F15" s="76"/>
      <c r="G15" s="77"/>
      <c r="H15" s="77"/>
      <c r="I15" s="78"/>
      <c r="J15" s="76"/>
      <c r="K15" s="77"/>
      <c r="L15" s="77"/>
      <c r="M15" s="78"/>
      <c r="N15" s="76"/>
      <c r="O15" s="77"/>
      <c r="P15" s="77"/>
      <c r="Q15" s="79"/>
      <c r="R15" s="35"/>
    </row>
    <row r="16" spans="1:18" ht="33.75" x14ac:dyDescent="0.5">
      <c r="A16" s="59"/>
      <c r="B16" s="76"/>
      <c r="C16" s="77"/>
      <c r="D16" s="77"/>
      <c r="E16" s="79"/>
      <c r="F16" s="76"/>
      <c r="G16" s="77"/>
      <c r="H16" s="77"/>
      <c r="I16" s="78"/>
      <c r="J16" s="76"/>
      <c r="K16" s="77"/>
      <c r="L16" s="77"/>
      <c r="M16" s="78"/>
      <c r="N16" s="76"/>
      <c r="O16" s="77"/>
      <c r="P16" s="77"/>
      <c r="Q16" s="79"/>
      <c r="R16" s="35"/>
    </row>
    <row r="17" spans="1:18" ht="33.75" x14ac:dyDescent="0.5">
      <c r="A17" s="59"/>
      <c r="B17" s="76"/>
      <c r="C17" s="77"/>
      <c r="D17" s="77"/>
      <c r="E17" s="79"/>
      <c r="F17" s="76"/>
      <c r="G17" s="77"/>
      <c r="H17" s="77"/>
      <c r="I17" s="78"/>
      <c r="J17" s="76"/>
      <c r="K17" s="77"/>
      <c r="L17" s="77"/>
      <c r="M17" s="78"/>
      <c r="N17" s="76"/>
      <c r="O17" s="77"/>
      <c r="P17" s="77"/>
      <c r="Q17" s="79"/>
      <c r="R17" s="35"/>
    </row>
    <row r="18" spans="1:18" ht="33.75" x14ac:dyDescent="0.5">
      <c r="A18" s="59"/>
      <c r="B18" s="76"/>
      <c r="C18" s="77"/>
      <c r="D18" s="77"/>
      <c r="E18" s="79"/>
      <c r="F18" s="76"/>
      <c r="G18" s="77"/>
      <c r="H18" s="77"/>
      <c r="I18" s="78"/>
      <c r="J18" s="76"/>
      <c r="K18" s="77"/>
      <c r="L18" s="77"/>
      <c r="M18" s="78"/>
      <c r="N18" s="76"/>
      <c r="O18" s="77"/>
      <c r="P18" s="77"/>
      <c r="Q18" s="79"/>
      <c r="R18" s="35"/>
    </row>
    <row r="19" spans="1:18" ht="33.75" x14ac:dyDescent="0.5">
      <c r="A19" s="59"/>
      <c r="B19" s="76"/>
      <c r="C19" s="77"/>
      <c r="D19" s="77"/>
      <c r="E19" s="79"/>
      <c r="F19" s="76"/>
      <c r="G19" s="77"/>
      <c r="H19" s="77"/>
      <c r="I19" s="78"/>
      <c r="J19" s="76"/>
      <c r="K19" s="77"/>
      <c r="L19" s="77"/>
      <c r="M19" s="78"/>
      <c r="N19" s="76"/>
      <c r="O19" s="77"/>
      <c r="P19" s="77"/>
      <c r="Q19" s="79"/>
      <c r="R19" s="35"/>
    </row>
    <row r="20" spans="1:18" ht="33.75" x14ac:dyDescent="0.5">
      <c r="A20" s="59"/>
      <c r="B20" s="76"/>
      <c r="C20" s="77"/>
      <c r="D20" s="77"/>
      <c r="E20" s="79"/>
      <c r="F20" s="76"/>
      <c r="G20" s="77"/>
      <c r="H20" s="77"/>
      <c r="I20" s="78"/>
      <c r="J20" s="76"/>
      <c r="K20" s="77"/>
      <c r="L20" s="77"/>
      <c r="M20" s="78"/>
      <c r="N20" s="76"/>
      <c r="O20" s="77"/>
      <c r="P20" s="77"/>
      <c r="Q20" s="79"/>
      <c r="R20" s="35"/>
    </row>
    <row r="21" spans="1:18" ht="33.75" x14ac:dyDescent="0.5">
      <c r="A21" s="59"/>
      <c r="B21" s="76"/>
      <c r="C21" s="77"/>
      <c r="D21" s="77"/>
      <c r="E21" s="79"/>
      <c r="F21" s="76"/>
      <c r="G21" s="77"/>
      <c r="H21" s="77"/>
      <c r="I21" s="78"/>
      <c r="J21" s="76"/>
      <c r="K21" s="77"/>
      <c r="L21" s="77"/>
      <c r="M21" s="78"/>
      <c r="N21" s="76"/>
      <c r="O21" s="77"/>
      <c r="P21" s="77"/>
      <c r="Q21" s="79"/>
      <c r="R21" s="35"/>
    </row>
    <row r="22" spans="1:18" ht="33.75" x14ac:dyDescent="0.5">
      <c r="A22" s="59"/>
      <c r="B22" s="76"/>
      <c r="C22" s="77"/>
      <c r="D22" s="77"/>
      <c r="E22" s="79"/>
      <c r="F22" s="76"/>
      <c r="G22" s="77"/>
      <c r="H22" s="77"/>
      <c r="I22" s="78"/>
      <c r="J22" s="76"/>
      <c r="K22" s="77"/>
      <c r="L22" s="77"/>
      <c r="M22" s="78"/>
      <c r="N22" s="76"/>
      <c r="O22" s="77"/>
      <c r="P22" s="77"/>
      <c r="Q22" s="79"/>
      <c r="R22" s="35"/>
    </row>
    <row r="23" spans="1:18" ht="33.75" x14ac:dyDescent="0.5">
      <c r="A23" s="59"/>
      <c r="B23" s="76"/>
      <c r="C23" s="77"/>
      <c r="D23" s="77"/>
      <c r="E23" s="79"/>
      <c r="F23" s="76"/>
      <c r="G23" s="77"/>
      <c r="H23" s="77"/>
      <c r="I23" s="78"/>
      <c r="J23" s="76"/>
      <c r="K23" s="77"/>
      <c r="L23" s="77"/>
      <c r="M23" s="78"/>
      <c r="N23" s="76"/>
      <c r="O23" s="77"/>
      <c r="P23" s="77"/>
      <c r="Q23" s="79"/>
      <c r="R23" s="35"/>
    </row>
    <row r="24" spans="1:18" ht="33.75" x14ac:dyDescent="0.5">
      <c r="A24" s="59"/>
      <c r="B24" s="76"/>
      <c r="C24" s="77"/>
      <c r="D24" s="77"/>
      <c r="E24" s="79"/>
      <c r="F24" s="76"/>
      <c r="G24" s="77"/>
      <c r="H24" s="77"/>
      <c r="I24" s="78"/>
      <c r="J24" s="76"/>
      <c r="K24" s="77"/>
      <c r="L24" s="77"/>
      <c r="M24" s="78"/>
      <c r="N24" s="76"/>
      <c r="O24" s="77"/>
      <c r="P24" s="77"/>
      <c r="Q24" s="79"/>
      <c r="R24" s="35"/>
    </row>
    <row r="25" spans="1:18" ht="33.75" x14ac:dyDescent="0.5">
      <c r="A25" s="59"/>
      <c r="B25" s="76"/>
      <c r="C25" s="77"/>
      <c r="D25" s="77"/>
      <c r="E25" s="79"/>
      <c r="F25" s="76"/>
      <c r="G25" s="77"/>
      <c r="H25" s="77"/>
      <c r="I25" s="78"/>
      <c r="J25" s="76"/>
      <c r="K25" s="77"/>
      <c r="L25" s="77"/>
      <c r="M25" s="78"/>
      <c r="N25" s="76"/>
      <c r="O25" s="77"/>
      <c r="P25" s="77"/>
      <c r="Q25" s="79"/>
      <c r="R25" s="35"/>
    </row>
    <row r="26" spans="1:18" ht="33.75" x14ac:dyDescent="0.5">
      <c r="A26" s="59"/>
      <c r="B26" s="76"/>
      <c r="C26" s="77"/>
      <c r="D26" s="77"/>
      <c r="E26" s="79"/>
      <c r="F26" s="76"/>
      <c r="G26" s="77"/>
      <c r="H26" s="77"/>
      <c r="I26" s="78"/>
      <c r="J26" s="76"/>
      <c r="K26" s="77"/>
      <c r="L26" s="77"/>
      <c r="M26" s="78"/>
      <c r="N26" s="76"/>
      <c r="O26" s="77"/>
      <c r="P26" s="77"/>
      <c r="Q26" s="79"/>
      <c r="R26" s="35"/>
    </row>
    <row r="27" spans="1:18" ht="33.75" x14ac:dyDescent="0.5">
      <c r="A27" s="59"/>
      <c r="B27" s="76"/>
      <c r="C27" s="77"/>
      <c r="D27" s="77"/>
      <c r="E27" s="79"/>
      <c r="F27" s="76"/>
      <c r="G27" s="77"/>
      <c r="H27" s="77"/>
      <c r="I27" s="78"/>
      <c r="J27" s="76"/>
      <c r="K27" s="77"/>
      <c r="L27" s="77"/>
      <c r="M27" s="78"/>
      <c r="N27" s="76"/>
      <c r="O27" s="77"/>
      <c r="P27" s="77"/>
      <c r="Q27" s="79"/>
      <c r="R27" s="35"/>
    </row>
    <row r="28" spans="1:18" ht="33.75" x14ac:dyDescent="0.5">
      <c r="A28" s="59"/>
      <c r="B28" s="76"/>
      <c r="C28" s="77"/>
      <c r="D28" s="77"/>
      <c r="E28" s="79"/>
      <c r="F28" s="76"/>
      <c r="G28" s="77"/>
      <c r="H28" s="77"/>
      <c r="I28" s="78"/>
      <c r="J28" s="76"/>
      <c r="K28" s="77"/>
      <c r="L28" s="77"/>
      <c r="M28" s="78"/>
      <c r="N28" s="76"/>
      <c r="O28" s="77"/>
      <c r="P28" s="77"/>
      <c r="Q28" s="79"/>
      <c r="R28" s="35"/>
    </row>
    <row r="29" spans="1:18" ht="33.75" x14ac:dyDescent="0.5">
      <c r="A29" s="59"/>
      <c r="B29" s="76"/>
      <c r="C29" s="77"/>
      <c r="D29" s="77"/>
      <c r="E29" s="79"/>
      <c r="F29" s="76"/>
      <c r="G29" s="77"/>
      <c r="H29" s="77"/>
      <c r="I29" s="78"/>
      <c r="J29" s="76"/>
      <c r="K29" s="77"/>
      <c r="L29" s="77"/>
      <c r="M29" s="78"/>
      <c r="N29" s="76"/>
      <c r="O29" s="77"/>
      <c r="P29" s="77"/>
      <c r="Q29" s="79"/>
      <c r="R29" s="35"/>
    </row>
    <row r="30" spans="1:18" ht="33.75" x14ac:dyDescent="0.5">
      <c r="A30" s="59"/>
      <c r="B30" s="76"/>
      <c r="C30" s="77"/>
      <c r="D30" s="77"/>
      <c r="E30" s="79"/>
      <c r="F30" s="76"/>
      <c r="G30" s="77"/>
      <c r="H30" s="77"/>
      <c r="I30" s="78"/>
      <c r="J30" s="76"/>
      <c r="K30" s="77"/>
      <c r="L30" s="77"/>
      <c r="M30" s="78"/>
      <c r="N30" s="76"/>
      <c r="O30" s="77"/>
      <c r="P30" s="77"/>
      <c r="Q30" s="79"/>
      <c r="R30" s="35"/>
    </row>
    <row r="31" spans="1:18" ht="33.75" x14ac:dyDescent="0.5">
      <c r="A31" s="59"/>
      <c r="B31" s="76"/>
      <c r="C31" s="77"/>
      <c r="D31" s="77"/>
      <c r="E31" s="79"/>
      <c r="F31" s="76"/>
      <c r="G31" s="77"/>
      <c r="H31" s="77"/>
      <c r="I31" s="78"/>
      <c r="J31" s="76"/>
      <c r="K31" s="77"/>
      <c r="L31" s="77"/>
      <c r="M31" s="78"/>
      <c r="N31" s="76"/>
      <c r="O31" s="77"/>
      <c r="P31" s="77"/>
      <c r="Q31" s="79"/>
      <c r="R31" s="35"/>
    </row>
    <row r="32" spans="1:18" ht="33.75" x14ac:dyDescent="0.5">
      <c r="A32" s="59"/>
      <c r="B32" s="76"/>
      <c r="C32" s="77"/>
      <c r="D32" s="77"/>
      <c r="E32" s="79"/>
      <c r="F32" s="76"/>
      <c r="G32" s="77"/>
      <c r="H32" s="77"/>
      <c r="I32" s="78"/>
      <c r="J32" s="76"/>
      <c r="K32" s="77"/>
      <c r="L32" s="77"/>
      <c r="M32" s="78"/>
      <c r="N32" s="76"/>
      <c r="O32" s="77"/>
      <c r="P32" s="77"/>
      <c r="Q32" s="79"/>
      <c r="R32" s="35"/>
    </row>
    <row r="33" spans="1:18" ht="33.75" x14ac:dyDescent="0.5">
      <c r="A33" s="59"/>
      <c r="B33" s="76"/>
      <c r="C33" s="77"/>
      <c r="D33" s="77"/>
      <c r="E33" s="79"/>
      <c r="F33" s="76"/>
      <c r="G33" s="77"/>
      <c r="H33" s="77"/>
      <c r="I33" s="78"/>
      <c r="J33" s="76"/>
      <c r="K33" s="77"/>
      <c r="L33" s="77"/>
      <c r="M33" s="78"/>
      <c r="N33" s="76"/>
      <c r="O33" s="77"/>
      <c r="P33" s="77"/>
      <c r="Q33" s="79"/>
      <c r="R33" s="35"/>
    </row>
    <row r="34" spans="1:18" ht="33.75" x14ac:dyDescent="0.5">
      <c r="A34" s="59"/>
      <c r="B34" s="76"/>
      <c r="C34" s="77"/>
      <c r="D34" s="77"/>
      <c r="E34" s="79"/>
      <c r="F34" s="76"/>
      <c r="G34" s="77"/>
      <c r="H34" s="77"/>
      <c r="I34" s="78"/>
      <c r="J34" s="76"/>
      <c r="K34" s="77"/>
      <c r="L34" s="77"/>
      <c r="M34" s="78"/>
      <c r="N34" s="76"/>
      <c r="O34" s="77"/>
      <c r="P34" s="77"/>
      <c r="Q34" s="79"/>
      <c r="R34" s="35"/>
    </row>
    <row r="35" spans="1:18" ht="33.75" x14ac:dyDescent="0.5">
      <c r="A35" s="59"/>
      <c r="B35" s="76"/>
      <c r="C35" s="77"/>
      <c r="D35" s="77"/>
      <c r="E35" s="79"/>
      <c r="F35" s="76"/>
      <c r="G35" s="77"/>
      <c r="H35" s="77"/>
      <c r="I35" s="78"/>
      <c r="J35" s="76"/>
      <c r="K35" s="77"/>
      <c r="L35" s="77"/>
      <c r="M35" s="78"/>
      <c r="N35" s="76"/>
      <c r="O35" s="77"/>
      <c r="P35" s="77"/>
      <c r="Q35" s="79"/>
      <c r="R35" s="35"/>
    </row>
    <row r="36" spans="1:18" ht="33.75" x14ac:dyDescent="0.5">
      <c r="A36" s="59"/>
      <c r="B36" s="76"/>
      <c r="C36" s="77"/>
      <c r="D36" s="77"/>
      <c r="E36" s="79"/>
      <c r="F36" s="76"/>
      <c r="G36" s="77"/>
      <c r="H36" s="77"/>
      <c r="I36" s="78"/>
      <c r="J36" s="76"/>
      <c r="K36" s="77"/>
      <c r="L36" s="77"/>
      <c r="M36" s="78"/>
      <c r="N36" s="76"/>
      <c r="O36" s="77"/>
      <c r="P36" s="77"/>
      <c r="Q36" s="79"/>
      <c r="R36" s="35"/>
    </row>
    <row r="37" spans="1:18" ht="33.75" x14ac:dyDescent="0.5">
      <c r="A37" s="59"/>
      <c r="B37" s="76"/>
      <c r="C37" s="77"/>
      <c r="D37" s="77"/>
      <c r="E37" s="79"/>
      <c r="F37" s="76"/>
      <c r="G37" s="77"/>
      <c r="H37" s="77"/>
      <c r="I37" s="78"/>
      <c r="J37" s="76"/>
      <c r="K37" s="77"/>
      <c r="L37" s="77"/>
      <c r="M37" s="78"/>
      <c r="N37" s="76"/>
      <c r="O37" s="77"/>
      <c r="P37" s="77"/>
      <c r="Q37" s="79"/>
      <c r="R37" s="35"/>
    </row>
    <row r="38" spans="1:18" ht="33.75" x14ac:dyDescent="0.5">
      <c r="A38" s="59"/>
      <c r="B38" s="76"/>
      <c r="C38" s="77"/>
      <c r="D38" s="77"/>
      <c r="E38" s="79"/>
      <c r="F38" s="76"/>
      <c r="G38" s="77"/>
      <c r="H38" s="77"/>
      <c r="I38" s="78"/>
      <c r="J38" s="76"/>
      <c r="K38" s="77"/>
      <c r="L38" s="77"/>
      <c r="M38" s="78"/>
      <c r="N38" s="76"/>
      <c r="O38" s="77"/>
      <c r="P38" s="77"/>
      <c r="Q38" s="79"/>
      <c r="R38" s="35"/>
    </row>
    <row r="39" spans="1:18" ht="33.75" x14ac:dyDescent="0.5">
      <c r="A39" s="59"/>
      <c r="B39" s="76"/>
      <c r="C39" s="77"/>
      <c r="D39" s="77"/>
      <c r="E39" s="79"/>
      <c r="F39" s="76"/>
      <c r="G39" s="77"/>
      <c r="H39" s="77"/>
      <c r="I39" s="78"/>
      <c r="J39" s="76"/>
      <c r="K39" s="77"/>
      <c r="L39" s="77"/>
      <c r="M39" s="78"/>
      <c r="N39" s="76"/>
      <c r="O39" s="77"/>
      <c r="P39" s="77"/>
      <c r="Q39" s="79"/>
      <c r="R39" s="35"/>
    </row>
    <row r="40" spans="1:18" ht="33.75" x14ac:dyDescent="0.5">
      <c r="A40" s="59"/>
      <c r="B40" s="76"/>
      <c r="C40" s="77"/>
      <c r="D40" s="77"/>
      <c r="E40" s="79"/>
      <c r="F40" s="76"/>
      <c r="G40" s="77"/>
      <c r="H40" s="77"/>
      <c r="I40" s="78"/>
      <c r="J40" s="76"/>
      <c r="K40" s="77"/>
      <c r="L40" s="77"/>
      <c r="M40" s="78"/>
      <c r="N40" s="76"/>
      <c r="O40" s="77"/>
      <c r="P40" s="77"/>
      <c r="Q40" s="79"/>
      <c r="R40" s="35"/>
    </row>
    <row r="41" spans="1:18" ht="33.75" x14ac:dyDescent="0.5">
      <c r="A41" s="59"/>
      <c r="B41" s="76"/>
      <c r="C41" s="77"/>
      <c r="D41" s="77"/>
      <c r="E41" s="79"/>
      <c r="F41" s="76"/>
      <c r="G41" s="77"/>
      <c r="H41" s="77"/>
      <c r="I41" s="78"/>
      <c r="J41" s="76"/>
      <c r="K41" s="77"/>
      <c r="L41" s="77"/>
      <c r="M41" s="78"/>
      <c r="N41" s="76"/>
      <c r="O41" s="77"/>
      <c r="P41" s="77"/>
      <c r="Q41" s="79"/>
      <c r="R41" s="35"/>
    </row>
    <row r="42" spans="1:18" ht="33.75" x14ac:dyDescent="0.5">
      <c r="A42" s="59"/>
      <c r="B42" s="76"/>
      <c r="C42" s="77"/>
      <c r="D42" s="77"/>
      <c r="E42" s="79"/>
      <c r="F42" s="76"/>
      <c r="G42" s="77"/>
      <c r="H42" s="77"/>
      <c r="I42" s="78"/>
      <c r="J42" s="76"/>
      <c r="K42" s="77"/>
      <c r="L42" s="77"/>
      <c r="M42" s="78"/>
      <c r="N42" s="76"/>
      <c r="O42" s="77"/>
      <c r="P42" s="77"/>
      <c r="Q42" s="79"/>
      <c r="R42" s="35"/>
    </row>
    <row r="43" spans="1:18" ht="33.75" x14ac:dyDescent="0.5">
      <c r="A43" s="59"/>
      <c r="B43" s="76"/>
      <c r="C43" s="77"/>
      <c r="D43" s="77"/>
      <c r="E43" s="79"/>
      <c r="F43" s="76"/>
      <c r="G43" s="77"/>
      <c r="H43" s="77"/>
      <c r="I43" s="78"/>
      <c r="J43" s="76"/>
      <c r="K43" s="77"/>
      <c r="L43" s="77"/>
      <c r="M43" s="78"/>
      <c r="N43" s="76"/>
      <c r="O43" s="77"/>
      <c r="P43" s="77"/>
      <c r="Q43" s="79"/>
      <c r="R43" s="35"/>
    </row>
    <row r="44" spans="1:18" ht="33.75" x14ac:dyDescent="0.5">
      <c r="A44" s="59"/>
      <c r="B44" s="76"/>
      <c r="C44" s="77"/>
      <c r="D44" s="77"/>
      <c r="E44" s="79"/>
      <c r="F44" s="76"/>
      <c r="G44" s="77"/>
      <c r="H44" s="77"/>
      <c r="I44" s="78"/>
      <c r="J44" s="76"/>
      <c r="K44" s="77"/>
      <c r="L44" s="77"/>
      <c r="M44" s="78"/>
      <c r="N44" s="76"/>
      <c r="O44" s="77"/>
      <c r="P44" s="77"/>
      <c r="Q44" s="79"/>
      <c r="R44" s="35"/>
    </row>
    <row r="45" spans="1:18" ht="33.75" x14ac:dyDescent="0.5">
      <c r="A45" s="59"/>
      <c r="B45" s="76"/>
      <c r="C45" s="77"/>
      <c r="D45" s="77"/>
      <c r="E45" s="79"/>
      <c r="F45" s="76"/>
      <c r="G45" s="77"/>
      <c r="H45" s="77"/>
      <c r="I45" s="78"/>
      <c r="J45" s="76"/>
      <c r="K45" s="77"/>
      <c r="L45" s="77"/>
      <c r="M45" s="78"/>
      <c r="N45" s="76"/>
      <c r="O45" s="77"/>
      <c r="P45" s="77"/>
      <c r="Q45" s="79"/>
      <c r="R45" s="35"/>
    </row>
    <row r="46" spans="1:18" ht="33.75" x14ac:dyDescent="0.5">
      <c r="A46" s="59"/>
      <c r="B46" s="76"/>
      <c r="C46" s="77"/>
      <c r="D46" s="77"/>
      <c r="E46" s="79"/>
      <c r="F46" s="76"/>
      <c r="G46" s="77"/>
      <c r="H46" s="77"/>
      <c r="I46" s="78"/>
      <c r="J46" s="76"/>
      <c r="K46" s="77"/>
      <c r="L46" s="77"/>
      <c r="M46" s="78"/>
      <c r="N46" s="76"/>
      <c r="O46" s="77"/>
      <c r="P46" s="77"/>
      <c r="Q46" s="79"/>
      <c r="R46" s="35"/>
    </row>
    <row r="47" spans="1:18" ht="33.75" x14ac:dyDescent="0.5">
      <c r="A47" s="59"/>
      <c r="B47" s="76"/>
      <c r="C47" s="77"/>
      <c r="D47" s="77"/>
      <c r="E47" s="79"/>
      <c r="F47" s="76"/>
      <c r="G47" s="77"/>
      <c r="H47" s="77"/>
      <c r="I47" s="78"/>
      <c r="J47" s="76"/>
      <c r="K47" s="77"/>
      <c r="L47" s="77"/>
      <c r="M47" s="78"/>
      <c r="N47" s="76"/>
      <c r="O47" s="77"/>
      <c r="P47" s="77"/>
      <c r="Q47" s="79"/>
      <c r="R47" s="35"/>
    </row>
    <row r="48" spans="1:18" ht="33.75" x14ac:dyDescent="0.5">
      <c r="A48" s="59"/>
      <c r="B48" s="76"/>
      <c r="C48" s="77"/>
      <c r="D48" s="77"/>
      <c r="E48" s="79"/>
      <c r="F48" s="76"/>
      <c r="G48" s="77"/>
      <c r="H48" s="77"/>
      <c r="I48" s="78"/>
      <c r="J48" s="76"/>
      <c r="K48" s="77"/>
      <c r="L48" s="77"/>
      <c r="M48" s="78"/>
      <c r="N48" s="76"/>
      <c r="O48" s="77"/>
      <c r="P48" s="77"/>
      <c r="Q48" s="79"/>
      <c r="R48" s="35"/>
    </row>
    <row r="49" spans="1:18" ht="33.75" x14ac:dyDescent="0.5">
      <c r="A49" s="59"/>
      <c r="B49" s="76"/>
      <c r="C49" s="77"/>
      <c r="D49" s="77"/>
      <c r="E49" s="79"/>
      <c r="F49" s="76"/>
      <c r="G49" s="77"/>
      <c r="H49" s="77"/>
      <c r="I49" s="78"/>
      <c r="J49" s="76"/>
      <c r="K49" s="77"/>
      <c r="L49" s="77"/>
      <c r="M49" s="78"/>
      <c r="N49" s="76"/>
      <c r="O49" s="77"/>
      <c r="P49" s="77"/>
      <c r="Q49" s="79"/>
      <c r="R49" s="35"/>
    </row>
    <row r="50" spans="1:18" ht="33.75" x14ac:dyDescent="0.5">
      <c r="A50" s="59"/>
      <c r="B50" s="76"/>
      <c r="C50" s="77"/>
      <c r="D50" s="77"/>
      <c r="E50" s="79"/>
      <c r="F50" s="76"/>
      <c r="G50" s="77"/>
      <c r="H50" s="77"/>
      <c r="I50" s="78"/>
      <c r="J50" s="76"/>
      <c r="K50" s="77"/>
      <c r="L50" s="77"/>
      <c r="M50" s="78"/>
      <c r="N50" s="76"/>
      <c r="O50" s="77"/>
      <c r="P50" s="77"/>
      <c r="Q50" s="79"/>
      <c r="R50" s="35"/>
    </row>
    <row r="51" spans="1:18" ht="33.75" x14ac:dyDescent="0.5">
      <c r="A51" s="59"/>
      <c r="B51" s="76"/>
      <c r="C51" s="77"/>
      <c r="D51" s="77"/>
      <c r="E51" s="79"/>
      <c r="F51" s="76"/>
      <c r="G51" s="77"/>
      <c r="H51" s="77"/>
      <c r="I51" s="78"/>
      <c r="J51" s="76"/>
      <c r="K51" s="77"/>
      <c r="L51" s="77"/>
      <c r="M51" s="78"/>
      <c r="N51" s="76"/>
      <c r="O51" s="77"/>
      <c r="P51" s="77"/>
      <c r="Q51" s="79"/>
      <c r="R51" s="35"/>
    </row>
    <row r="52" spans="1:18" ht="33.75" x14ac:dyDescent="0.5">
      <c r="A52" s="59"/>
      <c r="B52" s="76"/>
      <c r="C52" s="77"/>
      <c r="D52" s="77"/>
      <c r="E52" s="79"/>
      <c r="F52" s="76"/>
      <c r="G52" s="77"/>
      <c r="H52" s="77"/>
      <c r="I52" s="78"/>
      <c r="J52" s="76"/>
      <c r="K52" s="77"/>
      <c r="L52" s="77"/>
      <c r="M52" s="78"/>
      <c r="N52" s="76"/>
      <c r="O52" s="77"/>
      <c r="P52" s="77"/>
      <c r="Q52" s="79"/>
      <c r="R52" s="35"/>
    </row>
    <row r="53" spans="1:18" ht="33.75" x14ac:dyDescent="0.5">
      <c r="A53" s="59"/>
      <c r="B53" s="76"/>
      <c r="C53" s="77"/>
      <c r="D53" s="77"/>
      <c r="E53" s="79"/>
      <c r="F53" s="76"/>
      <c r="G53" s="77"/>
      <c r="H53" s="77"/>
      <c r="I53" s="78"/>
      <c r="J53" s="76"/>
      <c r="K53" s="77"/>
      <c r="L53" s="77"/>
      <c r="M53" s="78"/>
      <c r="N53" s="76"/>
      <c r="O53" s="77"/>
      <c r="P53" s="77"/>
      <c r="Q53" s="79"/>
      <c r="R53" s="35"/>
    </row>
    <row r="54" spans="1:18" ht="33.75" x14ac:dyDescent="0.5">
      <c r="A54" s="59"/>
      <c r="B54" s="76"/>
      <c r="C54" s="77"/>
      <c r="D54" s="77"/>
      <c r="E54" s="79"/>
      <c r="F54" s="76"/>
      <c r="G54" s="77"/>
      <c r="H54" s="77"/>
      <c r="I54" s="78"/>
      <c r="J54" s="76"/>
      <c r="K54" s="77"/>
      <c r="L54" s="77"/>
      <c r="M54" s="78"/>
      <c r="N54" s="76"/>
      <c r="O54" s="77"/>
      <c r="P54" s="77"/>
      <c r="Q54" s="79"/>
      <c r="R54" s="35"/>
    </row>
    <row r="55" spans="1:18" ht="33.75" x14ac:dyDescent="0.5">
      <c r="A55" s="59"/>
      <c r="B55" s="76"/>
      <c r="C55" s="77"/>
      <c r="D55" s="77"/>
      <c r="E55" s="79"/>
      <c r="F55" s="76"/>
      <c r="G55" s="77"/>
      <c r="H55" s="77"/>
      <c r="I55" s="78"/>
      <c r="J55" s="76"/>
      <c r="K55" s="77"/>
      <c r="L55" s="77"/>
      <c r="M55" s="78"/>
      <c r="N55" s="76"/>
      <c r="O55" s="77"/>
      <c r="P55" s="77"/>
      <c r="Q55" s="79"/>
      <c r="R55" s="35"/>
    </row>
    <row r="56" spans="1:18" ht="33.75" x14ac:dyDescent="0.5">
      <c r="A56" s="59"/>
      <c r="B56" s="76"/>
      <c r="C56" s="77"/>
      <c r="D56" s="77"/>
      <c r="E56" s="79"/>
      <c r="F56" s="76"/>
      <c r="G56" s="77"/>
      <c r="H56" s="77"/>
      <c r="I56" s="78"/>
      <c r="J56" s="76"/>
      <c r="K56" s="77"/>
      <c r="L56" s="77"/>
      <c r="M56" s="78"/>
      <c r="N56" s="76"/>
      <c r="O56" s="77"/>
      <c r="P56" s="77"/>
      <c r="Q56" s="79"/>
      <c r="R56" s="35"/>
    </row>
    <row r="57" spans="1:18" ht="33.75" x14ac:dyDescent="0.5">
      <c r="A57" s="59"/>
      <c r="B57" s="76"/>
      <c r="C57" s="77"/>
      <c r="D57" s="77"/>
      <c r="E57" s="79"/>
      <c r="F57" s="76"/>
      <c r="G57" s="77"/>
      <c r="H57" s="77"/>
      <c r="I57" s="78"/>
      <c r="J57" s="76"/>
      <c r="K57" s="77"/>
      <c r="L57" s="77"/>
      <c r="M57" s="78"/>
      <c r="N57" s="76"/>
      <c r="O57" s="77"/>
      <c r="P57" s="77"/>
      <c r="Q57" s="79"/>
      <c r="R57" s="35"/>
    </row>
    <row r="58" spans="1:18" ht="33.75" x14ac:dyDescent="0.5">
      <c r="A58" s="59"/>
      <c r="B58" s="76"/>
      <c r="C58" s="77"/>
      <c r="D58" s="77"/>
      <c r="E58" s="79"/>
      <c r="F58" s="76"/>
      <c r="G58" s="77"/>
      <c r="H58" s="77"/>
      <c r="I58" s="78"/>
      <c r="J58" s="76"/>
      <c r="K58" s="77"/>
      <c r="L58" s="77"/>
      <c r="M58" s="78"/>
      <c r="N58" s="76"/>
      <c r="O58" s="77"/>
      <c r="P58" s="77"/>
      <c r="Q58" s="79"/>
      <c r="R58" s="35"/>
    </row>
    <row r="59" spans="1:18" ht="33.75" x14ac:dyDescent="0.5">
      <c r="A59" s="59"/>
      <c r="B59" s="76"/>
      <c r="C59" s="77"/>
      <c r="D59" s="77"/>
      <c r="E59" s="79"/>
      <c r="F59" s="76"/>
      <c r="G59" s="77"/>
      <c r="H59" s="77"/>
      <c r="I59" s="78"/>
      <c r="J59" s="76"/>
      <c r="K59" s="77"/>
      <c r="L59" s="77"/>
      <c r="M59" s="78"/>
      <c r="N59" s="76"/>
      <c r="O59" s="77"/>
      <c r="P59" s="77"/>
      <c r="Q59" s="79"/>
      <c r="R59" s="35"/>
    </row>
    <row r="60" spans="1:18" ht="33.75" x14ac:dyDescent="0.5">
      <c r="A60" s="59"/>
      <c r="B60" s="76"/>
      <c r="C60" s="77"/>
      <c r="D60" s="77"/>
      <c r="E60" s="79"/>
      <c r="F60" s="76"/>
      <c r="G60" s="77"/>
      <c r="H60" s="77"/>
      <c r="I60" s="78"/>
      <c r="J60" s="76"/>
      <c r="K60" s="77"/>
      <c r="L60" s="77"/>
      <c r="M60" s="78"/>
      <c r="N60" s="76"/>
      <c r="O60" s="77"/>
      <c r="P60" s="77"/>
      <c r="Q60" s="79"/>
      <c r="R60" s="35"/>
    </row>
    <row r="61" spans="1:18" ht="33.75" x14ac:dyDescent="0.5">
      <c r="A61" s="59"/>
      <c r="B61" s="76"/>
      <c r="C61" s="77"/>
      <c r="D61" s="77"/>
      <c r="E61" s="79"/>
      <c r="F61" s="76"/>
      <c r="G61" s="77"/>
      <c r="H61" s="77"/>
      <c r="I61" s="78"/>
      <c r="J61" s="76"/>
      <c r="K61" s="77"/>
      <c r="L61" s="77"/>
      <c r="M61" s="78"/>
      <c r="N61" s="76"/>
      <c r="O61" s="77"/>
      <c r="P61" s="77"/>
      <c r="Q61" s="79"/>
      <c r="R61" s="35"/>
    </row>
    <row r="62" spans="1:18" ht="33.75" x14ac:dyDescent="0.5">
      <c r="A62" s="59"/>
      <c r="B62" s="76"/>
      <c r="C62" s="77"/>
      <c r="D62" s="77"/>
      <c r="E62" s="79"/>
      <c r="F62" s="76"/>
      <c r="G62" s="77"/>
      <c r="H62" s="77"/>
      <c r="I62" s="78"/>
      <c r="J62" s="76"/>
      <c r="K62" s="77"/>
      <c r="L62" s="77"/>
      <c r="M62" s="78"/>
      <c r="N62" s="76"/>
      <c r="O62" s="77"/>
      <c r="P62" s="77"/>
      <c r="Q62" s="79"/>
      <c r="R62" s="35"/>
    </row>
    <row r="63" spans="1:18" ht="33.75" x14ac:dyDescent="0.5">
      <c r="A63" s="59"/>
      <c r="B63" s="76"/>
      <c r="C63" s="77"/>
      <c r="D63" s="77"/>
      <c r="E63" s="79"/>
      <c r="F63" s="76"/>
      <c r="G63" s="77"/>
      <c r="H63" s="77"/>
      <c r="I63" s="78"/>
      <c r="J63" s="76"/>
      <c r="K63" s="77"/>
      <c r="L63" s="77"/>
      <c r="M63" s="78"/>
      <c r="N63" s="76"/>
      <c r="O63" s="77"/>
      <c r="P63" s="77"/>
      <c r="Q63" s="79"/>
      <c r="R63" s="35"/>
    </row>
    <row r="64" spans="1:18" ht="33.75" x14ac:dyDescent="0.5">
      <c r="A64" s="59"/>
      <c r="B64" s="76"/>
      <c r="C64" s="77"/>
      <c r="D64" s="77"/>
      <c r="E64" s="79"/>
      <c r="F64" s="76"/>
      <c r="G64" s="77"/>
      <c r="H64" s="77"/>
      <c r="I64" s="78"/>
      <c r="J64" s="76"/>
      <c r="K64" s="77"/>
      <c r="L64" s="77"/>
      <c r="M64" s="78"/>
      <c r="N64" s="76"/>
      <c r="O64" s="77"/>
      <c r="P64" s="77"/>
      <c r="Q64" s="79"/>
      <c r="R64" s="35"/>
    </row>
    <row r="65" spans="1:18" ht="33.75" x14ac:dyDescent="0.5">
      <c r="A65" s="59"/>
      <c r="B65" s="76"/>
      <c r="C65" s="77"/>
      <c r="D65" s="77"/>
      <c r="E65" s="79"/>
      <c r="F65" s="76"/>
      <c r="G65" s="77"/>
      <c r="H65" s="77"/>
      <c r="I65" s="78"/>
      <c r="J65" s="76"/>
      <c r="K65" s="77"/>
      <c r="L65" s="77"/>
      <c r="M65" s="78"/>
      <c r="N65" s="76"/>
      <c r="O65" s="77"/>
      <c r="P65" s="77"/>
      <c r="Q65" s="79"/>
      <c r="R65" s="35"/>
    </row>
    <row r="66" spans="1:18" ht="33.75" x14ac:dyDescent="0.5">
      <c r="A66" s="59"/>
      <c r="B66" s="76"/>
      <c r="C66" s="77"/>
      <c r="D66" s="77"/>
      <c r="E66" s="79"/>
      <c r="F66" s="76"/>
      <c r="G66" s="77"/>
      <c r="H66" s="77"/>
      <c r="I66" s="78"/>
      <c r="J66" s="76"/>
      <c r="K66" s="77"/>
      <c r="L66" s="77"/>
      <c r="M66" s="78"/>
      <c r="N66" s="76"/>
      <c r="O66" s="77"/>
      <c r="P66" s="77"/>
      <c r="Q66" s="79"/>
      <c r="R66" s="35"/>
    </row>
    <row r="67" spans="1:18" ht="33.75" x14ac:dyDescent="0.5">
      <c r="A67" s="59"/>
      <c r="B67" s="76"/>
      <c r="C67" s="77"/>
      <c r="D67" s="77"/>
      <c r="E67" s="79"/>
      <c r="F67" s="76"/>
      <c r="G67" s="77"/>
      <c r="H67" s="77"/>
      <c r="I67" s="78"/>
      <c r="J67" s="76"/>
      <c r="K67" s="77"/>
      <c r="L67" s="77"/>
      <c r="M67" s="78"/>
      <c r="N67" s="76"/>
      <c r="O67" s="77"/>
      <c r="P67" s="77"/>
      <c r="Q67" s="79"/>
      <c r="R67" s="35"/>
    </row>
    <row r="68" spans="1:18" ht="33.75" x14ac:dyDescent="0.5">
      <c r="A68" s="59"/>
      <c r="B68" s="76"/>
      <c r="C68" s="77"/>
      <c r="D68" s="77"/>
      <c r="E68" s="79"/>
      <c r="F68" s="76"/>
      <c r="G68" s="77"/>
      <c r="H68" s="77"/>
      <c r="I68" s="78"/>
      <c r="J68" s="76"/>
      <c r="K68" s="77"/>
      <c r="L68" s="77"/>
      <c r="M68" s="78"/>
      <c r="N68" s="76"/>
      <c r="O68" s="77"/>
      <c r="P68" s="77"/>
      <c r="Q68" s="79"/>
      <c r="R68" s="35"/>
    </row>
    <row r="69" spans="1:18" ht="33.75" x14ac:dyDescent="0.5">
      <c r="A69" s="59"/>
      <c r="B69" s="76"/>
      <c r="C69" s="77"/>
      <c r="D69" s="77"/>
      <c r="E69" s="79"/>
      <c r="F69" s="76"/>
      <c r="G69" s="77"/>
      <c r="H69" s="77"/>
      <c r="I69" s="78"/>
      <c r="J69" s="76"/>
      <c r="K69" s="77"/>
      <c r="L69" s="77"/>
      <c r="M69" s="78"/>
      <c r="N69" s="76"/>
      <c r="O69" s="77"/>
      <c r="P69" s="77"/>
      <c r="Q69" s="79"/>
      <c r="R69" s="35"/>
    </row>
    <row r="70" spans="1:18" ht="33.75" x14ac:dyDescent="0.5">
      <c r="A70" s="59"/>
      <c r="B70" s="76"/>
      <c r="C70" s="77"/>
      <c r="D70" s="77"/>
      <c r="E70" s="79"/>
      <c r="F70" s="76"/>
      <c r="G70" s="77"/>
      <c r="H70" s="77"/>
      <c r="I70" s="78"/>
      <c r="J70" s="76"/>
      <c r="K70" s="77"/>
      <c r="L70" s="77"/>
      <c r="M70" s="78"/>
      <c r="N70" s="76"/>
      <c r="O70" s="77"/>
      <c r="P70" s="77"/>
      <c r="Q70" s="79"/>
      <c r="R70" s="35"/>
    </row>
    <row r="71" spans="1:18" ht="33.75" x14ac:dyDescent="0.5">
      <c r="A71" s="59"/>
      <c r="B71" s="76"/>
      <c r="C71" s="77"/>
      <c r="D71" s="77"/>
      <c r="E71" s="79"/>
      <c r="F71" s="76"/>
      <c r="G71" s="77"/>
      <c r="H71" s="77"/>
      <c r="I71" s="78"/>
      <c r="J71" s="76"/>
      <c r="K71" s="77"/>
      <c r="L71" s="77"/>
      <c r="M71" s="78"/>
      <c r="N71" s="76"/>
      <c r="O71" s="77"/>
      <c r="P71" s="77"/>
      <c r="Q71" s="79"/>
      <c r="R71" s="35"/>
    </row>
    <row r="72" spans="1:18" ht="33.75" x14ac:dyDescent="0.5">
      <c r="A72" s="59"/>
      <c r="B72" s="76"/>
      <c r="C72" s="77"/>
      <c r="D72" s="77"/>
      <c r="E72" s="79"/>
      <c r="F72" s="76"/>
      <c r="G72" s="77"/>
      <c r="H72" s="77"/>
      <c r="I72" s="78"/>
      <c r="J72" s="76"/>
      <c r="K72" s="77"/>
      <c r="L72" s="77"/>
      <c r="M72" s="78"/>
      <c r="N72" s="76"/>
      <c r="O72" s="77"/>
      <c r="P72" s="77"/>
      <c r="Q72" s="79"/>
      <c r="R72" s="35"/>
    </row>
    <row r="73" spans="1:18" ht="33.75" x14ac:dyDescent="0.5">
      <c r="A73" s="59"/>
      <c r="B73" s="76"/>
      <c r="C73" s="77"/>
      <c r="D73" s="77"/>
      <c r="E73" s="79"/>
      <c r="F73" s="76"/>
      <c r="G73" s="77"/>
      <c r="H73" s="77"/>
      <c r="I73" s="78"/>
      <c r="J73" s="76"/>
      <c r="K73" s="77"/>
      <c r="L73" s="77"/>
      <c r="M73" s="78"/>
      <c r="N73" s="76"/>
      <c r="O73" s="77"/>
      <c r="P73" s="77"/>
      <c r="Q73" s="79"/>
      <c r="R73" s="35"/>
    </row>
    <row r="74" spans="1:18" ht="33.75" x14ac:dyDescent="0.5">
      <c r="A74" s="59"/>
      <c r="B74" s="76"/>
      <c r="C74" s="77"/>
      <c r="D74" s="77"/>
      <c r="E74" s="79"/>
      <c r="F74" s="76"/>
      <c r="G74" s="77"/>
      <c r="H74" s="77"/>
      <c r="I74" s="78"/>
      <c r="J74" s="76"/>
      <c r="K74" s="77"/>
      <c r="L74" s="77"/>
      <c r="M74" s="78"/>
      <c r="N74" s="76"/>
      <c r="O74" s="77"/>
      <c r="P74" s="77"/>
      <c r="Q74" s="79"/>
      <c r="R74" s="35"/>
    </row>
    <row r="75" spans="1:18" ht="33.75" x14ac:dyDescent="0.5">
      <c r="A75" s="59"/>
      <c r="B75" s="76"/>
      <c r="C75" s="77"/>
      <c r="D75" s="77"/>
      <c r="E75" s="79"/>
      <c r="F75" s="76"/>
      <c r="G75" s="77"/>
      <c r="H75" s="77"/>
      <c r="I75" s="78"/>
      <c r="J75" s="76"/>
      <c r="K75" s="77"/>
      <c r="L75" s="77"/>
      <c r="M75" s="78"/>
      <c r="N75" s="76"/>
      <c r="O75" s="77"/>
      <c r="P75" s="77"/>
      <c r="Q75" s="79"/>
      <c r="R75" s="35"/>
    </row>
    <row r="76" spans="1:18" ht="33.75" x14ac:dyDescent="0.5">
      <c r="A76" s="59"/>
      <c r="B76" s="76"/>
      <c r="C76" s="77"/>
      <c r="D76" s="77"/>
      <c r="E76" s="79"/>
      <c r="F76" s="76"/>
      <c r="G76" s="77"/>
      <c r="H76" s="77"/>
      <c r="I76" s="78"/>
      <c r="J76" s="76"/>
      <c r="K76" s="77"/>
      <c r="L76" s="77"/>
      <c r="M76" s="78"/>
      <c r="N76" s="76"/>
      <c r="O76" s="77"/>
      <c r="P76" s="77"/>
      <c r="Q76" s="79"/>
      <c r="R76" s="35"/>
    </row>
    <row r="77" spans="1:18" ht="33.75" x14ac:dyDescent="0.5">
      <c r="A77" s="59"/>
      <c r="B77" s="76"/>
      <c r="C77" s="77"/>
      <c r="D77" s="77"/>
      <c r="E77" s="79"/>
      <c r="F77" s="76"/>
      <c r="G77" s="77"/>
      <c r="H77" s="77"/>
      <c r="I77" s="78"/>
      <c r="J77" s="76"/>
      <c r="K77" s="77"/>
      <c r="L77" s="77"/>
      <c r="M77" s="78"/>
      <c r="N77" s="76"/>
      <c r="O77" s="77"/>
      <c r="P77" s="77"/>
      <c r="Q77" s="79"/>
      <c r="R77" s="35"/>
    </row>
    <row r="78" spans="1:18" ht="33.75" x14ac:dyDescent="0.5">
      <c r="A78" s="59"/>
      <c r="B78" s="76"/>
      <c r="C78" s="77"/>
      <c r="D78" s="77"/>
      <c r="E78" s="79"/>
      <c r="F78" s="76"/>
      <c r="G78" s="77"/>
      <c r="H78" s="77"/>
      <c r="I78" s="78"/>
      <c r="J78" s="76"/>
      <c r="K78" s="77"/>
      <c r="L78" s="77"/>
      <c r="M78" s="78"/>
      <c r="N78" s="76"/>
      <c r="O78" s="77"/>
      <c r="P78" s="77"/>
      <c r="Q78" s="79"/>
      <c r="R78" s="35"/>
    </row>
    <row r="79" spans="1:18" ht="33.75" x14ac:dyDescent="0.5">
      <c r="A79" s="59"/>
      <c r="B79" s="76"/>
      <c r="C79" s="77"/>
      <c r="D79" s="77"/>
      <c r="E79" s="79"/>
      <c r="F79" s="76"/>
      <c r="G79" s="77"/>
      <c r="H79" s="77"/>
      <c r="I79" s="78"/>
      <c r="J79" s="76"/>
      <c r="K79" s="77"/>
      <c r="L79" s="77"/>
      <c r="M79" s="78"/>
      <c r="N79" s="76"/>
      <c r="O79" s="77"/>
      <c r="P79" s="77"/>
      <c r="Q79" s="79"/>
      <c r="R79" s="35"/>
    </row>
    <row r="80" spans="1:18" ht="33.75" x14ac:dyDescent="0.5">
      <c r="A80" s="59"/>
      <c r="B80" s="76"/>
      <c r="C80" s="77"/>
      <c r="D80" s="77"/>
      <c r="E80" s="79"/>
      <c r="F80" s="76"/>
      <c r="G80" s="77"/>
      <c r="H80" s="77"/>
      <c r="I80" s="78"/>
      <c r="J80" s="76"/>
      <c r="K80" s="77"/>
      <c r="L80" s="77"/>
      <c r="M80" s="78"/>
      <c r="N80" s="76"/>
      <c r="O80" s="77"/>
      <c r="P80" s="77"/>
      <c r="Q80" s="79"/>
      <c r="R80" s="35"/>
    </row>
    <row r="81" spans="1:18" ht="33.75" x14ac:dyDescent="0.5">
      <c r="A81" s="59"/>
      <c r="B81" s="76"/>
      <c r="C81" s="77"/>
      <c r="D81" s="77"/>
      <c r="E81" s="79"/>
      <c r="F81" s="76"/>
      <c r="G81" s="77"/>
      <c r="H81" s="77"/>
      <c r="I81" s="78"/>
      <c r="J81" s="76"/>
      <c r="K81" s="77"/>
      <c r="L81" s="77"/>
      <c r="M81" s="78"/>
      <c r="N81" s="76"/>
      <c r="O81" s="77"/>
      <c r="P81" s="77"/>
      <c r="Q81" s="79"/>
      <c r="R81" s="35"/>
    </row>
    <row r="82" spans="1:18" ht="33.75" x14ac:dyDescent="0.5">
      <c r="A82" s="59"/>
      <c r="B82" s="76"/>
      <c r="C82" s="77"/>
      <c r="D82" s="77"/>
      <c r="E82" s="79"/>
      <c r="F82" s="76"/>
      <c r="G82" s="77"/>
      <c r="H82" s="77"/>
      <c r="I82" s="78"/>
      <c r="J82" s="76"/>
      <c r="K82" s="77"/>
      <c r="L82" s="77"/>
      <c r="M82" s="78"/>
      <c r="N82" s="76"/>
      <c r="O82" s="77"/>
      <c r="P82" s="77"/>
      <c r="Q82" s="79"/>
      <c r="R82" s="35"/>
    </row>
    <row r="83" spans="1:18" ht="33.75" x14ac:dyDescent="0.5">
      <c r="A83" s="59"/>
      <c r="B83" s="76"/>
      <c r="C83" s="77"/>
      <c r="D83" s="77"/>
      <c r="E83" s="79"/>
      <c r="F83" s="76"/>
      <c r="G83" s="77"/>
      <c r="H83" s="77"/>
      <c r="I83" s="78"/>
      <c r="J83" s="76"/>
      <c r="K83" s="77"/>
      <c r="L83" s="77"/>
      <c r="M83" s="78"/>
      <c r="N83" s="76"/>
      <c r="O83" s="77"/>
      <c r="P83" s="77"/>
      <c r="Q83" s="79"/>
      <c r="R83" s="35"/>
    </row>
    <row r="84" spans="1:18" ht="33.75" x14ac:dyDescent="0.5">
      <c r="A84" s="59"/>
      <c r="B84" s="76"/>
      <c r="C84" s="77"/>
      <c r="D84" s="77"/>
      <c r="E84" s="79"/>
      <c r="F84" s="76"/>
      <c r="G84" s="77"/>
      <c r="H84" s="77"/>
      <c r="I84" s="78"/>
      <c r="J84" s="76"/>
      <c r="K84" s="77"/>
      <c r="L84" s="77"/>
      <c r="M84" s="78"/>
      <c r="N84" s="76"/>
      <c r="O84" s="77"/>
      <c r="P84" s="77"/>
      <c r="Q84" s="79"/>
      <c r="R84" s="35"/>
    </row>
    <row r="85" spans="1:18" ht="33.75" x14ac:dyDescent="0.5">
      <c r="A85" s="59"/>
      <c r="B85" s="76"/>
      <c r="C85" s="77"/>
      <c r="D85" s="77"/>
      <c r="E85" s="79"/>
      <c r="F85" s="76"/>
      <c r="G85" s="77"/>
      <c r="H85" s="77"/>
      <c r="I85" s="78"/>
      <c r="J85" s="76"/>
      <c r="K85" s="77"/>
      <c r="L85" s="77"/>
      <c r="M85" s="78"/>
      <c r="N85" s="76"/>
      <c r="O85" s="77"/>
      <c r="P85" s="77"/>
      <c r="Q85" s="79"/>
      <c r="R85" s="35"/>
    </row>
    <row r="86" spans="1:18" ht="33.75" x14ac:dyDescent="0.5">
      <c r="A86" s="59"/>
      <c r="B86" s="76"/>
      <c r="C86" s="77"/>
      <c r="D86" s="77"/>
      <c r="E86" s="79"/>
      <c r="F86" s="76"/>
      <c r="G86" s="77"/>
      <c r="H86" s="77"/>
      <c r="I86" s="78"/>
      <c r="J86" s="76"/>
      <c r="K86" s="77"/>
      <c r="L86" s="77"/>
      <c r="M86" s="78"/>
      <c r="N86" s="76"/>
      <c r="O86" s="77"/>
      <c r="P86" s="77"/>
      <c r="Q86" s="79"/>
      <c r="R86" s="35"/>
    </row>
    <row r="87" spans="1:18" ht="33.75" x14ac:dyDescent="0.5">
      <c r="A87" s="59"/>
      <c r="B87" s="76"/>
      <c r="C87" s="77"/>
      <c r="D87" s="77"/>
      <c r="E87" s="79"/>
      <c r="F87" s="76"/>
      <c r="G87" s="77"/>
      <c r="H87" s="77"/>
      <c r="I87" s="78"/>
      <c r="J87" s="76"/>
      <c r="K87" s="77"/>
      <c r="L87" s="77"/>
      <c r="M87" s="78"/>
      <c r="N87" s="76"/>
      <c r="O87" s="77"/>
      <c r="P87" s="77"/>
      <c r="Q87" s="79"/>
      <c r="R87" s="35"/>
    </row>
    <row r="88" spans="1:18" ht="33.75" x14ac:dyDescent="0.5">
      <c r="A88" s="59"/>
      <c r="B88" s="76"/>
      <c r="C88" s="77"/>
      <c r="D88" s="77"/>
      <c r="E88" s="79"/>
      <c r="F88" s="76"/>
      <c r="G88" s="77"/>
      <c r="H88" s="77"/>
      <c r="I88" s="78"/>
      <c r="J88" s="76"/>
      <c r="K88" s="77"/>
      <c r="L88" s="77"/>
      <c r="M88" s="78"/>
      <c r="N88" s="76"/>
      <c r="O88" s="77"/>
      <c r="P88" s="77"/>
      <c r="Q88" s="79"/>
      <c r="R88" s="35"/>
    </row>
    <row r="89" spans="1:18" ht="33.75" x14ac:dyDescent="0.5">
      <c r="A89" s="59"/>
      <c r="B89" s="76"/>
      <c r="C89" s="77"/>
      <c r="D89" s="77"/>
      <c r="E89" s="79"/>
      <c r="F89" s="76"/>
      <c r="G89" s="77"/>
      <c r="H89" s="77"/>
      <c r="I89" s="78"/>
      <c r="J89" s="76"/>
      <c r="K89" s="77"/>
      <c r="L89" s="77"/>
      <c r="M89" s="78"/>
      <c r="N89" s="76"/>
      <c r="O89" s="77"/>
      <c r="P89" s="77"/>
      <c r="Q89" s="79"/>
      <c r="R89" s="35"/>
    </row>
    <row r="90" spans="1:18" ht="33.75" x14ac:dyDescent="0.5">
      <c r="A90" s="59"/>
      <c r="B90" s="76"/>
      <c r="C90" s="77"/>
      <c r="D90" s="77"/>
      <c r="E90" s="79"/>
      <c r="F90" s="76"/>
      <c r="G90" s="77"/>
      <c r="H90" s="77"/>
      <c r="I90" s="78"/>
      <c r="J90" s="76"/>
      <c r="K90" s="77"/>
      <c r="L90" s="77"/>
      <c r="M90" s="78"/>
      <c r="N90" s="76"/>
      <c r="O90" s="77"/>
      <c r="P90" s="77"/>
      <c r="Q90" s="79"/>
      <c r="R90" s="35"/>
    </row>
    <row r="91" spans="1:18" ht="33.75" x14ac:dyDescent="0.5">
      <c r="A91" s="59"/>
      <c r="B91" s="76"/>
      <c r="C91" s="77"/>
      <c r="D91" s="77"/>
      <c r="E91" s="79"/>
      <c r="F91" s="76"/>
      <c r="G91" s="77"/>
      <c r="H91" s="77"/>
      <c r="I91" s="78"/>
      <c r="J91" s="76"/>
      <c r="K91" s="77"/>
      <c r="L91" s="77"/>
      <c r="M91" s="78"/>
      <c r="N91" s="76"/>
      <c r="O91" s="77"/>
      <c r="P91" s="77"/>
      <c r="Q91" s="79"/>
      <c r="R91" s="35"/>
    </row>
    <row r="92" spans="1:18" ht="33.75" x14ac:dyDescent="0.5">
      <c r="A92" s="59"/>
      <c r="B92" s="76"/>
      <c r="C92" s="77"/>
      <c r="D92" s="77"/>
      <c r="E92" s="79"/>
      <c r="F92" s="76"/>
      <c r="G92" s="77"/>
      <c r="H92" s="77"/>
      <c r="I92" s="78"/>
      <c r="J92" s="76"/>
      <c r="K92" s="77"/>
      <c r="L92" s="77"/>
      <c r="M92" s="78"/>
      <c r="N92" s="76"/>
      <c r="O92" s="77"/>
      <c r="P92" s="77"/>
      <c r="Q92" s="79"/>
      <c r="R92" s="35"/>
    </row>
    <row r="93" spans="1:18" ht="33.75" x14ac:dyDescent="0.5">
      <c r="A93" s="59"/>
      <c r="B93" s="76"/>
      <c r="C93" s="77"/>
      <c r="D93" s="77"/>
      <c r="E93" s="79"/>
      <c r="F93" s="76"/>
      <c r="G93" s="77"/>
      <c r="H93" s="77"/>
      <c r="I93" s="78"/>
      <c r="J93" s="76"/>
      <c r="K93" s="77"/>
      <c r="L93" s="77"/>
      <c r="M93" s="78"/>
      <c r="N93" s="76"/>
      <c r="O93" s="77"/>
      <c r="P93" s="77"/>
      <c r="Q93" s="79"/>
      <c r="R93" s="35"/>
    </row>
    <row r="94" spans="1:18" ht="33.75" x14ac:dyDescent="0.5">
      <c r="A94" s="59"/>
      <c r="B94" s="76"/>
      <c r="C94" s="77"/>
      <c r="D94" s="77"/>
      <c r="E94" s="79"/>
      <c r="F94" s="76"/>
      <c r="G94" s="77"/>
      <c r="H94" s="77"/>
      <c r="I94" s="78"/>
      <c r="J94" s="76"/>
      <c r="K94" s="77"/>
      <c r="L94" s="77"/>
      <c r="M94" s="78"/>
      <c r="N94" s="76"/>
      <c r="O94" s="77"/>
      <c r="P94" s="77"/>
      <c r="Q94" s="79"/>
      <c r="R94" s="35"/>
    </row>
    <row r="95" spans="1:18" ht="33.75" x14ac:dyDescent="0.5">
      <c r="A95" s="59"/>
      <c r="B95" s="76"/>
      <c r="C95" s="77"/>
      <c r="D95" s="77"/>
      <c r="E95" s="79"/>
      <c r="F95" s="76"/>
      <c r="G95" s="77"/>
      <c r="H95" s="77"/>
      <c r="I95" s="78"/>
      <c r="J95" s="76"/>
      <c r="K95" s="77"/>
      <c r="L95" s="77"/>
      <c r="M95" s="78"/>
      <c r="N95" s="76"/>
      <c r="O95" s="77"/>
      <c r="P95" s="77"/>
      <c r="Q95" s="79"/>
      <c r="R95" s="35"/>
    </row>
    <row r="96" spans="1:18" ht="33.75" x14ac:dyDescent="0.5">
      <c r="A96" s="59"/>
      <c r="B96" s="76"/>
      <c r="C96" s="77"/>
      <c r="D96" s="77"/>
      <c r="E96" s="79"/>
      <c r="F96" s="76"/>
      <c r="G96" s="77"/>
      <c r="H96" s="77"/>
      <c r="I96" s="78"/>
      <c r="J96" s="76"/>
      <c r="K96" s="77"/>
      <c r="L96" s="77"/>
      <c r="M96" s="78"/>
      <c r="N96" s="76"/>
      <c r="O96" s="77"/>
      <c r="P96" s="77"/>
      <c r="Q96" s="79"/>
      <c r="R96" s="35"/>
    </row>
    <row r="97" spans="1:18" ht="33.75" x14ac:dyDescent="0.5">
      <c r="A97" s="59"/>
      <c r="B97" s="76"/>
      <c r="C97" s="77"/>
      <c r="D97" s="77"/>
      <c r="E97" s="79"/>
      <c r="F97" s="76"/>
      <c r="G97" s="77"/>
      <c r="H97" s="77"/>
      <c r="I97" s="78"/>
      <c r="J97" s="76"/>
      <c r="K97" s="77"/>
      <c r="L97" s="77"/>
      <c r="M97" s="78"/>
      <c r="N97" s="76"/>
      <c r="O97" s="77"/>
      <c r="P97" s="77"/>
      <c r="Q97" s="79"/>
      <c r="R97" s="35"/>
    </row>
    <row r="98" spans="1:18" ht="33.75" x14ac:dyDescent="0.5">
      <c r="A98" s="59"/>
      <c r="B98" s="76"/>
      <c r="C98" s="77"/>
      <c r="D98" s="77"/>
      <c r="E98" s="79"/>
      <c r="F98" s="76"/>
      <c r="G98" s="77"/>
      <c r="H98" s="77"/>
      <c r="I98" s="78"/>
      <c r="J98" s="76"/>
      <c r="K98" s="77"/>
      <c r="L98" s="77"/>
      <c r="M98" s="78"/>
      <c r="N98" s="76"/>
      <c r="O98" s="77"/>
      <c r="P98" s="77"/>
      <c r="Q98" s="79"/>
      <c r="R98" s="35"/>
    </row>
    <row r="99" spans="1:18" ht="33.75" x14ac:dyDescent="0.5">
      <c r="A99" s="59"/>
      <c r="B99" s="76"/>
      <c r="C99" s="77"/>
      <c r="D99" s="77"/>
      <c r="E99" s="79"/>
      <c r="F99" s="76"/>
      <c r="G99" s="77"/>
      <c r="H99" s="77"/>
      <c r="I99" s="78"/>
      <c r="J99" s="76"/>
      <c r="K99" s="77"/>
      <c r="L99" s="77"/>
      <c r="M99" s="78"/>
      <c r="N99" s="76"/>
      <c r="O99" s="77"/>
      <c r="P99" s="77"/>
      <c r="Q99" s="79"/>
      <c r="R99" s="35"/>
    </row>
    <row r="100" spans="1:18" ht="28.5" hidden="1" x14ac:dyDescent="0.45">
      <c r="A100" s="59" t="e">
        <f>(D100/Grapic!$J$14)*E100</f>
        <v>#VALUE!</v>
      </c>
      <c r="B100" s="80" t="str">
        <f>IF(TUDO!B100="","",PROPER(TUDO!B100))</f>
        <v/>
      </c>
      <c r="C100" s="81" t="str">
        <f>IF(TUDO!D100="","",TUDO!D100)</f>
        <v/>
      </c>
      <c r="D100" s="81" t="str">
        <f>IF(TUDO!E100="","",TUDO!E100)</f>
        <v/>
      </c>
      <c r="E100" s="80">
        <f>IF(TUDO!F100="","",TUDO!F100)</f>
        <v>362.18</v>
      </c>
      <c r="F100" s="80" t="str">
        <f>IF(TUDO!H100="","",TUDO!H100)</f>
        <v/>
      </c>
      <c r="G100" s="81" t="str">
        <f>IF(TUDO!I100="","",TUDO!I100)</f>
        <v/>
      </c>
      <c r="H100" s="81" t="str">
        <f>IF(TUDO!J100="","",TUDO!J100)</f>
        <v/>
      </c>
      <c r="I100" s="82" t="str">
        <f>IF(TUDO!I100="","",TUDO!K100)</f>
        <v/>
      </c>
      <c r="J100" s="80" t="str">
        <f>IF(TUDO!M100="","",TUDO!M100)</f>
        <v/>
      </c>
      <c r="K100" s="81" t="str">
        <f>IF(TUDO!N100="","",TUDO!N100)</f>
        <v/>
      </c>
      <c r="L100" s="81" t="str">
        <f>IF(TUDO!O100="","",TUDO!O100)</f>
        <v/>
      </c>
      <c r="N100" s="80" t="str">
        <f>IF(TUDO!Q100="","",TUDO!Q100)</f>
        <v/>
      </c>
      <c r="O100" s="81" t="str">
        <f>IF(TUDO!S100="","",TUDO!S100)</f>
        <v/>
      </c>
      <c r="P100" s="81" t="str">
        <f>IF(TUDO!T100="","",TUDO!T100)</f>
        <v/>
      </c>
      <c r="Q100" s="83" t="str">
        <f>IF(TUDO!U100="","",TUDO!U100)</f>
        <v/>
      </c>
    </row>
    <row r="101" spans="1:18" ht="15" hidden="1" x14ac:dyDescent="0.25"/>
    <row r="102" spans="1:18" ht="15" hidden="1" x14ac:dyDescent="0.25"/>
    <row r="103" spans="1:18" ht="15" hidden="1" x14ac:dyDescent="0.25"/>
    <row r="104" spans="1:18" ht="15" hidden="1" x14ac:dyDescent="0.25"/>
    <row r="105" spans="1:18" ht="15" hidden="1" x14ac:dyDescent="0.25"/>
  </sheetData>
  <mergeCells count="5">
    <mergeCell ref="I11:L11"/>
    <mergeCell ref="B12:E12"/>
    <mergeCell ref="F12:I12"/>
    <mergeCell ref="J12:M12"/>
    <mergeCell ref="N12:Q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117CEB-FC73-4D2D-ADD5-CA2834F61C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Table</vt:lpstr>
      <vt:lpstr>Grapic</vt:lpstr>
      <vt:lpstr>TUDO</vt:lpstr>
      <vt:lpstr>teste</vt:lpstr>
      <vt:lpstr>Din em caixa</vt:lpstr>
      <vt:lpstr>Fundos</vt:lpstr>
      <vt:lpstr>Crypt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Henriques</dc:creator>
  <cp:lastModifiedBy>Fernando Henriques</cp:lastModifiedBy>
  <dcterms:created xsi:type="dcterms:W3CDTF">2020-05-06T16:03:58Z</dcterms:created>
  <dcterms:modified xsi:type="dcterms:W3CDTF">2021-02-08T03:02:51Z</dcterms:modified>
</cp:coreProperties>
</file>