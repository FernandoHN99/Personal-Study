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s Programas\Programas Excel\"/>
    </mc:Choice>
  </mc:AlternateContent>
  <xr:revisionPtr revIDLastSave="0" documentId="13_ncr:1_{EA969E49-0462-4479-8346-37C9AB6A166D}" xr6:coauthVersionLast="47" xr6:coauthVersionMax="47" xr10:uidLastSave="{00000000-0000-0000-0000-000000000000}"/>
  <bookViews>
    <workbookView xWindow="-120" yWindow="-120" windowWidth="20730" windowHeight="11160" xr2:uid="{9E7F7947-6CAA-49E5-AB95-67F4F483D61E}"/>
  </bookViews>
  <sheets>
    <sheet name="Balanceamento de Carteir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2" l="1"/>
  <c r="I15" i="2" s="1"/>
  <c r="I11" i="2"/>
  <c r="I13" i="2" l="1"/>
  <c r="I14" i="2"/>
  <c r="I12" i="2" l="1"/>
</calcChain>
</file>

<file path=xl/sharedStrings.xml><?xml version="1.0" encoding="utf-8"?>
<sst xmlns="http://schemas.openxmlformats.org/spreadsheetml/2006/main" count="11" uniqueCount="11">
  <si>
    <t>Distribuição da Carteira</t>
  </si>
  <si>
    <t>Segmento</t>
  </si>
  <si>
    <t>Montante</t>
  </si>
  <si>
    <t>Porcentagem</t>
  </si>
  <si>
    <t>Ações</t>
  </si>
  <si>
    <t>Tesouro Direto</t>
  </si>
  <si>
    <t>Cryptomoedas</t>
  </si>
  <si>
    <t>Fundos Imobiliários</t>
  </si>
  <si>
    <t>Caixa</t>
  </si>
  <si>
    <t>Total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</si>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</sst>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rgb="FF92D050"/>
      <name val="Calibri"/>
      <family val="2"/>
      <scheme val="minor"/>
    </font>
    <font>
      <b/>
      <i/>
      <sz val="24"/>
      <color rgb="FF00B050"/>
      <name val="Calibri"/>
      <family val="2"/>
      <scheme val="minor"/>
    </font>
    <font>
      <sz val="20"/>
      <color rgb="FF00B05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48"/>
      <color rgb="FF92D05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 style="medium">
        <color rgb="FF00B050"/>
      </right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0" fontId="5" fillId="2" borderId="4" xfId="2" applyNumberFormat="1" applyFont="1" applyFill="1" applyBorder="1" applyAlignment="1" applyProtection="1">
      <alignment horizontal="center" vertical="center"/>
      <protection hidden="1"/>
    </xf>
    <xf numFmtId="0" fontId="5" fillId="2" borderId="3" xfId="2" applyNumberFormat="1" applyFont="1" applyFill="1" applyBorder="1" applyAlignment="1" applyProtection="1">
      <alignment horizontal="center" vertical="center"/>
      <protection hidden="1"/>
    </xf>
    <xf numFmtId="0" fontId="5" fillId="2" borderId="4" xfId="2" applyNumberFormat="1" applyFont="1" applyFill="1" applyBorder="1" applyAlignment="1" applyProtection="1">
      <alignment horizontal="left" vertical="center"/>
      <protection hidden="1"/>
    </xf>
    <xf numFmtId="44" fontId="5" fillId="2" borderId="4" xfId="1" applyFont="1" applyFill="1" applyBorder="1" applyAlignment="1" applyProtection="1">
      <alignment horizontal="center" vertical="center"/>
      <protection hidden="1"/>
    </xf>
    <xf numFmtId="164" fontId="6" fillId="3" borderId="3" xfId="2" applyNumberFormat="1" applyFont="1" applyFill="1" applyBorder="1" applyAlignment="1" applyProtection="1">
      <alignment horizontal="center" vertical="center"/>
      <protection hidden="1"/>
    </xf>
    <xf numFmtId="0" fontId="5" fillId="2" borderId="5" xfId="2" applyNumberFormat="1" applyFont="1" applyFill="1" applyBorder="1" applyAlignment="1" applyProtection="1">
      <alignment horizontal="left" vertical="center"/>
      <protection hidden="1"/>
    </xf>
    <xf numFmtId="164" fontId="7" fillId="4" borderId="6" xfId="2" applyNumberFormat="1" applyFont="1" applyFill="1" applyBorder="1" applyAlignment="1" applyProtection="1">
      <alignment horizontal="center" vertical="center"/>
      <protection hidden="1"/>
    </xf>
    <xf numFmtId="164" fontId="6" fillId="5" borderId="3" xfId="2" applyNumberFormat="1" applyFont="1" applyFill="1" applyBorder="1" applyAlignment="1" applyProtection="1">
      <alignment horizontal="center" vertical="center"/>
      <protection hidden="1"/>
    </xf>
    <xf numFmtId="0" fontId="5" fillId="2" borderId="7" xfId="2" applyNumberFormat="1" applyFont="1" applyFill="1" applyBorder="1" applyAlignment="1" applyProtection="1">
      <alignment horizontal="left" vertical="center"/>
      <protection hidden="1"/>
    </xf>
    <xf numFmtId="164" fontId="6" fillId="6" borderId="8" xfId="2" applyNumberFormat="1" applyFont="1" applyFill="1" applyBorder="1" applyAlignment="1" applyProtection="1">
      <alignment horizontal="center" vertical="center"/>
      <protection hidden="1"/>
    </xf>
    <xf numFmtId="164" fontId="6" fillId="7" borderId="4" xfId="2" applyNumberFormat="1" applyFont="1" applyFill="1" applyBorder="1" applyAlignment="1" applyProtection="1">
      <alignment horizontal="center" vertical="center"/>
      <protection hidden="1"/>
    </xf>
    <xf numFmtId="0" fontId="8" fillId="2" borderId="0" xfId="0" applyFont="1" applyFill="1" applyAlignment="1">
      <alignment horizontal="center" vertic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4" fillId="2" borderId="3" xfId="0" applyFont="1" applyFill="1" applyBorder="1" applyAlignment="1" applyProtection="1">
      <alignment horizontal="center"/>
      <protection hidden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4506271417601949"/>
          <c:w val="1"/>
          <c:h val="0.66142639592143737"/>
        </c:manualLayout>
      </c:layout>
      <c:pie3DChart>
        <c:varyColors val="1"/>
        <c:ser>
          <c:idx val="1"/>
          <c:order val="0"/>
          <c:tx>
            <c:v>Porcentagem</c:v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rgbClr val="00206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A3B-425F-9A73-C3A09C94E11F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A3B-425F-9A73-C3A09C94E11F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A3B-425F-9A73-C3A09C94E11F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A3B-425F-9A73-C3A09C94E11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A3B-425F-9A73-C3A09C94E11F}"/>
              </c:ext>
            </c:extLst>
          </c:dPt>
          <c:dLbls>
            <c:dLbl>
              <c:idx val="1"/>
              <c:layout>
                <c:manualLayout>
                  <c:x val="-5.480965058094877E-2"/>
                  <c:y val="-2.798183443603237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3B-425F-9A73-C3A09C94E11F}"/>
                </c:ext>
              </c:extLst>
            </c:dLbl>
            <c:dLbl>
              <c:idx val="2"/>
              <c:layout>
                <c:manualLayout>
                  <c:x val="-0.17367182385914229"/>
                  <c:y val="-0.1089164380870383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3B-425F-9A73-C3A09C94E11F}"/>
                </c:ext>
              </c:extLst>
            </c:dLbl>
            <c:dLbl>
              <c:idx val="4"/>
              <c:layout>
                <c:manualLayout>
                  <c:x val="0.11649712381388753"/>
                  <c:y val="8.826630139456151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3B-425F-9A73-C3A09C94E11F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'Balanceamento de Carteira'!$G$11:$G$15</c:f>
              <c:strCache>
                <c:ptCount val="5"/>
                <c:pt idx="0">
                  <c:v>Ações</c:v>
                </c:pt>
                <c:pt idx="1">
                  <c:v>Tesouro Direto</c:v>
                </c:pt>
                <c:pt idx="2">
                  <c:v>Cryptomoedas</c:v>
                </c:pt>
                <c:pt idx="3">
                  <c:v>Fundos Imobiliários</c:v>
                </c:pt>
                <c:pt idx="4">
                  <c:v>Caixa</c:v>
                </c:pt>
              </c:strCache>
            </c:strRef>
          </c:cat>
          <c:val>
            <c:numRef>
              <c:f>'Balanceamento de Carteira'!$I$11:$I$15</c:f>
              <c:numCache>
                <c:formatCode>0.0%</c:formatCode>
                <c:ptCount val="5"/>
                <c:pt idx="0">
                  <c:v>2.9651808783183707E-2</c:v>
                </c:pt>
                <c:pt idx="1">
                  <c:v>9.8902394850739359E-2</c:v>
                </c:pt>
                <c:pt idx="2">
                  <c:v>0.22478026359830292</c:v>
                </c:pt>
                <c:pt idx="3">
                  <c:v>0</c:v>
                </c:pt>
                <c:pt idx="4">
                  <c:v>0.64666553276777394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3B-425F-9A73-C3A09C94E11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hyperlink" Target="#Caixa!A1"/><Relationship Id="rId7" Type="http://schemas.openxmlformats.org/officeDocument/2006/relationships/image" Target="../media/image1.png"/><Relationship Id="rId2" Type="http://schemas.openxmlformats.org/officeDocument/2006/relationships/hyperlink" Target="#Acao!A1"/><Relationship Id="rId1" Type="http://schemas.openxmlformats.org/officeDocument/2006/relationships/hyperlink" Target="#Inicio!A1"/><Relationship Id="rId6" Type="http://schemas.openxmlformats.org/officeDocument/2006/relationships/chart" Target="../charts/chart1.xml"/><Relationship Id="rId5" Type="http://schemas.openxmlformats.org/officeDocument/2006/relationships/hyperlink" Target="#Cryptomoedas!A1"/><Relationship Id="rId4" Type="http://schemas.openxmlformats.org/officeDocument/2006/relationships/hyperlink" Target="#'Tesouro Diret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241891</xdr:colOff>
      <xdr:row>0</xdr:row>
      <xdr:rowOff>143100</xdr:rowOff>
    </xdr:from>
    <xdr:to>
      <xdr:col>2</xdr:col>
      <xdr:colOff>910766</xdr:colOff>
      <xdr:row>4</xdr:row>
      <xdr:rowOff>123265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B9BB76-D984-46EE-BDD3-A07680A7F322}"/>
            </a:ext>
          </a:extLst>
        </xdr:cNvPr>
        <xdr:cNvSpPr/>
      </xdr:nvSpPr>
      <xdr:spPr>
        <a:xfrm>
          <a:off x="241891" y="143100"/>
          <a:ext cx="2497675" cy="837415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8</xdr:col>
      <xdr:colOff>41731</xdr:colOff>
      <xdr:row>0</xdr:row>
      <xdr:rowOff>153275</xdr:rowOff>
    </xdr:from>
    <xdr:to>
      <xdr:col>8</xdr:col>
      <xdr:colOff>1278887</xdr:colOff>
      <xdr:row>2</xdr:row>
      <xdr:rowOff>218965</xdr:rowOff>
    </xdr:to>
    <xdr:sp macro="" textlink="">
      <xdr:nvSpPr>
        <xdr:cNvPr id="3" name="Rectangl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A85337-92E3-4959-A787-889908CC8723}"/>
            </a:ext>
          </a:extLst>
        </xdr:cNvPr>
        <xdr:cNvSpPr/>
      </xdr:nvSpPr>
      <xdr:spPr>
        <a:xfrm>
          <a:off x="10500181" y="153275"/>
          <a:ext cx="1237156" cy="446690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Ações</a:t>
          </a:r>
          <a:endParaRPr lang="en-US" sz="2000" b="1" i="0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1086456</xdr:colOff>
      <xdr:row>2</xdr:row>
      <xdr:rowOff>229914</xdr:rowOff>
    </xdr:from>
    <xdr:to>
      <xdr:col>9</xdr:col>
      <xdr:colOff>196297</xdr:colOff>
      <xdr:row>4</xdr:row>
      <xdr:rowOff>229037</xdr:rowOff>
    </xdr:to>
    <xdr:sp macro="" textlink="">
      <xdr:nvSpPr>
        <xdr:cNvPr id="4" name="Rectangl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2456CEA-D86F-46A8-8007-262B063DDDEA}"/>
            </a:ext>
          </a:extLst>
        </xdr:cNvPr>
        <xdr:cNvSpPr/>
      </xdr:nvSpPr>
      <xdr:spPr>
        <a:xfrm>
          <a:off x="9458931" y="610914"/>
          <a:ext cx="2776966" cy="475373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Dinheiro em Caixa</a:t>
          </a:r>
          <a:endParaRPr lang="en-US" sz="2000" b="1" i="0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9</xdr:col>
      <xdr:colOff>370591</xdr:colOff>
      <xdr:row>0</xdr:row>
      <xdr:rowOff>163350</xdr:rowOff>
    </xdr:from>
    <xdr:to>
      <xdr:col>10</xdr:col>
      <xdr:colOff>546641</xdr:colOff>
      <xdr:row>2</xdr:row>
      <xdr:rowOff>140577</xdr:rowOff>
    </xdr:to>
    <xdr:sp macro="" textlink="">
      <xdr:nvSpPr>
        <xdr:cNvPr id="5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E5C8F7-27D9-4D4D-A798-6ECEFC8F79A4}"/>
            </a:ext>
          </a:extLst>
        </xdr:cNvPr>
        <xdr:cNvSpPr/>
      </xdr:nvSpPr>
      <xdr:spPr>
        <a:xfrm>
          <a:off x="12410191" y="163350"/>
          <a:ext cx="1776250" cy="358227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Tesouro Direto</a:t>
          </a:r>
        </a:p>
      </xdr:txBody>
    </xdr:sp>
    <xdr:clientData/>
  </xdr:twoCellAnchor>
  <xdr:twoCellAnchor editAs="absolute">
    <xdr:from>
      <xdr:col>8</xdr:col>
      <xdr:colOff>1579258</xdr:colOff>
      <xdr:row>3</xdr:row>
      <xdr:rowOff>54742</xdr:rowOff>
    </xdr:from>
    <xdr:to>
      <xdr:col>11</xdr:col>
      <xdr:colOff>218197</xdr:colOff>
      <xdr:row>4</xdr:row>
      <xdr:rowOff>163347</xdr:rowOff>
    </xdr:to>
    <xdr:sp macro="" textlink="">
      <xdr:nvSpPr>
        <xdr:cNvPr id="6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06C5E7-C6C8-4F48-B17F-D94ADA56EDB1}"/>
            </a:ext>
          </a:extLst>
        </xdr:cNvPr>
        <xdr:cNvSpPr/>
      </xdr:nvSpPr>
      <xdr:spPr>
        <a:xfrm>
          <a:off x="12037708" y="673867"/>
          <a:ext cx="2429889" cy="346730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Cryptomoedas</a:t>
          </a:r>
        </a:p>
      </xdr:txBody>
    </xdr:sp>
    <xdr:clientData/>
  </xdr:twoCellAnchor>
  <xdr:twoCellAnchor>
    <xdr:from>
      <xdr:col>0</xdr:col>
      <xdr:colOff>481853</xdr:colOff>
      <xdr:row>5</xdr:row>
      <xdr:rowOff>67236</xdr:rowOff>
    </xdr:from>
    <xdr:to>
      <xdr:col>5</xdr:col>
      <xdr:colOff>806824</xdr:colOff>
      <xdr:row>20</xdr:row>
      <xdr:rowOff>582706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0260298-CA77-4C89-A568-7D5117E9B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1512795</xdr:colOff>
      <xdr:row>8</xdr:row>
      <xdr:rowOff>358588</xdr:rowOff>
    </xdr:from>
    <xdr:to>
      <xdr:col>10</xdr:col>
      <xdr:colOff>358588</xdr:colOff>
      <xdr:row>14</xdr:row>
      <xdr:rowOff>134471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A5226AA0-69E4-4408-B603-C29E5151E516}"/>
            </a:ext>
          </a:extLst>
        </xdr:cNvPr>
        <xdr:cNvGrpSpPr/>
      </xdr:nvGrpSpPr>
      <xdr:grpSpPr>
        <a:xfrm>
          <a:off x="11967883" y="2229970"/>
          <a:ext cx="2028264" cy="1927413"/>
          <a:chOff x="11543286" y="2176947"/>
          <a:chExt cx="3556659" cy="1374884"/>
        </a:xfrm>
      </xdr:grpSpPr>
      <xdr:pic macro="[0]!Balancear_Carteira_show">
        <xdr:nvPicPr>
          <xdr:cNvPr id="9" name="Gráfico 8" descr="Pesquisa">
            <a:extLst>
              <a:ext uri="{FF2B5EF4-FFF2-40B4-BE49-F238E27FC236}">
                <a16:creationId xmlns:a16="http://schemas.microsoft.com/office/drawing/2014/main" id="{0A53E98F-63B6-40D7-812C-0BA7656BB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2330" y="2176947"/>
            <a:ext cx="2042545" cy="802954"/>
          </a:xfrm>
          <a:prstGeom prst="rect">
            <a:avLst/>
          </a:prstGeom>
        </xdr:spPr>
      </xdr:pic>
      <xdr:sp macro="[0]!Balancear_Carteira_show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21142D4-CCCB-479C-82F3-78A6DDFC63DF}"/>
              </a:ext>
            </a:extLst>
          </xdr:cNvPr>
          <xdr:cNvSpPr/>
        </xdr:nvSpPr>
        <xdr:spPr>
          <a:xfrm>
            <a:off x="11543286" y="2964856"/>
            <a:ext cx="3556659" cy="58697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900" b="1" i="1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Balancear Carteira</a:t>
            </a:r>
          </a:p>
        </xdr:txBody>
      </xdr:sp>
    </xdr:grpSp>
    <xdr:clientData/>
  </xdr:twoCellAnchor>
  <xdr:twoCellAnchor editAs="absolute">
    <xdr:from>
      <xdr:col>3</xdr:col>
      <xdr:colOff>145676</xdr:colOff>
      <xdr:row>0</xdr:row>
      <xdr:rowOff>156882</xdr:rowOff>
    </xdr:from>
    <xdr:to>
      <xdr:col>6</xdr:col>
      <xdr:colOff>2068838</xdr:colOff>
      <xdr:row>5</xdr:row>
      <xdr:rowOff>101540</xdr:rowOff>
    </xdr:to>
    <xdr:sp macro="" textlink="">
      <xdr:nvSpPr>
        <xdr:cNvPr id="11" name="Rectangle 6">
          <a:extLst>
            <a:ext uri="{FF2B5EF4-FFF2-40B4-BE49-F238E27FC236}">
              <a16:creationId xmlns:a16="http://schemas.microsoft.com/office/drawing/2014/main" id="{39B39FF4-5886-4C09-8793-963D2FB03623}"/>
            </a:ext>
          </a:extLst>
        </xdr:cNvPr>
        <xdr:cNvSpPr/>
      </xdr:nvSpPr>
      <xdr:spPr>
        <a:xfrm>
          <a:off x="2926976" y="156882"/>
          <a:ext cx="5418837" cy="1040033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7204-FE2E-476C-AA63-36AACA1A78A9}">
  <sheetPr codeName="Planilha13"/>
  <dimension ref="B3:I45"/>
  <sheetViews>
    <sheetView tabSelected="1" topLeftCell="A4" zoomScale="85" zoomScaleNormal="85" workbookViewId="0">
      <selection activeCell="H16" sqref="H16"/>
    </sheetView>
  </sheetViews>
  <sheetFormatPr defaultRowHeight="15" x14ac:dyDescent="0.25"/>
  <cols>
    <col min="1" max="1" width="9.42578125" style="2" customWidth="1"/>
    <col min="2" max="2" width="18" style="2" bestFit="1" customWidth="1"/>
    <col min="3" max="3" width="14.28515625" style="2" bestFit="1" customWidth="1"/>
    <col min="4" max="4" width="20.28515625" style="2" bestFit="1" customWidth="1"/>
    <col min="5" max="5" width="12.28515625" style="2" customWidth="1"/>
    <col min="6" max="6" width="19.85546875" style="2" customWidth="1"/>
    <col min="7" max="7" width="31.42578125" style="2" customWidth="1"/>
    <col min="8" max="8" width="31.28515625" style="2" customWidth="1"/>
    <col min="9" max="9" width="23.7109375" style="2" customWidth="1"/>
    <col min="10" max="10" width="24" style="2" customWidth="1"/>
    <col min="11" max="16384" width="9.140625" style="2"/>
  </cols>
  <sheetData>
    <row r="3" spans="2:9" ht="18.75" x14ac:dyDescent="0.3">
      <c r="B3" s="1"/>
      <c r="G3" s="3"/>
      <c r="H3" s="4"/>
      <c r="I3" s="5"/>
    </row>
    <row r="4" spans="2:9" ht="18.75" x14ac:dyDescent="0.3">
      <c r="B4" s="1"/>
      <c r="G4" s="3"/>
      <c r="H4" s="4"/>
      <c r="I4" s="5"/>
    </row>
    <row r="5" spans="2:9" ht="18.75" x14ac:dyDescent="0.3">
      <c r="B5" s="1"/>
      <c r="G5" s="3"/>
      <c r="H5" s="4"/>
      <c r="I5" s="5"/>
    </row>
    <row r="6" spans="2:9" s="7" customFormat="1" ht="18.75" x14ac:dyDescent="0.25">
      <c r="B6" s="6"/>
      <c r="G6" s="8"/>
      <c r="H6" s="9"/>
      <c r="I6" s="10"/>
    </row>
    <row r="7" spans="2:9" ht="15.75" thickBot="1" x14ac:dyDescent="0.3"/>
    <row r="8" spans="2:9" ht="27" thickBot="1" x14ac:dyDescent="0.3">
      <c r="H8" s="14"/>
    </row>
    <row r="9" spans="2:9" ht="32.25" thickBot="1" x14ac:dyDescent="0.55000000000000004">
      <c r="G9" s="23" t="s">
        <v>0</v>
      </c>
      <c r="H9" s="24"/>
      <c r="I9" s="25"/>
    </row>
    <row r="10" spans="2:9" ht="27" thickBot="1" x14ac:dyDescent="0.3">
      <c r="G10" s="11" t="s">
        <v>1</v>
      </c>
      <c r="H10" s="11" t="s">
        <v>2</v>
      </c>
      <c r="I10" s="12" t="s">
        <v>3</v>
      </c>
    </row>
    <row r="11" spans="2:9" ht="27" thickBot="1" x14ac:dyDescent="0.3">
      <c r="G11" s="13" t="s">
        <v>4</v>
      </c>
      <c r="H11" s="14">
        <v>986.32</v>
      </c>
      <c r="I11" s="15">
        <f>H11/$H$16</f>
        <v>2.9651808783183707E-2</v>
      </c>
    </row>
    <row r="12" spans="2:9" ht="27" thickBot="1" x14ac:dyDescent="0.3">
      <c r="G12" s="16" t="s">
        <v>5</v>
      </c>
      <c r="H12" s="14">
        <v>3289.83</v>
      </c>
      <c r="I12" s="17">
        <f>H12/$H$16</f>
        <v>9.8902394850739359E-2</v>
      </c>
    </row>
    <row r="13" spans="2:9" ht="27" thickBot="1" x14ac:dyDescent="0.3">
      <c r="G13" s="13" t="s">
        <v>6</v>
      </c>
      <c r="H13" s="14">
        <v>7476.956000000001</v>
      </c>
      <c r="I13" s="18">
        <f>H13/$H$16</f>
        <v>0.22478026359830292</v>
      </c>
    </row>
    <row r="14" spans="2:9" ht="27" thickBot="1" x14ac:dyDescent="0.3">
      <c r="G14" s="19" t="s">
        <v>7</v>
      </c>
      <c r="H14" s="14">
        <v>0</v>
      </c>
      <c r="I14" s="20">
        <f>H14/$H$16</f>
        <v>0</v>
      </c>
    </row>
    <row r="15" spans="2:9" ht="27" thickBot="1" x14ac:dyDescent="0.3">
      <c r="G15" s="19" t="s">
        <v>8</v>
      </c>
      <c r="H15" s="14">
        <v>21510.2948</v>
      </c>
      <c r="I15" s="21">
        <f>H15/$H$16</f>
        <v>0.64666553276777394</v>
      </c>
    </row>
    <row r="16" spans="2:9" ht="27" thickBot="1" x14ac:dyDescent="0.3">
      <c r="G16" s="13" t="s">
        <v>9</v>
      </c>
      <c r="H16" s="14">
        <f>SUM(H11:H15)</f>
        <v>33263.400800000003</v>
      </c>
      <c r="I16" s="11"/>
    </row>
    <row r="21" spans="7:7" ht="59.25" customHeight="1" x14ac:dyDescent="0.25">
      <c r="G21" s="22"/>
    </row>
    <row r="36" spans="7:8" x14ac:dyDescent="0.25">
      <c r="H36" s="2" t="s">
        <v>10</v>
      </c>
    </row>
    <row r="45" spans="7:8" ht="61.5" x14ac:dyDescent="0.25">
      <c r="G45" s="22"/>
    </row>
  </sheetData>
  <mergeCells count="1">
    <mergeCell ref="G9:I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Balanceamento de Carteira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Henriques</dc:creator>
  <cp:lastModifiedBy>Fernando Henriques</cp:lastModifiedBy>
  <dcterms:created xsi:type="dcterms:W3CDTF">2021-08-09T19:44:38Z</dcterms:created>
  <dcterms:modified xsi:type="dcterms:W3CDTF">2021-08-10T01:59:06Z</dcterms:modified>
</cp:coreProperties>
</file>