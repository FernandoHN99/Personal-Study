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15.xml" ContentType="application/vnd.openxmlformats-officedocument.drawingml.char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hidePivotFieldList="1" defaultThemeVersion="166925"/>
  <mc:AlternateContent xmlns:mc="http://schemas.openxmlformats.org/markup-compatibility/2006">
    <mc:Choice Requires="x15">
      <x15ac:absPath xmlns:x15ac="http://schemas.microsoft.com/office/spreadsheetml/2010/11/ac" url="/Users/fernandohenriques/Dev/01-Maua/000-Personal-Study/Python/project-fill-excel-investments/"/>
    </mc:Choice>
  </mc:AlternateContent>
  <xr:revisionPtr revIDLastSave="0" documentId="13_ncr:1_{9320E8AC-64EA-AB44-9AF4-BC85658A59B7}" xr6:coauthVersionLast="47" xr6:coauthVersionMax="47" xr10:uidLastSave="{00000000-0000-0000-0000-000000000000}"/>
  <bookViews>
    <workbookView xWindow="0" yWindow="600" windowWidth="25600" windowHeight="15400" xr2:uid="{00000000-000D-0000-FFFF-FFFF00000000}"/>
  </bookViews>
  <sheets>
    <sheet name="Investimentos_Main" sheetId="9" r:id="rId1"/>
    <sheet name="Investimentos_Porcent" sheetId="1" r:id="rId2"/>
    <sheet name="Cotacoes" sheetId="3" r:id="rId3"/>
    <sheet name="Graficos" sheetId="2" r:id="rId4"/>
    <sheet name="Tables_Atual_Ideal" sheetId="6" r:id="rId5"/>
    <sheet name="Gastos_Mensais" sheetId="4" r:id="rId6"/>
    <sheet name="Previdencia" sheetId="5" r:id="rId7"/>
  </sheets>
  <definedNames>
    <definedName name="oi">#REF!</definedName>
    <definedName name="Slicer_Classificação">#N/A</definedName>
    <definedName name="Slicer_Data">#N/A</definedName>
    <definedName name="Slicer_Data1">#N/A</definedName>
    <definedName name="Slicer_Data2">#N/A</definedName>
    <definedName name="Slicer_Data3">#N/A</definedName>
    <definedName name="Slicer_Data4">#N/A</definedName>
    <definedName name="Slicer_Instituição">#N/A</definedName>
    <definedName name="Slicer_Subclassificação">#N/A</definedName>
  </definedNames>
  <calcPr calcId="191029"/>
  <pivotCaches>
    <pivotCache cacheId="11" r:id="rId8"/>
    <pivotCache cacheId="2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4" l="1"/>
  <c r="M20" i="4"/>
  <c r="M21" i="4"/>
  <c r="K327" i="9"/>
  <c r="J327" i="9" a="1"/>
  <c r="J327" i="9" s="1"/>
  <c r="I327" i="9"/>
  <c r="H327" i="9" a="1"/>
  <c r="H327" i="9" s="1"/>
  <c r="J326" i="9" a="1"/>
  <c r="J326" i="9" s="1"/>
  <c r="I326" i="9"/>
  <c r="H326" i="9" a="1"/>
  <c r="H326" i="9" s="1"/>
  <c r="K326" i="9" s="1"/>
  <c r="K325" i="9"/>
  <c r="J325" i="9" a="1"/>
  <c r="J325" i="9" s="1"/>
  <c r="I325" i="9"/>
  <c r="H325" i="9" a="1"/>
  <c r="H325" i="9" s="1"/>
  <c r="K324" i="9"/>
  <c r="J324" i="9" a="1"/>
  <c r="J324" i="9" s="1"/>
  <c r="I324" i="9"/>
  <c r="H324" i="9" a="1"/>
  <c r="H324" i="9" s="1"/>
  <c r="K323" i="9"/>
  <c r="J323" i="9" a="1"/>
  <c r="J323" i="9" s="1"/>
  <c r="I323" i="9"/>
  <c r="H323" i="9" a="1"/>
  <c r="H323" i="9" s="1"/>
  <c r="K322" i="9"/>
  <c r="J322" i="9" a="1"/>
  <c r="J322" i="9" s="1"/>
  <c r="I322" i="9"/>
  <c r="H322" i="9" a="1"/>
  <c r="H322" i="9" s="1"/>
  <c r="K321" i="9"/>
  <c r="J321" i="9" a="1"/>
  <c r="J321" i="9" s="1"/>
  <c r="I321" i="9"/>
  <c r="H321" i="9" a="1"/>
  <c r="H321" i="9" s="1"/>
  <c r="J320" i="9" a="1"/>
  <c r="J320" i="9" s="1"/>
  <c r="I320" i="9"/>
  <c r="H320" i="9" a="1"/>
  <c r="H320" i="9" s="1"/>
  <c r="K320" i="9" s="1"/>
  <c r="J319" i="9" a="1"/>
  <c r="J319" i="9" s="1"/>
  <c r="I319" i="9"/>
  <c r="H319" i="9" a="1"/>
  <c r="H319" i="9" s="1"/>
  <c r="K319" i="9" s="1"/>
  <c r="J318" i="9" a="1"/>
  <c r="J318" i="9" s="1"/>
  <c r="I318" i="9"/>
  <c r="H318" i="9" a="1"/>
  <c r="H318" i="9" s="1"/>
  <c r="K318" i="9" s="1"/>
  <c r="J317" i="9" a="1"/>
  <c r="J317" i="9" s="1"/>
  <c r="I317" i="9"/>
  <c r="H317" i="9" a="1"/>
  <c r="H317" i="9" s="1"/>
  <c r="K317" i="9" s="1"/>
  <c r="J316" i="9" a="1"/>
  <c r="J316" i="9" s="1"/>
  <c r="I316" i="9"/>
  <c r="H316" i="9" a="1"/>
  <c r="H316" i="9" s="1"/>
  <c r="K316" i="9" s="1"/>
  <c r="K315" i="9"/>
  <c r="J315" i="9" a="1"/>
  <c r="J315" i="9" s="1"/>
  <c r="I315" i="9"/>
  <c r="H315" i="9" a="1"/>
  <c r="H315" i="9" s="1"/>
  <c r="J314" i="9" a="1"/>
  <c r="J314" i="9" s="1"/>
  <c r="I314" i="9"/>
  <c r="H314" i="9" a="1"/>
  <c r="H314" i="9" s="1"/>
  <c r="K314" i="9" s="1"/>
  <c r="J313" i="9" a="1"/>
  <c r="J313" i="9" s="1"/>
  <c r="I313" i="9"/>
  <c r="H313" i="9" a="1"/>
  <c r="H313" i="9" s="1"/>
  <c r="K313" i="9" s="1"/>
  <c r="J312" i="9" a="1"/>
  <c r="J312" i="9" s="1"/>
  <c r="I312" i="9"/>
  <c r="H312" i="9" a="1"/>
  <c r="H312" i="9" s="1"/>
  <c r="K312" i="9" s="1"/>
  <c r="J311" i="9" a="1"/>
  <c r="J311" i="9" s="1"/>
  <c r="I311" i="9"/>
  <c r="H311" i="9" a="1"/>
  <c r="H311" i="9" s="1"/>
  <c r="K311" i="9" s="1"/>
  <c r="J310" i="9" a="1"/>
  <c r="J310" i="9" s="1"/>
  <c r="I310" i="9"/>
  <c r="H310" i="9" a="1"/>
  <c r="H310" i="9" s="1"/>
  <c r="K310" i="9" s="1"/>
  <c r="J309" i="9" a="1"/>
  <c r="J309" i="9" s="1"/>
  <c r="I309" i="9"/>
  <c r="H309" i="9" a="1"/>
  <c r="H309" i="9" s="1"/>
  <c r="K309" i="9" s="1"/>
  <c r="J308" i="9" a="1"/>
  <c r="J308" i="9" s="1"/>
  <c r="I308" i="9"/>
  <c r="H308" i="9" a="1"/>
  <c r="H308" i="9" s="1"/>
  <c r="K308" i="9" s="1"/>
  <c r="K307" i="9"/>
  <c r="J307" i="9" a="1"/>
  <c r="J307" i="9" s="1"/>
  <c r="I307" i="9"/>
  <c r="H307" i="9" a="1"/>
  <c r="H307" i="9" s="1"/>
  <c r="J306" i="9" a="1"/>
  <c r="J306" i="9" s="1"/>
  <c r="I306" i="9"/>
  <c r="H306" i="9" a="1"/>
  <c r="H306" i="9" s="1"/>
  <c r="K306" i="9" s="1"/>
  <c r="J305" i="9" a="1"/>
  <c r="J305" i="9" s="1"/>
  <c r="I305" i="9"/>
  <c r="H305" i="9" a="1"/>
  <c r="H305" i="9" s="1"/>
  <c r="K305" i="9" s="1"/>
  <c r="J304" i="9" a="1"/>
  <c r="J304" i="9" s="1"/>
  <c r="I304" i="9"/>
  <c r="H304" i="9" a="1"/>
  <c r="H304" i="9" s="1"/>
  <c r="K304" i="9" s="1"/>
  <c r="J303" i="9" a="1"/>
  <c r="J303" i="9" s="1"/>
  <c r="I303" i="9"/>
  <c r="H303" i="9" a="1"/>
  <c r="H303" i="9" s="1"/>
  <c r="K303" i="9" s="1"/>
  <c r="J302" i="9" a="1"/>
  <c r="J302" i="9" s="1"/>
  <c r="I302" i="9"/>
  <c r="H302" i="9" a="1"/>
  <c r="H302" i="9" s="1"/>
  <c r="K302" i="9" s="1"/>
  <c r="J301" i="9" a="1"/>
  <c r="J301" i="9" s="1"/>
  <c r="I301" i="9"/>
  <c r="H301" i="9" a="1"/>
  <c r="H301" i="9" s="1"/>
  <c r="K301" i="9" s="1"/>
  <c r="J300" i="9" a="1"/>
  <c r="J300" i="9" s="1"/>
  <c r="I300" i="9"/>
  <c r="H326" i="1" s="1" a="1"/>
  <c r="H326" i="1" s="1"/>
  <c r="H300" i="9" a="1"/>
  <c r="H300" i="9" s="1"/>
  <c r="K300" i="9" s="1"/>
  <c r="K299" i="9"/>
  <c r="J325" i="1" s="1" a="1"/>
  <c r="J325" i="1" s="1"/>
  <c r="J299" i="9" a="1"/>
  <c r="J299" i="9" s="1"/>
  <c r="I299" i="9"/>
  <c r="H299" i="9" a="1"/>
  <c r="H299" i="9" s="1"/>
  <c r="K298" i="9"/>
  <c r="J298" i="9" a="1"/>
  <c r="J298" i="9" s="1"/>
  <c r="I298" i="9"/>
  <c r="H298" i="9" a="1"/>
  <c r="H298" i="9" s="1"/>
  <c r="K297" i="9"/>
  <c r="J323" i="1" s="1" a="1"/>
  <c r="J323" i="1" s="1"/>
  <c r="J297" i="9" a="1"/>
  <c r="J297" i="9" s="1"/>
  <c r="I297" i="9"/>
  <c r="H297" i="9" a="1"/>
  <c r="H297" i="9" s="1"/>
  <c r="K296" i="9"/>
  <c r="J296" i="9" a="1"/>
  <c r="J296" i="9" s="1"/>
  <c r="I296" i="9"/>
  <c r="H296" i="9" a="1"/>
  <c r="H296" i="9" s="1"/>
  <c r="G296" i="9"/>
  <c r="K295" i="9"/>
  <c r="J295" i="9" a="1"/>
  <c r="J295" i="9" s="1"/>
  <c r="I295" i="9"/>
  <c r="H295" i="9" a="1"/>
  <c r="H295" i="9" s="1"/>
  <c r="G295" i="9"/>
  <c r="K294" i="9"/>
  <c r="J294" i="9" a="1"/>
  <c r="J294" i="9" s="1"/>
  <c r="I294" i="9"/>
  <c r="H294" i="9" a="1"/>
  <c r="H294" i="9" s="1"/>
  <c r="J293" i="9" a="1"/>
  <c r="J293" i="9" s="1"/>
  <c r="I293" i="9"/>
  <c r="H319" i="1" s="1" a="1"/>
  <c r="H319" i="1" s="1"/>
  <c r="H293" i="9" a="1"/>
  <c r="H293" i="9" s="1"/>
  <c r="K293" i="9" s="1"/>
  <c r="J292" i="9" a="1"/>
  <c r="J292" i="9" s="1"/>
  <c r="I292" i="9"/>
  <c r="H292" i="9" a="1"/>
  <c r="H292" i="9" s="1"/>
  <c r="K292" i="9" s="1"/>
  <c r="J291" i="9" a="1"/>
  <c r="J291" i="9" s="1"/>
  <c r="I291" i="9"/>
  <c r="H291" i="9" a="1"/>
  <c r="H291" i="9" s="1"/>
  <c r="K291" i="9" s="1"/>
  <c r="J290" i="9" a="1"/>
  <c r="J290" i="9" s="1"/>
  <c r="I290" i="9"/>
  <c r="H290" i="9" a="1"/>
  <c r="H290" i="9" s="1"/>
  <c r="K290" i="9" s="1"/>
  <c r="J289" i="9" a="1"/>
  <c r="J289" i="9" s="1"/>
  <c r="I289" i="9"/>
  <c r="H289" i="9" a="1"/>
  <c r="H289" i="9" s="1"/>
  <c r="K289" i="9" s="1"/>
  <c r="J288" i="9" a="1"/>
  <c r="J288" i="9" s="1"/>
  <c r="I288" i="9"/>
  <c r="H288" i="9" a="1"/>
  <c r="H288" i="9" s="1"/>
  <c r="K288" i="9" s="1"/>
  <c r="J287" i="9" a="1"/>
  <c r="J287" i="9" s="1"/>
  <c r="I287" i="9"/>
  <c r="H287" i="9" a="1"/>
  <c r="H287" i="9" s="1"/>
  <c r="K287" i="9" s="1"/>
  <c r="J286" i="9" a="1"/>
  <c r="J286" i="9" s="1"/>
  <c r="I286" i="9"/>
  <c r="H286" i="9" a="1"/>
  <c r="H286" i="9" s="1"/>
  <c r="K286" i="9" s="1"/>
  <c r="J285" i="9" a="1"/>
  <c r="J285" i="9" s="1"/>
  <c r="I285" i="9"/>
  <c r="H285" i="9" a="1"/>
  <c r="H285" i="9" s="1"/>
  <c r="K285" i="9" s="1"/>
  <c r="J284" i="9" a="1"/>
  <c r="J284" i="9" s="1"/>
  <c r="I284" i="9"/>
  <c r="H284" i="9" a="1"/>
  <c r="H284" i="9" s="1"/>
  <c r="K284" i="9" s="1"/>
  <c r="K283" i="9"/>
  <c r="J309" i="1" s="1" a="1"/>
  <c r="J309" i="1" s="1"/>
  <c r="J283" i="9" a="1"/>
  <c r="J283" i="9" s="1"/>
  <c r="I283" i="9"/>
  <c r="H283" i="9" a="1"/>
  <c r="H283" i="9" s="1"/>
  <c r="K282" i="9"/>
  <c r="J282" i="9" a="1"/>
  <c r="J282" i="9" s="1"/>
  <c r="I282" i="9"/>
  <c r="H308" i="1" s="1" a="1"/>
  <c r="H308" i="1" s="1"/>
  <c r="H282" i="9" a="1"/>
  <c r="H282" i="9" s="1"/>
  <c r="K281" i="9"/>
  <c r="J307" i="1" s="1" a="1"/>
  <c r="J307" i="1" s="1"/>
  <c r="J281" i="9" a="1"/>
  <c r="J281" i="9" s="1"/>
  <c r="I281" i="9"/>
  <c r="H281" i="9" a="1"/>
  <c r="H281" i="9" s="1"/>
  <c r="J280" i="9" a="1"/>
  <c r="J280" i="9" s="1"/>
  <c r="I280" i="9"/>
  <c r="H280" i="9" a="1"/>
  <c r="H280" i="9" s="1"/>
  <c r="G280" i="9"/>
  <c r="K280" i="9" s="1"/>
  <c r="J279" i="9" a="1"/>
  <c r="J279" i="9" s="1"/>
  <c r="I279" i="9"/>
  <c r="H279" i="9" a="1"/>
  <c r="H279" i="9" s="1"/>
  <c r="G279" i="9"/>
  <c r="K279" i="9" s="1"/>
  <c r="K278" i="9"/>
  <c r="J304" i="1" s="1" a="1"/>
  <c r="J304" i="1" s="1"/>
  <c r="J278" i="9" a="1"/>
  <c r="J278" i="9" s="1"/>
  <c r="I278" i="9"/>
  <c r="H278" i="9" a="1"/>
  <c r="H278" i="9" s="1"/>
  <c r="J277" i="9" a="1"/>
  <c r="J277" i="9" s="1"/>
  <c r="I277" i="9"/>
  <c r="H303" i="1" s="1" a="1"/>
  <c r="H303" i="1" s="1"/>
  <c r="H277" i="9" a="1"/>
  <c r="H277" i="9" s="1"/>
  <c r="K277" i="9" s="1"/>
  <c r="J276" i="9" a="1"/>
  <c r="J276" i="9" s="1"/>
  <c r="I276" i="9"/>
  <c r="H276" i="9" a="1"/>
  <c r="H276" i="9" s="1"/>
  <c r="K276" i="9" s="1"/>
  <c r="J275" i="9" a="1"/>
  <c r="J275" i="9" s="1"/>
  <c r="I275" i="9"/>
  <c r="H301" i="1" s="1" a="1"/>
  <c r="H301" i="1" s="1"/>
  <c r="H275" i="9" a="1"/>
  <c r="H275" i="9" s="1"/>
  <c r="K275" i="9" s="1"/>
  <c r="J274" i="9" a="1"/>
  <c r="J274" i="9" s="1"/>
  <c r="I274" i="9"/>
  <c r="H274" i="9" a="1"/>
  <c r="H274" i="9" s="1"/>
  <c r="K274" i="9" s="1"/>
  <c r="J273" i="9" a="1"/>
  <c r="J273" i="9" s="1"/>
  <c r="I273" i="9"/>
  <c r="H273" i="9" a="1"/>
  <c r="H273" i="9" s="1"/>
  <c r="K273" i="9" s="1"/>
  <c r="J272" i="9" a="1"/>
  <c r="J272" i="9" s="1"/>
  <c r="I272" i="9"/>
  <c r="H272" i="9" a="1"/>
  <c r="H272" i="9" s="1"/>
  <c r="K272" i="9" s="1"/>
  <c r="J271" i="9" a="1"/>
  <c r="J271" i="9" s="1"/>
  <c r="I271" i="9"/>
  <c r="H271" i="9" a="1"/>
  <c r="H271" i="9" s="1"/>
  <c r="K271" i="9" s="1"/>
  <c r="J270" i="9" a="1"/>
  <c r="J270" i="9" s="1"/>
  <c r="I270" i="9"/>
  <c r="H270" i="9" a="1"/>
  <c r="H270" i="9" s="1"/>
  <c r="K270" i="9" s="1"/>
  <c r="J269" i="9" a="1"/>
  <c r="J269" i="9" s="1"/>
  <c r="I269" i="9"/>
  <c r="H269" i="9" a="1"/>
  <c r="H269" i="9" s="1"/>
  <c r="K269" i="9" s="1"/>
  <c r="J268" i="9" a="1"/>
  <c r="J268" i="9" s="1"/>
  <c r="I268" i="9"/>
  <c r="H268" i="9" a="1"/>
  <c r="H268" i="9" s="1"/>
  <c r="K268" i="9" s="1"/>
  <c r="J267" i="9" a="1"/>
  <c r="J267" i="9" s="1"/>
  <c r="I267" i="9"/>
  <c r="H267" i="9" a="1"/>
  <c r="H267" i="9" s="1"/>
  <c r="K267" i="9" s="1"/>
  <c r="K266" i="9"/>
  <c r="J266" i="9" a="1"/>
  <c r="J266" i="9" s="1"/>
  <c r="I266" i="9"/>
  <c r="H266" i="9" a="1"/>
  <c r="H266" i="9" s="1"/>
  <c r="K265" i="9"/>
  <c r="J265" i="9" a="1"/>
  <c r="J265" i="9" s="1"/>
  <c r="I265" i="9"/>
  <c r="H265" i="9" a="1"/>
  <c r="H265" i="9" s="1"/>
  <c r="K264" i="9"/>
  <c r="J264" i="9" a="1"/>
  <c r="J264" i="9" s="1"/>
  <c r="I264" i="9"/>
  <c r="H264" i="9" a="1"/>
  <c r="H264" i="9" s="1"/>
  <c r="J263" i="9" a="1"/>
  <c r="J263" i="9" s="1"/>
  <c r="I263" i="9"/>
  <c r="H263" i="9" a="1"/>
  <c r="H263" i="9" s="1"/>
  <c r="G263" i="9"/>
  <c r="K263" i="9" s="1"/>
  <c r="J262" i="9" a="1"/>
  <c r="J262" i="9" s="1"/>
  <c r="I262" i="9"/>
  <c r="H262" i="9" a="1"/>
  <c r="H262" i="9" s="1"/>
  <c r="G262" i="9"/>
  <c r="K262" i="9" s="1"/>
  <c r="K261" i="9"/>
  <c r="J287" i="1" s="1" a="1"/>
  <c r="J287" i="1" s="1"/>
  <c r="J261" i="9" a="1"/>
  <c r="J261" i="9" s="1"/>
  <c r="I261" i="9"/>
  <c r="H287" i="1" s="1" a="1"/>
  <c r="H287" i="1" s="1"/>
  <c r="H261" i="9" a="1"/>
  <c r="H261" i="9" s="1"/>
  <c r="J260" i="9" a="1"/>
  <c r="J260" i="9" s="1"/>
  <c r="I260" i="9"/>
  <c r="H260" i="9" a="1"/>
  <c r="H260" i="9" s="1"/>
  <c r="K260" i="9" s="1"/>
  <c r="J259" i="9" a="1"/>
  <c r="J259" i="9" s="1"/>
  <c r="I259" i="9"/>
  <c r="H259" i="9" a="1"/>
  <c r="H259" i="9" s="1"/>
  <c r="K259" i="9" s="1"/>
  <c r="J258" i="9" a="1"/>
  <c r="J258" i="9" s="1"/>
  <c r="I258" i="9"/>
  <c r="H284" i="1" s="1" a="1"/>
  <c r="H284" i="1" s="1"/>
  <c r="H258" i="9" a="1"/>
  <c r="H258" i="9" s="1"/>
  <c r="K258" i="9" s="1"/>
  <c r="J257" i="9" a="1"/>
  <c r="J257" i="9" s="1"/>
  <c r="I257" i="9"/>
  <c r="H257" i="9" a="1"/>
  <c r="H257" i="9" s="1"/>
  <c r="K257" i="9" s="1"/>
  <c r="J256" i="9" a="1"/>
  <c r="J256" i="9" s="1"/>
  <c r="I256" i="9"/>
  <c r="H256" i="9" a="1"/>
  <c r="H256" i="9" s="1"/>
  <c r="K256" i="9" s="1"/>
  <c r="J255" i="9" a="1"/>
  <c r="J255" i="9" s="1"/>
  <c r="I255" i="9"/>
  <c r="H255" i="9" a="1"/>
  <c r="H255" i="9" s="1"/>
  <c r="K255" i="9" s="1"/>
  <c r="J254" i="9" a="1"/>
  <c r="J254" i="9" s="1"/>
  <c r="I254" i="9"/>
  <c r="H254" i="9" a="1"/>
  <c r="H254" i="9" s="1"/>
  <c r="K254" i="9" s="1"/>
  <c r="K253" i="9"/>
  <c r="J253" i="9" a="1"/>
  <c r="J253" i="9" s="1"/>
  <c r="I253" i="9"/>
  <c r="H279" i="1" s="1" a="1"/>
  <c r="H279" i="1" s="1"/>
  <c r="H253" i="9" a="1"/>
  <c r="H253" i="9" s="1"/>
  <c r="G253" i="9"/>
  <c r="J252" i="9" a="1"/>
  <c r="J252" i="9" s="1"/>
  <c r="I252" i="9"/>
  <c r="H252" i="9" a="1"/>
  <c r="H252" i="9" s="1"/>
  <c r="K252" i="9" s="1"/>
  <c r="J251" i="9" a="1"/>
  <c r="J251" i="9" s="1"/>
  <c r="I251" i="9"/>
  <c r="H277" i="1" s="1" a="1"/>
  <c r="H277" i="1" s="1"/>
  <c r="H251" i="9" a="1"/>
  <c r="H251" i="9" s="1"/>
  <c r="K251" i="9" s="1"/>
  <c r="J250" i="9" a="1"/>
  <c r="J250" i="9" s="1"/>
  <c r="I250" i="9"/>
  <c r="H250" i="9" a="1"/>
  <c r="H250" i="9" s="1"/>
  <c r="K250" i="9" s="1"/>
  <c r="K249" i="9"/>
  <c r="J275" i="1" s="1" a="1"/>
  <c r="J275" i="1" s="1"/>
  <c r="J249" i="9" a="1"/>
  <c r="J249" i="9" s="1"/>
  <c r="I249" i="9"/>
  <c r="H249" i="9" a="1"/>
  <c r="H249" i="9" s="1"/>
  <c r="K248" i="9"/>
  <c r="J248" i="9" a="1"/>
  <c r="J248" i="9" s="1"/>
  <c r="I248" i="9"/>
  <c r="H248" i="9" a="1"/>
  <c r="H248" i="9" s="1"/>
  <c r="G248" i="9"/>
  <c r="J247" i="9" a="1"/>
  <c r="J247" i="9" s="1"/>
  <c r="I247" i="9"/>
  <c r="H247" i="9" a="1"/>
  <c r="H247" i="9" s="1"/>
  <c r="K247" i="9" s="1"/>
  <c r="J246" i="9" a="1"/>
  <c r="J246" i="9" s="1"/>
  <c r="I246" i="9"/>
  <c r="H246" i="9" a="1"/>
  <c r="H246" i="9" s="1"/>
  <c r="K246" i="9" s="1"/>
  <c r="J245" i="9" a="1"/>
  <c r="J245" i="9" s="1"/>
  <c r="I245" i="9"/>
  <c r="H245" i="9" a="1"/>
  <c r="H245" i="9" s="1"/>
  <c r="K245" i="9" s="1"/>
  <c r="K244" i="9"/>
  <c r="J244" i="9" a="1"/>
  <c r="J244" i="9" s="1"/>
  <c r="I244" i="9"/>
  <c r="H270" i="1" s="1" a="1"/>
  <c r="H270" i="1" s="1"/>
  <c r="H244" i="9" a="1"/>
  <c r="H244" i="9" s="1"/>
  <c r="K243" i="9"/>
  <c r="J243" i="9" a="1"/>
  <c r="J243" i="9" s="1"/>
  <c r="I243" i="9"/>
  <c r="H243" i="9" a="1"/>
  <c r="H243" i="9" s="1"/>
  <c r="J242" i="9" a="1"/>
  <c r="J242" i="9" s="1"/>
  <c r="I242" i="9"/>
  <c r="H268" i="1" s="1" a="1"/>
  <c r="H268" i="1" s="1"/>
  <c r="H242" i="9" a="1"/>
  <c r="H242" i="9" s="1"/>
  <c r="K242" i="9" s="1"/>
  <c r="J241" i="9" a="1"/>
  <c r="J241" i="9" s="1"/>
  <c r="I241" i="9"/>
  <c r="H241" i="9" a="1"/>
  <c r="H241" i="9" s="1"/>
  <c r="K241" i="9" s="1"/>
  <c r="J240" i="9" a="1"/>
  <c r="J240" i="9" s="1"/>
  <c r="I240" i="9"/>
  <c r="H240" i="9" a="1"/>
  <c r="H240" i="9" s="1"/>
  <c r="K240" i="9" s="1"/>
  <c r="J239" i="9" a="1"/>
  <c r="J239" i="9" s="1"/>
  <c r="I239" i="9"/>
  <c r="H239" i="9" a="1"/>
  <c r="H239" i="9" s="1"/>
  <c r="K239" i="9" s="1"/>
  <c r="K238" i="9"/>
  <c r="J238" i="9" a="1"/>
  <c r="J238" i="9" s="1"/>
  <c r="I238" i="9"/>
  <c r="H238" i="9" a="1"/>
  <c r="H238" i="9" s="1"/>
  <c r="G238" i="9"/>
  <c r="J237" i="9" a="1"/>
  <c r="J237" i="9" s="1"/>
  <c r="I237" i="9"/>
  <c r="H237" i="9" a="1"/>
  <c r="H237" i="9" s="1"/>
  <c r="K237" i="9" s="1"/>
  <c r="J236" i="9" a="1"/>
  <c r="J236" i="9" s="1"/>
  <c r="I236" i="9"/>
  <c r="H262" i="1" s="1" a="1"/>
  <c r="H262" i="1" s="1"/>
  <c r="H236" i="9" a="1"/>
  <c r="H236" i="9" s="1"/>
  <c r="K236" i="9" s="1"/>
  <c r="J235" i="9" a="1"/>
  <c r="J235" i="9" s="1"/>
  <c r="I235" i="9"/>
  <c r="H235" i="9" a="1"/>
  <c r="H235" i="9" s="1"/>
  <c r="K235" i="9" s="1"/>
  <c r="K234" i="9"/>
  <c r="J260" i="1" s="1" a="1"/>
  <c r="J260" i="1" s="1"/>
  <c r="J234" i="9" a="1"/>
  <c r="J234" i="9" s="1"/>
  <c r="I234" i="9"/>
  <c r="H234" i="9" a="1"/>
  <c r="H234" i="9" s="1"/>
  <c r="K233" i="9"/>
  <c r="J259" i="1" s="1" a="1"/>
  <c r="J259" i="1" s="1"/>
  <c r="J233" i="9" a="1"/>
  <c r="J233" i="9" s="1"/>
  <c r="I233" i="9"/>
  <c r="H233" i="9" a="1"/>
  <c r="H233" i="9" s="1"/>
  <c r="G233" i="9"/>
  <c r="J232" i="9" a="1"/>
  <c r="J232" i="9" s="1"/>
  <c r="I232" i="9"/>
  <c r="H232" i="9" a="1"/>
  <c r="H232" i="9" s="1"/>
  <c r="K232" i="9" s="1"/>
  <c r="J231" i="9" a="1"/>
  <c r="J231" i="9" s="1"/>
  <c r="I231" i="9"/>
  <c r="H231" i="9" a="1"/>
  <c r="H231" i="9" s="1"/>
  <c r="K231" i="9" s="1"/>
  <c r="J230" i="9" a="1"/>
  <c r="J230" i="9" s="1"/>
  <c r="I230" i="9"/>
  <c r="H230" i="9" a="1"/>
  <c r="H230" i="9" s="1"/>
  <c r="K230" i="9" s="1"/>
  <c r="K229" i="9"/>
  <c r="J229" i="9" a="1"/>
  <c r="J229" i="9" s="1"/>
  <c r="I229" i="9"/>
  <c r="H229" i="9" a="1"/>
  <c r="H229" i="9" s="1"/>
  <c r="K228" i="9"/>
  <c r="J228" i="9" a="1"/>
  <c r="J228" i="9" s="1"/>
  <c r="I228" i="9"/>
  <c r="H254" i="1" s="1" a="1"/>
  <c r="H254" i="1" s="1"/>
  <c r="H228" i="9" a="1"/>
  <c r="H228" i="9" s="1"/>
  <c r="J227" i="9" a="1"/>
  <c r="J227" i="9" s="1"/>
  <c r="I227" i="9"/>
  <c r="H227" i="9" a="1"/>
  <c r="H227" i="9" s="1"/>
  <c r="K227" i="9" s="1"/>
  <c r="J226" i="9" a="1"/>
  <c r="J226" i="9" s="1"/>
  <c r="I226" i="9"/>
  <c r="H252" i="1" s="1" a="1"/>
  <c r="H252" i="1" s="1"/>
  <c r="H226" i="9" a="1"/>
  <c r="H226" i="9" s="1"/>
  <c r="K226" i="9" s="1"/>
  <c r="J225" i="9" a="1"/>
  <c r="J225" i="9" s="1"/>
  <c r="I225" i="9"/>
  <c r="H225" i="9" a="1"/>
  <c r="H225" i="9" s="1"/>
  <c r="K225" i="9" s="1"/>
  <c r="G225" i="9"/>
  <c r="K224" i="9"/>
  <c r="J250" i="1" s="1" a="1"/>
  <c r="J250" i="1" s="1"/>
  <c r="J224" i="9" a="1"/>
  <c r="J224" i="9" s="1"/>
  <c r="I224" i="9"/>
  <c r="H224" i="9" a="1"/>
  <c r="H224" i="9" s="1"/>
  <c r="J223" i="9" a="1"/>
  <c r="J223" i="9" s="1"/>
  <c r="I223" i="9"/>
  <c r="H223" i="9" a="1"/>
  <c r="H223" i="9" s="1"/>
  <c r="G223" i="9"/>
  <c r="K223" i="9" s="1"/>
  <c r="K222" i="9"/>
  <c r="J222" i="9" a="1"/>
  <c r="J222" i="9" s="1"/>
  <c r="I222" i="9"/>
  <c r="H222" i="9" a="1"/>
  <c r="H222" i="9" s="1"/>
  <c r="G222" i="9"/>
  <c r="K221" i="9"/>
  <c r="J247" i="1" s="1" a="1"/>
  <c r="J247" i="1" s="1"/>
  <c r="J221" i="9" a="1"/>
  <c r="J221" i="9" s="1"/>
  <c r="I221" i="9"/>
  <c r="H221" i="9" a="1"/>
  <c r="H221" i="9" s="1"/>
  <c r="K220" i="9"/>
  <c r="J220" i="9" a="1"/>
  <c r="J220" i="9" s="1"/>
  <c r="I220" i="9"/>
  <c r="H246" i="1" s="1" a="1"/>
  <c r="H246" i="1" s="1"/>
  <c r="H220" i="9" a="1"/>
  <c r="H220" i="9" s="1"/>
  <c r="J219" i="9" a="1"/>
  <c r="J219" i="9" s="1"/>
  <c r="I219" i="9"/>
  <c r="H245" i="1" s="1" a="1"/>
  <c r="H245" i="1" s="1"/>
  <c r="H219" i="9" a="1"/>
  <c r="H219" i="9" s="1"/>
  <c r="K219" i="9" s="1"/>
  <c r="J218" i="9" a="1"/>
  <c r="J218" i="9" s="1"/>
  <c r="I218" i="9"/>
  <c r="H218" i="9" a="1"/>
  <c r="H218" i="9" s="1"/>
  <c r="K218" i="9" s="1"/>
  <c r="J217" i="9" a="1"/>
  <c r="J217" i="9" s="1"/>
  <c r="I217" i="9"/>
  <c r="H217" i="9" a="1"/>
  <c r="H217" i="9" s="1"/>
  <c r="K217" i="9" s="1"/>
  <c r="J216" i="9" a="1"/>
  <c r="J216" i="9" s="1"/>
  <c r="I216" i="9"/>
  <c r="H216" i="9" a="1"/>
  <c r="H216" i="9" s="1"/>
  <c r="K216" i="9" s="1"/>
  <c r="J215" i="9" a="1"/>
  <c r="J215" i="9" s="1"/>
  <c r="I215" i="9"/>
  <c r="H215" i="9" a="1"/>
  <c r="H215" i="9" s="1"/>
  <c r="K215" i="9" s="1"/>
  <c r="J214" i="9" a="1"/>
  <c r="J214" i="9" s="1"/>
  <c r="I214" i="9"/>
  <c r="H214" i="9" a="1"/>
  <c r="H214" i="9" s="1"/>
  <c r="K214" i="9" s="1"/>
  <c r="J213" i="9" a="1"/>
  <c r="J213" i="9" s="1"/>
  <c r="I213" i="9"/>
  <c r="H213" i="9" a="1"/>
  <c r="H213" i="9" s="1"/>
  <c r="K213" i="9" s="1"/>
  <c r="J212" i="9" a="1"/>
  <c r="J212" i="9" s="1"/>
  <c r="I212" i="9"/>
  <c r="H238" i="1" s="1" a="1"/>
  <c r="H238" i="1" s="1"/>
  <c r="H212" i="9" a="1"/>
  <c r="H212" i="9" s="1"/>
  <c r="K212" i="9" s="1"/>
  <c r="J211" i="9" a="1"/>
  <c r="J211" i="9" s="1"/>
  <c r="I211" i="9"/>
  <c r="H211" i="9" a="1"/>
  <c r="H211" i="9" s="1"/>
  <c r="K211" i="9" s="1"/>
  <c r="J210" i="9" a="1"/>
  <c r="J210" i="9" s="1"/>
  <c r="I210" i="9"/>
  <c r="H210" i="9" a="1"/>
  <c r="H210" i="9" s="1"/>
  <c r="K210" i="9" s="1"/>
  <c r="K209" i="9"/>
  <c r="J209" i="9" a="1"/>
  <c r="J209" i="9" s="1"/>
  <c r="I209" i="9"/>
  <c r="H209" i="9" a="1"/>
  <c r="H209" i="9" s="1"/>
  <c r="J208" i="9" a="1"/>
  <c r="J208" i="9" s="1"/>
  <c r="I208" i="9"/>
  <c r="H208" i="9" a="1"/>
  <c r="H208" i="9" s="1"/>
  <c r="K208" i="9" s="1"/>
  <c r="K207" i="9"/>
  <c r="J207" i="9" a="1"/>
  <c r="J207" i="9" s="1"/>
  <c r="I207" i="9"/>
  <c r="H207" i="9" a="1"/>
  <c r="H207" i="9" s="1"/>
  <c r="G207" i="9"/>
  <c r="K206" i="9"/>
  <c r="J206" i="9" a="1"/>
  <c r="J206" i="9" s="1"/>
  <c r="I206" i="9"/>
  <c r="H206" i="9" a="1"/>
  <c r="H206" i="9" s="1"/>
  <c r="K205" i="9"/>
  <c r="J231" i="1" s="1" a="1"/>
  <c r="J231" i="1" s="1"/>
  <c r="J205" i="9" a="1"/>
  <c r="J205" i="9" s="1"/>
  <c r="I205" i="9"/>
  <c r="H205" i="9" a="1"/>
  <c r="H205" i="9" s="1"/>
  <c r="J204" i="9" a="1"/>
  <c r="J204" i="9" s="1"/>
  <c r="I204" i="9"/>
  <c r="H204" i="9" a="1"/>
  <c r="H204" i="9" s="1"/>
  <c r="K204" i="9" s="1"/>
  <c r="J203" i="9" a="1"/>
  <c r="J203" i="9" s="1"/>
  <c r="I203" i="9"/>
  <c r="H229" i="1" s="1" a="1"/>
  <c r="H229" i="1" s="1"/>
  <c r="H203" i="9" a="1"/>
  <c r="H203" i="9" s="1"/>
  <c r="K203" i="9" s="1"/>
  <c r="J202" i="9" a="1"/>
  <c r="J202" i="9" s="1"/>
  <c r="I202" i="9"/>
  <c r="H202" i="9" a="1"/>
  <c r="H202" i="9" s="1"/>
  <c r="K202" i="9" s="1"/>
  <c r="J201" i="9" a="1"/>
  <c r="J201" i="9" s="1"/>
  <c r="I201" i="9"/>
  <c r="H201" i="9" a="1"/>
  <c r="H201" i="9" s="1"/>
  <c r="K201" i="9" s="1"/>
  <c r="J200" i="9" a="1"/>
  <c r="J200" i="9" s="1"/>
  <c r="I200" i="9"/>
  <c r="H200" i="9" a="1"/>
  <c r="H200" i="9" s="1"/>
  <c r="K200" i="9" s="1"/>
  <c r="J199" i="9" a="1"/>
  <c r="J199" i="9" s="1"/>
  <c r="I199" i="9"/>
  <c r="H199" i="9" a="1"/>
  <c r="H199" i="9" s="1"/>
  <c r="K199" i="9" s="1"/>
  <c r="J198" i="9" a="1"/>
  <c r="J198" i="9" s="1"/>
  <c r="I198" i="9"/>
  <c r="H198" i="9" a="1"/>
  <c r="H198" i="9" s="1"/>
  <c r="K198" i="9" s="1"/>
  <c r="J197" i="9" a="1"/>
  <c r="J197" i="9" s="1"/>
  <c r="I197" i="9"/>
  <c r="H197" i="9" a="1"/>
  <c r="H197" i="9" s="1"/>
  <c r="K197" i="9" s="1"/>
  <c r="G197" i="9"/>
  <c r="K196" i="9"/>
  <c r="J222" i="1" s="1" a="1"/>
  <c r="J222" i="1" s="1"/>
  <c r="J196" i="9" a="1"/>
  <c r="J196" i="9" s="1"/>
  <c r="I196" i="9"/>
  <c r="H222" i="1" s="1" a="1"/>
  <c r="H222" i="1" s="1"/>
  <c r="H196" i="9" a="1"/>
  <c r="H196" i="9" s="1"/>
  <c r="J195" i="9" a="1"/>
  <c r="J195" i="9" s="1"/>
  <c r="I195" i="9"/>
  <c r="H221" i="1" s="1" a="1"/>
  <c r="H221" i="1" s="1"/>
  <c r="H195" i="9" a="1"/>
  <c r="H195" i="9" s="1"/>
  <c r="K195" i="9" s="1"/>
  <c r="K194" i="9"/>
  <c r="J220" i="1" s="1" a="1"/>
  <c r="J220" i="1" s="1"/>
  <c r="J194" i="9" a="1"/>
  <c r="J194" i="9" s="1"/>
  <c r="I194" i="9"/>
  <c r="H220" i="1" s="1" a="1"/>
  <c r="H220" i="1" s="1"/>
  <c r="H194" i="9" a="1"/>
  <c r="H194" i="9" s="1"/>
  <c r="K193" i="9"/>
  <c r="J219" i="1" s="1" a="1"/>
  <c r="J219" i="1" s="1"/>
  <c r="J193" i="9" a="1"/>
  <c r="J193" i="9" s="1"/>
  <c r="I193" i="9"/>
  <c r="H193" i="9" a="1"/>
  <c r="H193" i="9" s="1"/>
  <c r="K192" i="9"/>
  <c r="J218" i="1" s="1" a="1"/>
  <c r="J218" i="1" s="1"/>
  <c r="J192" i="9" a="1"/>
  <c r="J192" i="9" s="1"/>
  <c r="I192" i="9"/>
  <c r="H192" i="9" a="1"/>
  <c r="H192" i="9" s="1"/>
  <c r="J191" i="9" a="1"/>
  <c r="J191" i="9" s="1"/>
  <c r="I191" i="9"/>
  <c r="H191" i="9" a="1"/>
  <c r="H191" i="9" s="1"/>
  <c r="K191" i="9" s="1"/>
  <c r="J190" i="9" a="1"/>
  <c r="J190" i="9" s="1"/>
  <c r="I190" i="9"/>
  <c r="H190" i="9" a="1"/>
  <c r="H190" i="9" s="1"/>
  <c r="K190" i="9" s="1"/>
  <c r="J189" i="9" a="1"/>
  <c r="J189" i="9" s="1"/>
  <c r="I189" i="9"/>
  <c r="H189" i="9" a="1"/>
  <c r="H189" i="9" s="1"/>
  <c r="K189" i="9" s="1"/>
  <c r="J188" i="9" a="1"/>
  <c r="J188" i="9" s="1"/>
  <c r="I188" i="9"/>
  <c r="H188" i="9" a="1"/>
  <c r="H188" i="9" s="1"/>
  <c r="K188" i="9" s="1"/>
  <c r="J187" i="9" a="1"/>
  <c r="J187" i="9" s="1"/>
  <c r="I187" i="9"/>
  <c r="H187" i="9" a="1"/>
  <c r="H187" i="9" s="1"/>
  <c r="K187" i="9" s="1"/>
  <c r="J186" i="9" a="1"/>
  <c r="J186" i="9" s="1"/>
  <c r="I186" i="9"/>
  <c r="H212" i="1" s="1" a="1"/>
  <c r="H212" i="1" s="1"/>
  <c r="H186" i="9" a="1"/>
  <c r="H186" i="9" s="1"/>
  <c r="K186" i="9" s="1"/>
  <c r="J185" i="9" a="1"/>
  <c r="J185" i="9" s="1"/>
  <c r="I185" i="9"/>
  <c r="H185" i="9" a="1"/>
  <c r="H185" i="9" s="1"/>
  <c r="K185" i="9" s="1"/>
  <c r="J184" i="9" a="1"/>
  <c r="J184" i="9" s="1"/>
  <c r="I184" i="9"/>
  <c r="H184" i="9" a="1"/>
  <c r="H184" i="9" s="1"/>
  <c r="K184" i="9" s="1"/>
  <c r="G184" i="9"/>
  <c r="K183" i="9"/>
  <c r="J183" i="9" a="1"/>
  <c r="J183" i="9" s="1"/>
  <c r="I183" i="9"/>
  <c r="H183" i="9" a="1"/>
  <c r="H183" i="9" s="1"/>
  <c r="J182" i="9" a="1"/>
  <c r="J182" i="9" s="1"/>
  <c r="I182" i="9"/>
  <c r="H182" i="9" a="1"/>
  <c r="H182" i="9" s="1"/>
  <c r="K182" i="9" s="1"/>
  <c r="K181" i="9"/>
  <c r="J207" i="1" s="1" a="1"/>
  <c r="J207" i="1" s="1"/>
  <c r="J181" i="9" a="1"/>
  <c r="J181" i="9" s="1"/>
  <c r="I181" i="9"/>
  <c r="H181" i="9" a="1"/>
  <c r="H181" i="9" s="1"/>
  <c r="K180" i="9"/>
  <c r="J206" i="1" s="1" a="1"/>
  <c r="J206" i="1" s="1"/>
  <c r="J180" i="9" a="1"/>
  <c r="J180" i="9" s="1"/>
  <c r="I180" i="9"/>
  <c r="H206" i="1" s="1" a="1"/>
  <c r="H206" i="1" s="1"/>
  <c r="H180" i="9" a="1"/>
  <c r="H180" i="9" s="1"/>
  <c r="K179" i="9"/>
  <c r="J205" i="1" s="1" a="1"/>
  <c r="J205" i="1" s="1"/>
  <c r="J179" i="9" a="1"/>
  <c r="J179" i="9" s="1"/>
  <c r="I179" i="9"/>
  <c r="H205" i="1" s="1" a="1"/>
  <c r="H205" i="1" s="1"/>
  <c r="H179" i="9" a="1"/>
  <c r="H179" i="9" s="1"/>
  <c r="J178" i="9" a="1"/>
  <c r="J178" i="9" s="1"/>
  <c r="I178" i="9"/>
  <c r="H178" i="9" a="1"/>
  <c r="H178" i="9" s="1"/>
  <c r="K178" i="9" s="1"/>
  <c r="J177" i="9" a="1"/>
  <c r="J177" i="9" s="1"/>
  <c r="I177" i="9"/>
  <c r="H177" i="9" a="1"/>
  <c r="H177" i="9" s="1"/>
  <c r="K177" i="9" s="1"/>
  <c r="J176" i="9" a="1"/>
  <c r="J176" i="9" s="1"/>
  <c r="I176" i="9"/>
  <c r="H176" i="9" a="1"/>
  <c r="H176" i="9" s="1"/>
  <c r="K176" i="9" s="1"/>
  <c r="J175" i="9" a="1"/>
  <c r="J175" i="9" s="1"/>
  <c r="I175" i="9"/>
  <c r="H175" i="9" a="1"/>
  <c r="H175" i="9" s="1"/>
  <c r="K175" i="9" s="1"/>
  <c r="J174" i="9" a="1"/>
  <c r="J174" i="9" s="1"/>
  <c r="I174" i="9"/>
  <c r="H174" i="9" a="1"/>
  <c r="H174" i="9" s="1"/>
  <c r="K174" i="9" s="1"/>
  <c r="J173" i="9" a="1"/>
  <c r="J173" i="9" s="1"/>
  <c r="I173" i="9"/>
  <c r="H173" i="9" a="1"/>
  <c r="H173" i="9" s="1"/>
  <c r="K173" i="9" s="1"/>
  <c r="J172" i="9" a="1"/>
  <c r="J172" i="9" s="1"/>
  <c r="I172" i="9"/>
  <c r="H172" i="9" a="1"/>
  <c r="H172" i="9" s="1"/>
  <c r="K172" i="9" s="1"/>
  <c r="J171" i="9" a="1"/>
  <c r="J171" i="9" s="1"/>
  <c r="I171" i="9"/>
  <c r="H197" i="1" s="1" a="1"/>
  <c r="H197" i="1" s="1"/>
  <c r="H171" i="9" a="1"/>
  <c r="H171" i="9" s="1"/>
  <c r="K171" i="9" s="1"/>
  <c r="J170" i="9" a="1"/>
  <c r="J170" i="9" s="1"/>
  <c r="I170" i="9"/>
  <c r="H170" i="9" a="1"/>
  <c r="H170" i="9" s="1"/>
  <c r="K170" i="9" s="1"/>
  <c r="K169" i="9"/>
  <c r="J169" i="9" a="1"/>
  <c r="J169" i="9" s="1"/>
  <c r="I169" i="9"/>
  <c r="H169" i="9" a="1"/>
  <c r="H169" i="9" s="1"/>
  <c r="K168" i="9"/>
  <c r="J168" i="9" a="1"/>
  <c r="J168" i="9" s="1"/>
  <c r="I168" i="9"/>
  <c r="H168" i="9" a="1"/>
  <c r="H168" i="9" s="1"/>
  <c r="J167" i="9" a="1"/>
  <c r="J167" i="9" s="1"/>
  <c r="I167" i="9"/>
  <c r="H167" i="9" a="1"/>
  <c r="H167" i="9" s="1"/>
  <c r="K167" i="9" s="1"/>
  <c r="J166" i="9" a="1"/>
  <c r="J166" i="9" s="1"/>
  <c r="I166" i="9"/>
  <c r="H166" i="9" a="1"/>
  <c r="H166" i="9" s="1"/>
  <c r="K166" i="9" s="1"/>
  <c r="J165" i="9" a="1"/>
  <c r="J165" i="9" s="1"/>
  <c r="I165" i="9"/>
  <c r="H165" i="9" a="1"/>
  <c r="H165" i="9" s="1"/>
  <c r="K165" i="9" s="1"/>
  <c r="J164" i="9" a="1"/>
  <c r="J164" i="9" s="1"/>
  <c r="I164" i="9"/>
  <c r="H164" i="9" a="1"/>
  <c r="H164" i="9" s="1"/>
  <c r="K164" i="9" s="1"/>
  <c r="J163" i="9" a="1"/>
  <c r="J163" i="9" s="1"/>
  <c r="I163" i="9"/>
  <c r="H163" i="9" a="1"/>
  <c r="H163" i="9" s="1"/>
  <c r="K163" i="9" s="1"/>
  <c r="J162" i="9" a="1"/>
  <c r="J162" i="9" s="1"/>
  <c r="I162" i="9"/>
  <c r="H162" i="9" a="1"/>
  <c r="H162" i="9" s="1"/>
  <c r="K162" i="9" s="1"/>
  <c r="J161" i="9" a="1"/>
  <c r="J161" i="9" s="1"/>
  <c r="I161" i="9"/>
  <c r="H161" i="9" a="1"/>
  <c r="H161" i="9" s="1"/>
  <c r="K161" i="9" s="1"/>
  <c r="J160" i="9" a="1"/>
  <c r="J160" i="9" s="1"/>
  <c r="I160" i="9"/>
  <c r="H160" i="9" a="1"/>
  <c r="H160" i="9" s="1"/>
  <c r="K160" i="9" s="1"/>
  <c r="K159" i="9"/>
  <c r="J159" i="9" a="1"/>
  <c r="J159" i="9" s="1"/>
  <c r="I159" i="9"/>
  <c r="H159" i="9" a="1"/>
  <c r="H159" i="9" s="1"/>
  <c r="K158" i="9"/>
  <c r="J184" i="1" s="1" a="1"/>
  <c r="J184" i="1" s="1"/>
  <c r="J158" i="9" a="1"/>
  <c r="J158" i="9" s="1"/>
  <c r="I158" i="9"/>
  <c r="H158" i="9" a="1"/>
  <c r="H158" i="9" s="1"/>
  <c r="J157" i="9" a="1"/>
  <c r="J157" i="9" s="1"/>
  <c r="I157" i="9"/>
  <c r="H157" i="9" a="1"/>
  <c r="H157" i="9" s="1"/>
  <c r="K157" i="9" s="1"/>
  <c r="J156" i="9" a="1"/>
  <c r="J156" i="9" s="1"/>
  <c r="I156" i="9"/>
  <c r="H182" i="1" s="1" a="1"/>
  <c r="H182" i="1" s="1"/>
  <c r="H156" i="9" a="1"/>
  <c r="H156" i="9" s="1"/>
  <c r="K156" i="9" s="1"/>
  <c r="J155" i="9" a="1"/>
  <c r="J155" i="9" s="1"/>
  <c r="I155" i="9"/>
  <c r="H181" i="1" s="1" a="1"/>
  <c r="H181" i="1" s="1"/>
  <c r="H155" i="9" a="1"/>
  <c r="H155" i="9" s="1"/>
  <c r="K155" i="9" s="1"/>
  <c r="J154" i="9" a="1"/>
  <c r="J154" i="9" s="1"/>
  <c r="I154" i="9"/>
  <c r="H180" i="1" s="1" a="1"/>
  <c r="H180" i="1" s="1"/>
  <c r="H154" i="9" a="1"/>
  <c r="H154" i="9" s="1"/>
  <c r="K154" i="9" s="1"/>
  <c r="J153" i="9" a="1"/>
  <c r="J153" i="9" s="1"/>
  <c r="I153" i="9"/>
  <c r="H153" i="9" a="1"/>
  <c r="H153" i="9" s="1"/>
  <c r="K153" i="9" s="1"/>
  <c r="J152" i="9" a="1"/>
  <c r="J152" i="9" s="1"/>
  <c r="I152" i="9"/>
  <c r="H152" i="9" a="1"/>
  <c r="H152" i="9" s="1"/>
  <c r="K152" i="9" s="1"/>
  <c r="K151" i="9"/>
  <c r="J177" i="1" s="1" a="1"/>
  <c r="J177" i="1" s="1"/>
  <c r="J151" i="9" a="1"/>
  <c r="J151" i="9" s="1"/>
  <c r="I151" i="9"/>
  <c r="H151" i="9" a="1"/>
  <c r="H151" i="9" s="1"/>
  <c r="J150" i="9" a="1"/>
  <c r="J150" i="9" s="1"/>
  <c r="I150" i="9"/>
  <c r="H150" i="9" a="1"/>
  <c r="H150" i="9" s="1"/>
  <c r="K150" i="9" s="1"/>
  <c r="K149" i="9"/>
  <c r="J175" i="1" s="1" a="1"/>
  <c r="J175" i="1" s="1"/>
  <c r="J149" i="9" a="1"/>
  <c r="J149" i="9" s="1"/>
  <c r="I149" i="9"/>
  <c r="H149" i="9" a="1"/>
  <c r="H149" i="9" s="1"/>
  <c r="K148" i="9"/>
  <c r="J148" i="9" a="1"/>
  <c r="J148" i="9" s="1"/>
  <c r="I148" i="9"/>
  <c r="H174" i="1" s="1" a="1"/>
  <c r="H174" i="1" s="1"/>
  <c r="H148" i="9" a="1"/>
  <c r="H148" i="9" s="1"/>
  <c r="K147" i="9"/>
  <c r="J147" i="9" a="1"/>
  <c r="J147" i="9" s="1"/>
  <c r="I147" i="9"/>
  <c r="H173" i="1" s="1" a="1"/>
  <c r="H173" i="1" s="1"/>
  <c r="H147" i="9" a="1"/>
  <c r="H147" i="9" s="1"/>
  <c r="J146" i="9" a="1"/>
  <c r="J146" i="9" s="1"/>
  <c r="I146" i="9"/>
  <c r="H146" i="9" a="1"/>
  <c r="H146" i="9" s="1"/>
  <c r="K146" i="9" s="1"/>
  <c r="J145" i="9" a="1"/>
  <c r="J145" i="9" s="1"/>
  <c r="I145" i="9"/>
  <c r="H145" i="9" a="1"/>
  <c r="H145" i="9" s="1"/>
  <c r="K145" i="9" s="1"/>
  <c r="J144" i="9" a="1"/>
  <c r="J144" i="9" s="1"/>
  <c r="I144" i="9"/>
  <c r="H144" i="9" a="1"/>
  <c r="H144" i="9" s="1"/>
  <c r="K144" i="9" s="1"/>
  <c r="K143" i="9"/>
  <c r="J143" i="9" a="1"/>
  <c r="J143" i="9" s="1"/>
  <c r="I143" i="9"/>
  <c r="H143" i="9" a="1"/>
  <c r="H143" i="9" s="1"/>
  <c r="J142" i="9" a="1"/>
  <c r="J142" i="9" s="1"/>
  <c r="I142" i="9"/>
  <c r="H142" i="9" a="1"/>
  <c r="H142" i="9" s="1"/>
  <c r="K142" i="9" s="1"/>
  <c r="J141" i="9" a="1"/>
  <c r="J141" i="9" s="1"/>
  <c r="I141" i="9"/>
  <c r="H141" i="9" a="1"/>
  <c r="H141" i="9" s="1"/>
  <c r="K141" i="9" s="1"/>
  <c r="J140" i="9" a="1"/>
  <c r="J140" i="9" s="1"/>
  <c r="I140" i="9"/>
  <c r="H166" i="1" s="1" a="1"/>
  <c r="H166" i="1" s="1"/>
  <c r="H140" i="9" a="1"/>
  <c r="H140" i="9" s="1"/>
  <c r="K140" i="9" s="1"/>
  <c r="J139" i="9" a="1"/>
  <c r="J139" i="9" s="1"/>
  <c r="I139" i="9"/>
  <c r="H165" i="1" s="1" a="1"/>
  <c r="H165" i="1" s="1"/>
  <c r="H139" i="9" a="1"/>
  <c r="H139" i="9" s="1"/>
  <c r="K139" i="9" s="1"/>
  <c r="J138" i="9" a="1"/>
  <c r="J138" i="9" s="1"/>
  <c r="I138" i="9"/>
  <c r="H164" i="1" s="1" a="1"/>
  <c r="H164" i="1" s="1"/>
  <c r="H138" i="9" a="1"/>
  <c r="H138" i="9" s="1"/>
  <c r="K138" i="9" s="1"/>
  <c r="J137" i="9" a="1"/>
  <c r="J137" i="9" s="1"/>
  <c r="I137" i="9"/>
  <c r="H137" i="9" a="1"/>
  <c r="H137" i="9" s="1"/>
  <c r="K137" i="9" s="1"/>
  <c r="K136" i="9"/>
  <c r="J136" i="9" a="1"/>
  <c r="J136" i="9" s="1"/>
  <c r="I136" i="9"/>
  <c r="H136" i="9" a="1"/>
  <c r="H136" i="9" s="1"/>
  <c r="J135" i="9" a="1"/>
  <c r="J135" i="9" s="1"/>
  <c r="I135" i="9"/>
  <c r="H135" i="9" a="1"/>
  <c r="H135" i="9" s="1"/>
  <c r="K135" i="9" s="1"/>
  <c r="K134" i="9"/>
  <c r="J134" i="9" a="1"/>
  <c r="J134" i="9" s="1"/>
  <c r="I134" i="9"/>
  <c r="H134" i="9" a="1"/>
  <c r="H134" i="9" s="1"/>
  <c r="K133" i="9"/>
  <c r="J159" i="1" s="1" a="1"/>
  <c r="J159" i="1" s="1"/>
  <c r="J133" i="9" a="1"/>
  <c r="J133" i="9" s="1"/>
  <c r="I133" i="9"/>
  <c r="H133" i="9" a="1"/>
  <c r="H133" i="9" s="1"/>
  <c r="K132" i="9"/>
  <c r="J132" i="9" a="1"/>
  <c r="J132" i="9" s="1"/>
  <c r="I132" i="9"/>
  <c r="H158" i="1" s="1" a="1"/>
  <c r="H158" i="1" s="1"/>
  <c r="H132" i="9" a="1"/>
  <c r="H132" i="9" s="1"/>
  <c r="K131" i="9"/>
  <c r="J131" i="9" a="1"/>
  <c r="J131" i="9" s="1"/>
  <c r="I131" i="9"/>
  <c r="H157" i="1" s="1" a="1"/>
  <c r="H157" i="1" s="1"/>
  <c r="H131" i="9" a="1"/>
  <c r="H131" i="9" s="1"/>
  <c r="J130" i="9" a="1"/>
  <c r="J130" i="9" s="1"/>
  <c r="I130" i="9"/>
  <c r="H130" i="9" a="1"/>
  <c r="H130" i="9" s="1"/>
  <c r="K130" i="9" s="1"/>
  <c r="J129" i="9" a="1"/>
  <c r="J129" i="9" s="1"/>
  <c r="I129" i="9"/>
  <c r="H129" i="9" a="1"/>
  <c r="H129" i="9" s="1"/>
  <c r="K129" i="9" s="1"/>
  <c r="K128" i="9"/>
  <c r="J128" i="9" a="1"/>
  <c r="J128" i="9" s="1"/>
  <c r="I128" i="9"/>
  <c r="H128" i="9" a="1"/>
  <c r="H128" i="9" s="1"/>
  <c r="J127" i="9" a="1"/>
  <c r="J127" i="9" s="1"/>
  <c r="I127" i="9"/>
  <c r="H127" i="9" a="1"/>
  <c r="H127" i="9" s="1"/>
  <c r="K127" i="9" s="1"/>
  <c r="J126" i="9" a="1"/>
  <c r="J126" i="9" s="1"/>
  <c r="I126" i="9"/>
  <c r="H126" i="9" a="1"/>
  <c r="H126" i="9" s="1"/>
  <c r="K126" i="9" s="1"/>
  <c r="J125" i="9" a="1"/>
  <c r="J125" i="9" s="1"/>
  <c r="I125" i="9"/>
  <c r="H125" i="9" a="1"/>
  <c r="H125" i="9" s="1"/>
  <c r="K125" i="9" s="1"/>
  <c r="J124" i="9" a="1"/>
  <c r="J124" i="9" s="1"/>
  <c r="I124" i="9"/>
  <c r="H150" i="1" s="1" a="1"/>
  <c r="H150" i="1" s="1"/>
  <c r="H124" i="9" a="1"/>
  <c r="H124" i="9" s="1"/>
  <c r="K124" i="9" s="1"/>
  <c r="J123" i="9" a="1"/>
  <c r="J123" i="9" s="1"/>
  <c r="I123" i="9"/>
  <c r="H149" i="1" s="1" a="1"/>
  <c r="H149" i="1" s="1"/>
  <c r="H123" i="9" a="1"/>
  <c r="H123" i="9" s="1"/>
  <c r="K123" i="9" s="1"/>
  <c r="J122" i="9" a="1"/>
  <c r="J122" i="9" s="1"/>
  <c r="I122" i="9"/>
  <c r="H148" i="1" s="1" a="1"/>
  <c r="H148" i="1" s="1"/>
  <c r="H122" i="9" a="1"/>
  <c r="H122" i="9" s="1"/>
  <c r="K122" i="9" s="1"/>
  <c r="J121" i="9" a="1"/>
  <c r="J121" i="9" s="1"/>
  <c r="I121" i="9"/>
  <c r="H121" i="9" a="1"/>
  <c r="H121" i="9" s="1"/>
  <c r="K121" i="9" s="1"/>
  <c r="J120" i="9" a="1"/>
  <c r="J120" i="9" s="1"/>
  <c r="I120" i="9"/>
  <c r="H120" i="9" a="1"/>
  <c r="H120" i="9" s="1"/>
  <c r="K120" i="9" s="1"/>
  <c r="K119" i="9"/>
  <c r="J145" i="1" s="1" a="1"/>
  <c r="J145" i="1" s="1"/>
  <c r="J119" i="9" a="1"/>
  <c r="J119" i="9" s="1"/>
  <c r="I119" i="9"/>
  <c r="H119" i="9" a="1"/>
  <c r="H119" i="9" s="1"/>
  <c r="K118" i="9"/>
  <c r="J144" i="1" s="1" a="1"/>
  <c r="J144" i="1" s="1"/>
  <c r="J118" i="9" a="1"/>
  <c r="J118" i="9" s="1"/>
  <c r="I118" i="9"/>
  <c r="H118" i="9" a="1"/>
  <c r="H118" i="9" s="1"/>
  <c r="J117" i="9" a="1"/>
  <c r="J117" i="9" s="1"/>
  <c r="I117" i="9"/>
  <c r="H117" i="9" a="1"/>
  <c r="H117" i="9" s="1"/>
  <c r="K117" i="9" s="1"/>
  <c r="J116" i="9" a="1"/>
  <c r="J116" i="9" s="1"/>
  <c r="I116" i="9"/>
  <c r="H142" i="1" s="1" a="1"/>
  <c r="H142" i="1" s="1"/>
  <c r="H116" i="9" a="1"/>
  <c r="H116" i="9" s="1"/>
  <c r="K116" i="9" s="1"/>
  <c r="J115" i="9" a="1"/>
  <c r="J115" i="9" s="1"/>
  <c r="I115" i="9"/>
  <c r="H141" i="1" s="1" a="1"/>
  <c r="H141" i="1" s="1"/>
  <c r="H115" i="9" a="1"/>
  <c r="H115" i="9" s="1"/>
  <c r="K115" i="9" s="1"/>
  <c r="J114" i="9" a="1"/>
  <c r="J114" i="9" s="1"/>
  <c r="I114" i="9"/>
  <c r="H140" i="1" s="1" a="1"/>
  <c r="H140" i="1" s="1"/>
  <c r="H114" i="9" a="1"/>
  <c r="H114" i="9" s="1"/>
  <c r="K114" i="9" s="1"/>
  <c r="J113" i="9" a="1"/>
  <c r="J113" i="9" s="1"/>
  <c r="I113" i="9"/>
  <c r="H113" i="9" a="1"/>
  <c r="H113" i="9" s="1"/>
  <c r="K113" i="9" s="1"/>
  <c r="J112" i="9" a="1"/>
  <c r="J112" i="9" s="1"/>
  <c r="I112" i="9"/>
  <c r="H112" i="9" a="1"/>
  <c r="H112" i="9" s="1"/>
  <c r="K112" i="9" s="1"/>
  <c r="J111" i="9" a="1"/>
  <c r="J111" i="9" s="1"/>
  <c r="I111" i="9"/>
  <c r="H111" i="9" a="1"/>
  <c r="H111" i="9" s="1"/>
  <c r="K111" i="9" s="1"/>
  <c r="J110" i="9" a="1"/>
  <c r="J110" i="9" s="1"/>
  <c r="I110" i="9"/>
  <c r="H110" i="9" a="1"/>
  <c r="H110" i="9" s="1"/>
  <c r="K110" i="9" s="1"/>
  <c r="K109" i="9"/>
  <c r="J135" i="1" s="1" a="1"/>
  <c r="J135" i="1" s="1"/>
  <c r="J109" i="9" a="1"/>
  <c r="J109" i="9" s="1"/>
  <c r="I109" i="9"/>
  <c r="H109" i="9" a="1"/>
  <c r="H109" i="9" s="1"/>
  <c r="K108" i="9"/>
  <c r="J108" i="9" a="1"/>
  <c r="J108" i="9" s="1"/>
  <c r="I108" i="9"/>
  <c r="H134" i="1" s="1" a="1"/>
  <c r="H134" i="1" s="1"/>
  <c r="H108" i="9" a="1"/>
  <c r="H108" i="9" s="1"/>
  <c r="J107" i="9" a="1"/>
  <c r="J107" i="9" s="1"/>
  <c r="I107" i="9"/>
  <c r="H133" i="1" s="1" a="1"/>
  <c r="H133" i="1" s="1"/>
  <c r="H107" i="9" a="1"/>
  <c r="H107" i="9" s="1"/>
  <c r="K107" i="9" s="1"/>
  <c r="J106" i="9" a="1"/>
  <c r="J106" i="9" s="1"/>
  <c r="I106" i="9"/>
  <c r="H132" i="1" s="1" a="1"/>
  <c r="H132" i="1" s="1"/>
  <c r="H106" i="9" a="1"/>
  <c r="H106" i="9" s="1"/>
  <c r="K106" i="9" s="1"/>
  <c r="J105" i="9" a="1"/>
  <c r="J105" i="9" s="1"/>
  <c r="I105" i="9"/>
  <c r="H105" i="9" a="1"/>
  <c r="H105" i="9" s="1"/>
  <c r="K105" i="9" s="1"/>
  <c r="J104" i="9" a="1"/>
  <c r="J104" i="9" s="1"/>
  <c r="I104" i="9"/>
  <c r="H104" i="9" a="1"/>
  <c r="H104" i="9" s="1"/>
  <c r="K104" i="9" s="1"/>
  <c r="J103" i="9" a="1"/>
  <c r="J103" i="9" s="1"/>
  <c r="I103" i="9"/>
  <c r="H103" i="9" a="1"/>
  <c r="H103" i="9" s="1"/>
  <c r="K103" i="9" s="1"/>
  <c r="J102" i="9" a="1"/>
  <c r="J102" i="9" s="1"/>
  <c r="I102" i="9"/>
  <c r="H102" i="9" a="1"/>
  <c r="H102" i="9" s="1"/>
  <c r="K102" i="9" s="1"/>
  <c r="K101" i="9"/>
  <c r="J101" i="9" a="1"/>
  <c r="J101" i="9" s="1"/>
  <c r="I101" i="9"/>
  <c r="H101" i="9" a="1"/>
  <c r="H101" i="9" s="1"/>
  <c r="K100" i="9"/>
  <c r="J126" i="1" s="1" a="1"/>
  <c r="J126" i="1" s="1"/>
  <c r="J100" i="9" a="1"/>
  <c r="J100" i="9" s="1"/>
  <c r="I100" i="9"/>
  <c r="H126" i="1" s="1" a="1"/>
  <c r="H126" i="1" s="1"/>
  <c r="H100" i="9" a="1"/>
  <c r="H100" i="9" s="1"/>
  <c r="J99" i="9" a="1"/>
  <c r="J99" i="9" s="1"/>
  <c r="I99" i="9"/>
  <c r="H125" i="1" s="1" a="1"/>
  <c r="H125" i="1" s="1"/>
  <c r="H99" i="9" a="1"/>
  <c r="H99" i="9" s="1"/>
  <c r="K99" i="9" s="1"/>
  <c r="J98" i="9" a="1"/>
  <c r="J98" i="9" s="1"/>
  <c r="I98" i="9"/>
  <c r="H124" i="1" s="1" a="1"/>
  <c r="H124" i="1" s="1"/>
  <c r="H98" i="9" a="1"/>
  <c r="H98" i="9" s="1"/>
  <c r="K98" i="9" s="1"/>
  <c r="J97" i="9" a="1"/>
  <c r="J97" i="9" s="1"/>
  <c r="I97" i="9"/>
  <c r="H97" i="9" a="1"/>
  <c r="H97" i="9" s="1"/>
  <c r="K97" i="9" s="1"/>
  <c r="J96" i="9" a="1"/>
  <c r="J96" i="9" s="1"/>
  <c r="I96" i="9"/>
  <c r="H96" i="9" a="1"/>
  <c r="H96" i="9" s="1"/>
  <c r="K96" i="9" s="1"/>
  <c r="J95" i="9" a="1"/>
  <c r="J95" i="9" s="1"/>
  <c r="I95" i="9"/>
  <c r="H95" i="9" a="1"/>
  <c r="H95" i="9" s="1"/>
  <c r="K95" i="9" s="1"/>
  <c r="J94" i="9" a="1"/>
  <c r="J94" i="9" s="1"/>
  <c r="I94" i="9"/>
  <c r="H94" i="9" a="1"/>
  <c r="H94" i="9" s="1"/>
  <c r="K94" i="9" s="1"/>
  <c r="J93" i="9" a="1"/>
  <c r="J93" i="9" s="1"/>
  <c r="I93" i="9"/>
  <c r="H93" i="9" a="1"/>
  <c r="H93" i="9" s="1"/>
  <c r="K93" i="9" s="1"/>
  <c r="K92" i="9"/>
  <c r="J92" i="9" a="1"/>
  <c r="J92" i="9" s="1"/>
  <c r="I92" i="9"/>
  <c r="H118" i="1" s="1" a="1"/>
  <c r="H118" i="1" s="1"/>
  <c r="H92" i="9" a="1"/>
  <c r="H92" i="9" s="1"/>
  <c r="K91" i="9"/>
  <c r="J117" i="1" s="1" a="1"/>
  <c r="J117" i="1" s="1"/>
  <c r="J91" i="9" a="1"/>
  <c r="J91" i="9" s="1"/>
  <c r="I91" i="9"/>
  <c r="H117" i="1" s="1" a="1"/>
  <c r="H117" i="1" s="1"/>
  <c r="H91" i="9" a="1"/>
  <c r="H91" i="9" s="1"/>
  <c r="J90" i="9" a="1"/>
  <c r="J90" i="9" s="1"/>
  <c r="I90" i="9"/>
  <c r="H116" i="1" s="1" a="1"/>
  <c r="H116" i="1" s="1"/>
  <c r="H90" i="9" a="1"/>
  <c r="H90" i="9" s="1"/>
  <c r="K90" i="9" s="1"/>
  <c r="J89" i="9" a="1"/>
  <c r="J89" i="9" s="1"/>
  <c r="I89" i="9"/>
  <c r="H89" i="9" a="1"/>
  <c r="H89" i="9" s="1"/>
  <c r="K89" i="9" s="1"/>
  <c r="J88" i="9" a="1"/>
  <c r="J88" i="9" s="1"/>
  <c r="I88" i="9"/>
  <c r="H88" i="9" a="1"/>
  <c r="H88" i="9" s="1"/>
  <c r="K88" i="9" s="1"/>
  <c r="J87" i="9" a="1"/>
  <c r="J87" i="9" s="1"/>
  <c r="I87" i="9"/>
  <c r="H87" i="9" a="1"/>
  <c r="H87" i="9" s="1"/>
  <c r="K87" i="9" s="1"/>
  <c r="J86" i="9" a="1"/>
  <c r="J86" i="9" s="1"/>
  <c r="I86" i="9"/>
  <c r="H86" i="9" a="1"/>
  <c r="H86" i="9" s="1"/>
  <c r="K86" i="9" s="1"/>
  <c r="J85" i="9" a="1"/>
  <c r="J85" i="9" s="1"/>
  <c r="I85" i="9"/>
  <c r="H85" i="9" a="1"/>
  <c r="H85" i="9" s="1"/>
  <c r="K85" i="9" s="1"/>
  <c r="J84" i="9" a="1"/>
  <c r="J84" i="9" s="1"/>
  <c r="I84" i="9"/>
  <c r="H110" i="1" s="1" a="1"/>
  <c r="H110" i="1" s="1"/>
  <c r="H84" i="9" a="1"/>
  <c r="H84" i="9" s="1"/>
  <c r="K84" i="9" s="1"/>
  <c r="K83" i="9"/>
  <c r="J83" i="9" a="1"/>
  <c r="J83" i="9" s="1"/>
  <c r="I83" i="9"/>
  <c r="H109" i="1" s="1" a="1"/>
  <c r="H109" i="1" s="1"/>
  <c r="H83" i="9" a="1"/>
  <c r="H83" i="9" s="1"/>
  <c r="K82" i="9"/>
  <c r="J82" i="9" a="1"/>
  <c r="J82" i="9" s="1"/>
  <c r="I82" i="9"/>
  <c r="H108" i="1" s="1" a="1"/>
  <c r="H108" i="1" s="1"/>
  <c r="H82" i="9" a="1"/>
  <c r="H82" i="9" s="1"/>
  <c r="J81" i="9" a="1"/>
  <c r="J81" i="9" s="1"/>
  <c r="I81" i="9"/>
  <c r="H81" i="9" a="1"/>
  <c r="H81" i="9" s="1"/>
  <c r="K81" i="9" s="1"/>
  <c r="J80" i="9" a="1"/>
  <c r="J80" i="9" s="1"/>
  <c r="I80" i="9"/>
  <c r="H80" i="9" a="1"/>
  <c r="H80" i="9" s="1"/>
  <c r="K80" i="9" s="1"/>
  <c r="J79" i="9" a="1"/>
  <c r="J79" i="9" s="1"/>
  <c r="I79" i="9"/>
  <c r="H79" i="9" a="1"/>
  <c r="H79" i="9" s="1"/>
  <c r="K79" i="9" s="1"/>
  <c r="J78" i="9" a="1"/>
  <c r="J78" i="9" s="1"/>
  <c r="I78" i="9"/>
  <c r="H78" i="9" a="1"/>
  <c r="H78" i="9" s="1"/>
  <c r="K78" i="9" s="1"/>
  <c r="J77" i="9" a="1"/>
  <c r="J77" i="9" s="1"/>
  <c r="I77" i="9"/>
  <c r="H77" i="9" a="1"/>
  <c r="H77" i="9" s="1"/>
  <c r="K77" i="9" s="1"/>
  <c r="K76" i="9"/>
  <c r="J102" i="1" s="1" a="1"/>
  <c r="J102" i="1" s="1"/>
  <c r="J76" i="9" a="1"/>
  <c r="J76" i="9" s="1"/>
  <c r="I76" i="9"/>
  <c r="H102" i="1" s="1" a="1"/>
  <c r="H102" i="1" s="1"/>
  <c r="H76" i="9" a="1"/>
  <c r="H76" i="9" s="1"/>
  <c r="K75" i="9"/>
  <c r="J101" i="1" s="1" a="1"/>
  <c r="J101" i="1" s="1"/>
  <c r="J75" i="9" a="1"/>
  <c r="J75" i="9" s="1"/>
  <c r="I75" i="9"/>
  <c r="H101" i="1" s="1" a="1"/>
  <c r="H101" i="1" s="1"/>
  <c r="H75" i="9" a="1"/>
  <c r="H75" i="9" s="1"/>
  <c r="J74" i="9" a="1"/>
  <c r="J74" i="9" s="1"/>
  <c r="I74" i="9"/>
  <c r="H100" i="1" s="1" a="1"/>
  <c r="H100" i="1" s="1"/>
  <c r="H74" i="9" a="1"/>
  <c r="H74" i="9" s="1"/>
  <c r="K74" i="9" s="1"/>
  <c r="J73" i="9" a="1"/>
  <c r="J73" i="9" s="1"/>
  <c r="I73" i="9"/>
  <c r="H73" i="9" a="1"/>
  <c r="H73" i="9" s="1"/>
  <c r="K73" i="9" s="1"/>
  <c r="J72" i="9" a="1"/>
  <c r="J72" i="9" s="1"/>
  <c r="I72" i="9"/>
  <c r="H72" i="9" a="1"/>
  <c r="H72" i="9" s="1"/>
  <c r="K72" i="9" s="1"/>
  <c r="J71" i="9" a="1"/>
  <c r="J71" i="9" s="1"/>
  <c r="I71" i="9"/>
  <c r="H71" i="9" a="1"/>
  <c r="H71" i="9" s="1"/>
  <c r="K71" i="9" s="1"/>
  <c r="J70" i="9" a="1"/>
  <c r="J70" i="9" s="1"/>
  <c r="I70" i="9"/>
  <c r="H70" i="9" a="1"/>
  <c r="H70" i="9" s="1"/>
  <c r="K70" i="9" s="1"/>
  <c r="K69" i="9"/>
  <c r="J95" i="1" s="1" a="1"/>
  <c r="J95" i="1" s="1"/>
  <c r="J69" i="9" a="1"/>
  <c r="J69" i="9" s="1"/>
  <c r="I69" i="9"/>
  <c r="H69" i="9" a="1"/>
  <c r="H69" i="9" s="1"/>
  <c r="K68" i="9"/>
  <c r="J94" i="1" s="1" a="1"/>
  <c r="J94" i="1" s="1"/>
  <c r="J68" i="9" a="1"/>
  <c r="J68" i="9" s="1"/>
  <c r="I68" i="9"/>
  <c r="H94" i="1" s="1" a="1"/>
  <c r="H94" i="1" s="1"/>
  <c r="H68" i="9" a="1"/>
  <c r="H68" i="9" s="1"/>
  <c r="J67" i="9" a="1"/>
  <c r="J67" i="9" s="1"/>
  <c r="I67" i="9"/>
  <c r="H93" i="1" s="1" a="1"/>
  <c r="H93" i="1" s="1"/>
  <c r="H67" i="9" a="1"/>
  <c r="H67" i="9" s="1"/>
  <c r="K67" i="9" s="1"/>
  <c r="J66" i="9" a="1"/>
  <c r="J66" i="9" s="1"/>
  <c r="I66" i="9"/>
  <c r="H92" i="1" s="1" a="1"/>
  <c r="H92" i="1" s="1"/>
  <c r="H66" i="9" a="1"/>
  <c r="H66" i="9" s="1"/>
  <c r="K66" i="9" s="1"/>
  <c r="J65" i="9" a="1"/>
  <c r="J65" i="9" s="1"/>
  <c r="I65" i="9"/>
  <c r="H65" i="9" a="1"/>
  <c r="H65" i="9" s="1"/>
  <c r="K65" i="9" s="1"/>
  <c r="K64" i="9"/>
  <c r="J90" i="1" s="1" a="1"/>
  <c r="J90" i="1" s="1"/>
  <c r="J64" i="9" a="1"/>
  <c r="J64" i="9" s="1"/>
  <c r="I64" i="9"/>
  <c r="H64" i="9" a="1"/>
  <c r="H64" i="9" s="1"/>
  <c r="J63" i="9" a="1"/>
  <c r="J63" i="9" s="1"/>
  <c r="I63" i="9"/>
  <c r="H63" i="9" a="1"/>
  <c r="H63" i="9" s="1"/>
  <c r="K63" i="9" s="1"/>
  <c r="J62" i="9" a="1"/>
  <c r="J62" i="9" s="1"/>
  <c r="I62" i="9"/>
  <c r="H62" i="9" a="1"/>
  <c r="H62" i="9" s="1"/>
  <c r="K62" i="9" s="1"/>
  <c r="J61" i="9" a="1"/>
  <c r="J61" i="9" s="1"/>
  <c r="I61" i="9"/>
  <c r="H61" i="9" a="1"/>
  <c r="H61" i="9" s="1"/>
  <c r="K61" i="9" s="1"/>
  <c r="K60" i="9"/>
  <c r="J86" i="1" s="1" a="1"/>
  <c r="J86" i="1" s="1"/>
  <c r="J60" i="9" a="1"/>
  <c r="J60" i="9" s="1"/>
  <c r="I60" i="9"/>
  <c r="H86" i="1" s="1" a="1"/>
  <c r="H86" i="1" s="1"/>
  <c r="H60" i="9" a="1"/>
  <c r="H60" i="9" s="1"/>
  <c r="K59" i="9"/>
  <c r="J59" i="9" a="1"/>
  <c r="J59" i="9" s="1"/>
  <c r="I59" i="9"/>
  <c r="H85" i="1" s="1" a="1"/>
  <c r="H85" i="1" s="1"/>
  <c r="H59" i="9" a="1"/>
  <c r="H59" i="9" s="1"/>
  <c r="J58" i="9" a="1"/>
  <c r="J58" i="9" s="1"/>
  <c r="I58" i="9"/>
  <c r="H84" i="1" s="1" a="1"/>
  <c r="H84" i="1" s="1"/>
  <c r="H58" i="9" a="1"/>
  <c r="H58" i="9" s="1"/>
  <c r="K58" i="9" s="1"/>
  <c r="J57" i="9" a="1"/>
  <c r="J57" i="9" s="1"/>
  <c r="I57" i="9"/>
  <c r="H57" i="9" a="1"/>
  <c r="H57" i="9" s="1"/>
  <c r="K57" i="9" s="1"/>
  <c r="K56" i="9"/>
  <c r="J56" i="9" a="1"/>
  <c r="J56" i="9" s="1"/>
  <c r="I56" i="9"/>
  <c r="H56" i="9" a="1"/>
  <c r="H56" i="9" s="1"/>
  <c r="K55" i="9"/>
  <c r="J81" i="1" s="1" a="1"/>
  <c r="J81" i="1" s="1"/>
  <c r="J55" i="9" a="1"/>
  <c r="J55" i="9" s="1"/>
  <c r="I55" i="9"/>
  <c r="H55" i="9" a="1"/>
  <c r="H55" i="9" s="1"/>
  <c r="K54" i="9"/>
  <c r="J54" i="9" a="1"/>
  <c r="J54" i="9" s="1"/>
  <c r="I54" i="9"/>
  <c r="H54" i="9" a="1"/>
  <c r="H54" i="9" s="1"/>
  <c r="K53" i="9"/>
  <c r="J53" i="9" a="1"/>
  <c r="J53" i="9" s="1"/>
  <c r="I53" i="9"/>
  <c r="H53" i="9" a="1"/>
  <c r="H53" i="9" s="1"/>
  <c r="J52" i="9" a="1"/>
  <c r="J52" i="9" s="1"/>
  <c r="I52" i="9"/>
  <c r="H78" i="1" s="1" a="1"/>
  <c r="H78" i="1" s="1"/>
  <c r="H52" i="9" a="1"/>
  <c r="H52" i="9" s="1"/>
  <c r="K52" i="9" s="1"/>
  <c r="J51" i="9" a="1"/>
  <c r="J51" i="9" s="1"/>
  <c r="I51" i="9"/>
  <c r="H77" i="1" s="1" a="1"/>
  <c r="H77" i="1" s="1"/>
  <c r="H51" i="9" a="1"/>
  <c r="H51" i="9" s="1"/>
  <c r="K51" i="9" s="1"/>
  <c r="J50" i="9" a="1"/>
  <c r="J50" i="9" s="1"/>
  <c r="I50" i="9"/>
  <c r="H76" i="1" s="1" a="1"/>
  <c r="H76" i="1" s="1"/>
  <c r="H50" i="9" a="1"/>
  <c r="H50" i="9" s="1"/>
  <c r="K50" i="9" s="1"/>
  <c r="J49" i="9" a="1"/>
  <c r="J49" i="9" s="1"/>
  <c r="I49" i="9"/>
  <c r="H49" i="9" a="1"/>
  <c r="H49" i="9" s="1"/>
  <c r="K49" i="9" s="1"/>
  <c r="K48" i="9"/>
  <c r="J48" i="9" a="1"/>
  <c r="J48" i="9" s="1"/>
  <c r="I48" i="9"/>
  <c r="H48" i="9" a="1"/>
  <c r="H48" i="9" s="1"/>
  <c r="K47" i="9"/>
  <c r="J73" i="1" s="1" a="1"/>
  <c r="J73" i="1" s="1"/>
  <c r="J47" i="9" a="1"/>
  <c r="J47" i="9" s="1"/>
  <c r="I47" i="9"/>
  <c r="H47" i="9" a="1"/>
  <c r="H47" i="9" s="1"/>
  <c r="K46" i="9"/>
  <c r="J46" i="9" a="1"/>
  <c r="J46" i="9" s="1"/>
  <c r="I46" i="9"/>
  <c r="H46" i="9" a="1"/>
  <c r="H46" i="9" s="1"/>
  <c r="K45" i="9"/>
  <c r="J45" i="9" a="1"/>
  <c r="J45" i="9" s="1"/>
  <c r="I45" i="9"/>
  <c r="H45" i="9" a="1"/>
  <c r="H45" i="9" s="1"/>
  <c r="K44" i="9"/>
  <c r="J70" i="1" s="1" a="1"/>
  <c r="J70" i="1" s="1"/>
  <c r="J44" i="9" a="1"/>
  <c r="J44" i="9" s="1"/>
  <c r="I44" i="9"/>
  <c r="H70" i="1" s="1" a="1"/>
  <c r="H70" i="1" s="1"/>
  <c r="H44" i="9" a="1"/>
  <c r="H44" i="9" s="1"/>
  <c r="K43" i="9"/>
  <c r="J43" i="9" a="1"/>
  <c r="J43" i="9" s="1"/>
  <c r="I43" i="9"/>
  <c r="H69" i="1" s="1" a="1"/>
  <c r="H69" i="1" s="1"/>
  <c r="H43" i="9" a="1"/>
  <c r="H43" i="9" s="1"/>
  <c r="K42" i="9"/>
  <c r="J42" i="9" a="1"/>
  <c r="J42" i="9" s="1"/>
  <c r="I42" i="9"/>
  <c r="H68" i="1" s="1" a="1"/>
  <c r="H68" i="1" s="1"/>
  <c r="H42" i="9" a="1"/>
  <c r="H42" i="9" s="1"/>
  <c r="J41" i="9" a="1"/>
  <c r="J41" i="9" s="1"/>
  <c r="I41" i="9"/>
  <c r="H41" i="9" a="1"/>
  <c r="H41" i="9" s="1"/>
  <c r="K41" i="9" s="1"/>
  <c r="J40" i="9" a="1"/>
  <c r="J40" i="9" s="1"/>
  <c r="I40" i="9"/>
  <c r="H40" i="9" a="1"/>
  <c r="H40" i="9" s="1"/>
  <c r="K40" i="9" s="1"/>
  <c r="J39" i="9" a="1"/>
  <c r="J39" i="9" s="1"/>
  <c r="I39" i="9"/>
  <c r="H39" i="9" a="1"/>
  <c r="H39" i="9" s="1"/>
  <c r="K39" i="9" s="1"/>
  <c r="K38" i="9"/>
  <c r="J38" i="9" a="1"/>
  <c r="J38" i="9" s="1"/>
  <c r="I38" i="9"/>
  <c r="H38" i="9" a="1"/>
  <c r="H38" i="9" s="1"/>
  <c r="J37" i="9" a="1"/>
  <c r="J37" i="9" s="1"/>
  <c r="I37" i="9"/>
  <c r="H37" i="9" a="1"/>
  <c r="H37" i="9" s="1"/>
  <c r="K37" i="9" s="1"/>
  <c r="J36" i="9" a="1"/>
  <c r="J36" i="9" s="1"/>
  <c r="I36" i="9"/>
  <c r="H62" i="1" s="1" a="1"/>
  <c r="H62" i="1" s="1"/>
  <c r="H36" i="9" a="1"/>
  <c r="H36" i="9" s="1"/>
  <c r="K36" i="9" s="1"/>
  <c r="K35" i="9"/>
  <c r="J61" i="1" s="1" a="1"/>
  <c r="J61" i="1" s="1"/>
  <c r="J35" i="9" a="1"/>
  <c r="J35" i="9" s="1"/>
  <c r="I35" i="9"/>
  <c r="H61" i="1" s="1" a="1"/>
  <c r="H61" i="1" s="1"/>
  <c r="H35" i="9" a="1"/>
  <c r="H35" i="9" s="1"/>
  <c r="K34" i="9"/>
  <c r="J34" i="9" a="1"/>
  <c r="J34" i="9" s="1"/>
  <c r="I34" i="9"/>
  <c r="H60" i="1" s="1" a="1"/>
  <c r="H60" i="1" s="1"/>
  <c r="H34" i="9" a="1"/>
  <c r="H34" i="9" s="1"/>
  <c r="K33" i="9"/>
  <c r="J33" i="9" a="1"/>
  <c r="J33" i="9" s="1"/>
  <c r="I33" i="9"/>
  <c r="H33" i="9" a="1"/>
  <c r="H33" i="9" s="1"/>
  <c r="J32" i="9" a="1"/>
  <c r="J32" i="9" s="1"/>
  <c r="I32" i="9"/>
  <c r="H32" i="9" a="1"/>
  <c r="H32" i="9" s="1"/>
  <c r="K32" i="9" s="1"/>
  <c r="J31" i="9" a="1"/>
  <c r="J31" i="9" s="1"/>
  <c r="I31" i="9"/>
  <c r="H31" i="9" a="1"/>
  <c r="H31" i="9" s="1"/>
  <c r="K31" i="9" s="1"/>
  <c r="J30" i="9" a="1"/>
  <c r="J30" i="9" s="1"/>
  <c r="I30" i="9"/>
  <c r="H30" i="9" a="1"/>
  <c r="H30" i="9" s="1"/>
  <c r="K30" i="9" s="1"/>
  <c r="K29" i="9"/>
  <c r="J29" i="9" a="1"/>
  <c r="J29" i="9" s="1"/>
  <c r="I29" i="9"/>
  <c r="H29" i="9" a="1"/>
  <c r="H29" i="9" s="1"/>
  <c r="J28" i="9" a="1"/>
  <c r="J28" i="9" s="1"/>
  <c r="I28" i="9"/>
  <c r="H54" i="1" s="1" a="1"/>
  <c r="H54" i="1" s="1"/>
  <c r="H28" i="9" a="1"/>
  <c r="H28" i="9" s="1"/>
  <c r="K28" i="9" s="1"/>
  <c r="J27" i="9" a="1"/>
  <c r="J27" i="9" s="1"/>
  <c r="I27" i="9"/>
  <c r="H53" i="1" s="1" a="1"/>
  <c r="H53" i="1" s="1"/>
  <c r="H27" i="9" a="1"/>
  <c r="H27" i="9" s="1"/>
  <c r="K27" i="9" s="1"/>
  <c r="J26" i="9" a="1"/>
  <c r="J26" i="9" s="1"/>
  <c r="I26" i="9"/>
  <c r="H52" i="1" s="1" a="1"/>
  <c r="H52" i="1" s="1"/>
  <c r="H26" i="9" a="1"/>
  <c r="H26" i="9" s="1"/>
  <c r="K26" i="9" s="1"/>
  <c r="K25" i="9"/>
  <c r="J25" i="9" a="1"/>
  <c r="J25" i="9" s="1"/>
  <c r="I25" i="9"/>
  <c r="H25" i="9" a="1"/>
  <c r="H25" i="9" s="1"/>
  <c r="J24" i="9" a="1"/>
  <c r="J24" i="9" s="1"/>
  <c r="I24" i="9"/>
  <c r="H24" i="9" a="1"/>
  <c r="H24" i="9" s="1"/>
  <c r="K24" i="9" s="1"/>
  <c r="J23" i="9" a="1"/>
  <c r="J23" i="9" s="1"/>
  <c r="I23" i="9"/>
  <c r="H23" i="9" a="1"/>
  <c r="H23" i="9" s="1"/>
  <c r="K23" i="9" s="1"/>
  <c r="K22" i="9"/>
  <c r="J22" i="9" a="1"/>
  <c r="J22" i="9" s="1"/>
  <c r="I22" i="9"/>
  <c r="H22" i="9" a="1"/>
  <c r="H22" i="9" s="1"/>
  <c r="K21" i="9"/>
  <c r="J21" i="9" a="1"/>
  <c r="J21" i="9" s="1"/>
  <c r="I21" i="9"/>
  <c r="H21" i="9" a="1"/>
  <c r="H21" i="9" s="1"/>
  <c r="K20" i="9"/>
  <c r="J20" i="9" a="1"/>
  <c r="J20" i="9" s="1"/>
  <c r="I20" i="9"/>
  <c r="H46" i="1" s="1" a="1"/>
  <c r="H46" i="1" s="1"/>
  <c r="H20" i="9" a="1"/>
  <c r="H20" i="9" s="1"/>
  <c r="K19" i="9"/>
  <c r="J19" i="9" a="1"/>
  <c r="J19" i="9" s="1"/>
  <c r="I19" i="9"/>
  <c r="H45" i="1" s="1" a="1"/>
  <c r="H45" i="1" s="1"/>
  <c r="H19" i="9" a="1"/>
  <c r="H19" i="9" s="1"/>
  <c r="J18" i="9" a="1"/>
  <c r="J18" i="9" s="1"/>
  <c r="I18" i="9"/>
  <c r="H18" i="9" a="1"/>
  <c r="H18" i="9" s="1"/>
  <c r="K18" i="9" s="1"/>
  <c r="J17" i="9" a="1"/>
  <c r="J17" i="9" s="1"/>
  <c r="I17" i="9"/>
  <c r="H17" i="9" a="1"/>
  <c r="H17" i="9" s="1"/>
  <c r="K17" i="9" s="1"/>
  <c r="J16" i="9" a="1"/>
  <c r="J16" i="9" s="1"/>
  <c r="I16" i="9"/>
  <c r="H16" i="9" a="1"/>
  <c r="H16" i="9" s="1"/>
  <c r="K16" i="9" s="1"/>
  <c r="J15" i="9" a="1"/>
  <c r="J15" i="9" s="1"/>
  <c r="I15" i="9"/>
  <c r="H41" i="1" s="1" a="1"/>
  <c r="H41" i="1" s="1"/>
  <c r="H15" i="9" a="1"/>
  <c r="H15" i="9" s="1"/>
  <c r="K15" i="9" s="1"/>
  <c r="J14" i="9" a="1"/>
  <c r="J14" i="9" s="1"/>
  <c r="I14" i="9"/>
  <c r="H14" i="9" a="1"/>
  <c r="H14" i="9" s="1"/>
  <c r="K14" i="9" s="1"/>
  <c r="K13" i="9"/>
  <c r="J13" i="9" a="1"/>
  <c r="J13" i="9" s="1"/>
  <c r="I13" i="9"/>
  <c r="H13" i="9" a="1"/>
  <c r="H13" i="9" s="1"/>
  <c r="K12" i="9"/>
  <c r="J12" i="9" a="1"/>
  <c r="J12" i="9" s="1"/>
  <c r="I12" i="9"/>
  <c r="H38" i="1" s="1" a="1"/>
  <c r="H38" i="1" s="1"/>
  <c r="H12" i="9" a="1"/>
  <c r="H12" i="9" s="1"/>
  <c r="J11" i="9" a="1"/>
  <c r="J11" i="9" s="1"/>
  <c r="I11" i="9"/>
  <c r="H37" i="1" s="1" a="1"/>
  <c r="H37" i="1" s="1"/>
  <c r="H11" i="9" a="1"/>
  <c r="H11" i="9" s="1"/>
  <c r="K11" i="9" s="1"/>
  <c r="J10" i="9" a="1"/>
  <c r="J10" i="9" s="1"/>
  <c r="I10" i="9"/>
  <c r="H36" i="1" s="1" a="1"/>
  <c r="H36" i="1" s="1"/>
  <c r="H10" i="9" a="1"/>
  <c r="H10" i="9" s="1"/>
  <c r="K10" i="9" s="1"/>
  <c r="J9" i="9" a="1"/>
  <c r="J9" i="9" s="1"/>
  <c r="I9" i="9"/>
  <c r="H9" i="9" a="1"/>
  <c r="H9" i="9" s="1"/>
  <c r="K9" i="9" s="1"/>
  <c r="J8" i="9" a="1"/>
  <c r="J8" i="9" s="1"/>
  <c r="I8" i="9"/>
  <c r="H8" i="9" a="1"/>
  <c r="H8" i="9" s="1"/>
  <c r="K8" i="9" s="1"/>
  <c r="K7" i="9"/>
  <c r="J7" i="9" a="1"/>
  <c r="J7" i="9" s="1"/>
  <c r="I7" i="9"/>
  <c r="H7" i="9" a="1"/>
  <c r="H7" i="9" s="1"/>
  <c r="K6" i="9"/>
  <c r="J6" i="9" a="1"/>
  <c r="J6" i="9" s="1"/>
  <c r="I6" i="9"/>
  <c r="H6" i="9" a="1"/>
  <c r="H6" i="9" s="1"/>
  <c r="J5" i="9" a="1"/>
  <c r="J5" i="9" s="1"/>
  <c r="I5" i="9"/>
  <c r="H5" i="9" a="1"/>
  <c r="H5" i="9" s="1"/>
  <c r="K5" i="9"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5" i="1" a="1"/>
  <c r="G5"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J321" i="1" a="1"/>
  <c r="J321" i="1" s="1"/>
  <c r="J288" i="1" a="1"/>
  <c r="J288" i="1" s="1"/>
  <c r="J233" i="1" a="1"/>
  <c r="J233" i="1" s="1"/>
  <c r="H196" i="1" a="1"/>
  <c r="H196" i="1" s="1"/>
  <c r="H204" i="1" a="1"/>
  <c r="H204" i="1" s="1"/>
  <c r="H213" i="1" a="1"/>
  <c r="H213" i="1" s="1"/>
  <c r="H214" i="1" a="1"/>
  <c r="H214" i="1" s="1"/>
  <c r="H228" i="1" a="1"/>
  <c r="H228" i="1" s="1"/>
  <c r="H230" i="1" a="1"/>
  <c r="H230" i="1" s="1"/>
  <c r="H236" i="1" a="1"/>
  <c r="H236" i="1" s="1"/>
  <c r="H237" i="1" a="1"/>
  <c r="H237" i="1" s="1"/>
  <c r="H244" i="1" a="1"/>
  <c r="H244" i="1" s="1"/>
  <c r="H253" i="1" a="1"/>
  <c r="H253" i="1" s="1"/>
  <c r="H260" i="1" a="1"/>
  <c r="H260" i="1" s="1"/>
  <c r="H261" i="1" a="1"/>
  <c r="H261" i="1" s="1"/>
  <c r="H269" i="1" a="1"/>
  <c r="H269" i="1" s="1"/>
  <c r="H276" i="1" a="1"/>
  <c r="H276" i="1" s="1"/>
  <c r="H278" i="1" a="1"/>
  <c r="H278" i="1" s="1"/>
  <c r="H285" i="1" a="1"/>
  <c r="H285" i="1" s="1"/>
  <c r="H286" i="1" a="1"/>
  <c r="H286" i="1" s="1"/>
  <c r="H292" i="1" a="1"/>
  <c r="H292" i="1" s="1"/>
  <c r="H293" i="1" a="1"/>
  <c r="H293" i="1" s="1"/>
  <c r="H294" i="1" a="1"/>
  <c r="H294" i="1" s="1"/>
  <c r="H295" i="1" a="1"/>
  <c r="H295" i="1" s="1"/>
  <c r="H300" i="1" a="1"/>
  <c r="H300" i="1" s="1"/>
  <c r="H302" i="1" a="1"/>
  <c r="H302" i="1" s="1"/>
  <c r="H309" i="1" a="1"/>
  <c r="H309" i="1" s="1"/>
  <c r="H310" i="1" a="1"/>
  <c r="H310" i="1" s="1"/>
  <c r="H311" i="1" a="1"/>
  <c r="H311" i="1" s="1"/>
  <c r="H316" i="1" a="1"/>
  <c r="H316" i="1" s="1"/>
  <c r="H318" i="1" a="1"/>
  <c r="H318" i="1" s="1"/>
  <c r="H324" i="1" a="1"/>
  <c r="H324" i="1" s="1"/>
  <c r="H327" i="1" a="1"/>
  <c r="H327" i="1" s="1"/>
  <c r="H332" i="1" a="1"/>
  <c r="H332" i="1" s="1"/>
  <c r="J232" i="1" a="1"/>
  <c r="J232" i="1" s="1"/>
  <c r="J254" i="1" a="1"/>
  <c r="J254" i="1" s="1"/>
  <c r="J255" i="1" a="1"/>
  <c r="J255" i="1" s="1"/>
  <c r="J269" i="1" a="1"/>
  <c r="J269" i="1" s="1"/>
  <c r="J270" i="1" a="1"/>
  <c r="J270" i="1" s="1"/>
  <c r="J290" i="1" a="1"/>
  <c r="J290" i="1" s="1"/>
  <c r="J291" i="1" a="1"/>
  <c r="J291" i="1" s="1"/>
  <c r="J292" i="1" a="1"/>
  <c r="J292" i="1" s="1"/>
  <c r="J308" i="1" a="1"/>
  <c r="J308" i="1" s="1"/>
  <c r="J320" i="1" a="1"/>
  <c r="J320" i="1" s="1"/>
  <c r="J324" i="1" a="1"/>
  <c r="J324" i="1" s="1"/>
  <c r="J333" i="1" a="1"/>
  <c r="J333" i="1" s="1"/>
  <c r="H6" i="1" a="1"/>
  <c r="H6" i="1" s="1"/>
  <c r="H15" i="1" a="1"/>
  <c r="H15" i="1" s="1"/>
  <c r="O73" i="6"/>
  <c r="O74" i="6"/>
  <c r="O82" i="6"/>
  <c r="O81" i="6"/>
  <c r="O84" i="6"/>
  <c r="M87" i="6"/>
  <c r="M86" i="6"/>
  <c r="N71" i="6"/>
  <c r="M76" i="6"/>
  <c r="M81" i="6"/>
  <c r="M78" i="6"/>
  <c r="N68" i="6"/>
  <c r="M72" i="6"/>
  <c r="N72" i="6"/>
  <c r="M77" i="6"/>
  <c r="N62" i="6"/>
  <c r="N70" i="6"/>
  <c r="M84" i="6"/>
  <c r="M82" i="6"/>
  <c r="N66" i="6"/>
  <c r="M74" i="6"/>
  <c r="M69" i="6"/>
  <c r="N67" i="6"/>
  <c r="N69" i="6"/>
  <c r="M80" i="6"/>
  <c r="N65" i="6"/>
  <c r="M62" i="6"/>
  <c r="M83" i="6"/>
  <c r="M70" i="6"/>
  <c r="N63" i="6"/>
  <c r="M79" i="6"/>
  <c r="M68" i="6"/>
  <c r="M64" i="6"/>
  <c r="N64" i="6"/>
  <c r="M75" i="6"/>
  <c r="M71" i="6"/>
  <c r="M65" i="6"/>
  <c r="N61" i="6"/>
  <c r="M63" i="6"/>
  <c r="M73" i="6"/>
  <c r="M85" i="6"/>
  <c r="M66" i="6"/>
  <c r="M67" i="6"/>
  <c r="M61" i="6"/>
  <c r="K81" i="1" l="1" a="1"/>
  <c r="K81" i="1" s="1"/>
  <c r="K95" i="1" a="1"/>
  <c r="K95" i="1" s="1"/>
  <c r="K255" i="1" a="1"/>
  <c r="K255" i="1" s="1"/>
  <c r="K159" i="1" a="1"/>
  <c r="K159" i="1" s="1"/>
  <c r="K94" i="1" a="1"/>
  <c r="K94" i="1" s="1"/>
  <c r="K144" i="1" a="1"/>
  <c r="K144" i="1" s="1"/>
  <c r="K321" i="1" a="1"/>
  <c r="K321" i="1" s="1"/>
  <c r="J210" i="1" a="1"/>
  <c r="J210" i="1" s="1"/>
  <c r="K210" i="1" s="1" a="1"/>
  <c r="K210" i="1" s="1"/>
  <c r="K254" i="1" a="1"/>
  <c r="K254" i="1" s="1"/>
  <c r="K309" i="1" a="1"/>
  <c r="K309" i="1" s="1"/>
  <c r="J331" i="1" a="1"/>
  <c r="J331" i="1" s="1"/>
  <c r="J315" i="1" a="1"/>
  <c r="J315" i="1" s="1"/>
  <c r="J299" i="1" a="1"/>
  <c r="J299" i="1" s="1"/>
  <c r="J283" i="1" a="1"/>
  <c r="J283" i="1" s="1"/>
  <c r="J267" i="1" a="1"/>
  <c r="J267" i="1" s="1"/>
  <c r="K267" i="1" s="1" a="1"/>
  <c r="K267" i="1" s="1"/>
  <c r="J243" i="1" a="1"/>
  <c r="J243" i="1" s="1"/>
  <c r="K243" i="1" s="1" a="1"/>
  <c r="K243" i="1" s="1"/>
  <c r="J227" i="1" a="1"/>
  <c r="J227" i="1" s="1"/>
  <c r="K227" i="1" s="1" a="1"/>
  <c r="K227" i="1" s="1"/>
  <c r="J163" i="1" a="1"/>
  <c r="J163" i="1" s="1"/>
  <c r="J139" i="1" a="1"/>
  <c r="J139" i="1" s="1"/>
  <c r="J131" i="1" a="1"/>
  <c r="J131" i="1" s="1"/>
  <c r="J123" i="1" a="1"/>
  <c r="J123" i="1" s="1"/>
  <c r="J115" i="1" a="1"/>
  <c r="J115" i="1" s="1"/>
  <c r="J107" i="1" a="1"/>
  <c r="J107" i="1" s="1"/>
  <c r="K107" i="1" s="1" a="1"/>
  <c r="K107" i="1" s="1"/>
  <c r="J274" i="1" a="1"/>
  <c r="J274" i="1" s="1"/>
  <c r="K274" i="1" s="1" a="1"/>
  <c r="K274" i="1" s="1"/>
  <c r="J266" i="1" a="1"/>
  <c r="J266" i="1" s="1"/>
  <c r="J170" i="1" a="1"/>
  <c r="J170" i="1" s="1"/>
  <c r="J130" i="1" a="1"/>
  <c r="J130" i="1" s="1"/>
  <c r="J122" i="1" a="1"/>
  <c r="J122" i="1" s="1"/>
  <c r="J98" i="1" a="1"/>
  <c r="J98" i="1" s="1"/>
  <c r="J50" i="1" a="1"/>
  <c r="J50" i="1" s="1"/>
  <c r="J330" i="1" a="1"/>
  <c r="J330" i="1" s="1"/>
  <c r="K330" i="1" s="1" a="1"/>
  <c r="K330" i="1" s="1"/>
  <c r="J258" i="1" a="1"/>
  <c r="J258" i="1" s="1"/>
  <c r="K258" i="1" s="1" a="1"/>
  <c r="K258" i="1" s="1"/>
  <c r="K307" i="1" a="1"/>
  <c r="K307" i="1" s="1"/>
  <c r="J329" i="1" a="1"/>
  <c r="J329" i="1" s="1"/>
  <c r="K329" i="1" s="1" a="1"/>
  <c r="K329" i="1" s="1"/>
  <c r="J273" i="1" a="1"/>
  <c r="J273" i="1" s="1"/>
  <c r="K273" i="1" s="1" a="1"/>
  <c r="K273" i="1" s="1"/>
  <c r="J241" i="1" a="1"/>
  <c r="J241" i="1" s="1"/>
  <c r="J225" i="1" a="1"/>
  <c r="J225" i="1" s="1"/>
  <c r="K225" i="1" s="1" a="1"/>
  <c r="K225" i="1" s="1"/>
  <c r="J217" i="1" a="1"/>
  <c r="J217" i="1" s="1"/>
  <c r="J201" i="1" a="1"/>
  <c r="J201" i="1" s="1"/>
  <c r="K201" i="1" s="1" a="1"/>
  <c r="K201" i="1" s="1"/>
  <c r="J193" i="1" a="1"/>
  <c r="J193" i="1" s="1"/>
  <c r="K193" i="1" s="1" a="1"/>
  <c r="K193" i="1" s="1"/>
  <c r="J161" i="1" a="1"/>
  <c r="J161" i="1" s="1"/>
  <c r="K161" i="1" s="1" a="1"/>
  <c r="K161" i="1" s="1"/>
  <c r="J153" i="1" a="1"/>
  <c r="J153" i="1" s="1"/>
  <c r="K153" i="1" s="1" a="1"/>
  <c r="K153" i="1" s="1"/>
  <c r="J137" i="1" a="1"/>
  <c r="J137" i="1" s="1"/>
  <c r="J129" i="1" a="1"/>
  <c r="J129" i="1" s="1"/>
  <c r="K129" i="1" s="1" a="1"/>
  <c r="K129" i="1" s="1"/>
  <c r="J113" i="1" a="1"/>
  <c r="J113" i="1" s="1"/>
  <c r="K113" i="1" s="1" a="1"/>
  <c r="K113" i="1" s="1"/>
  <c r="J97" i="1" a="1"/>
  <c r="J97" i="1" s="1"/>
  <c r="K97" i="1" s="1" a="1"/>
  <c r="K97" i="1" s="1"/>
  <c r="J65" i="1" a="1"/>
  <c r="J65" i="1" s="1"/>
  <c r="K65" i="1" s="1" a="1"/>
  <c r="K65" i="1" s="1"/>
  <c r="J282" i="1" a="1"/>
  <c r="J282" i="1" s="1"/>
  <c r="K282" i="1" s="1" a="1"/>
  <c r="K282" i="1" s="1"/>
  <c r="J234" i="1" a="1"/>
  <c r="J234" i="1" s="1"/>
  <c r="K234" i="1" s="1" a="1"/>
  <c r="K234" i="1" s="1"/>
  <c r="J202" i="1" a="1"/>
  <c r="J202" i="1" s="1"/>
  <c r="K135" i="1" a="1"/>
  <c r="K135" i="1" s="1"/>
  <c r="J257" i="1" a="1"/>
  <c r="J257" i="1" s="1"/>
  <c r="K257" i="1" s="1" a="1"/>
  <c r="K257" i="1" s="1"/>
  <c r="K269" i="1" a="1"/>
  <c r="K269" i="1" s="1"/>
  <c r="J328" i="1" a="1"/>
  <c r="J328" i="1" s="1"/>
  <c r="K328" i="1" s="1" a="1"/>
  <c r="K328" i="1" s="1"/>
  <c r="J296" i="1" a="1"/>
  <c r="J296" i="1" s="1"/>
  <c r="K296" i="1" s="1" a="1"/>
  <c r="K296" i="1" s="1"/>
  <c r="J272" i="1" a="1"/>
  <c r="J272" i="1" s="1"/>
  <c r="K272" i="1" s="1" a="1"/>
  <c r="K272" i="1" s="1"/>
  <c r="J240" i="1" a="1"/>
  <c r="J240" i="1" s="1"/>
  <c r="K240" i="1" s="1" a="1"/>
  <c r="K240" i="1" s="1"/>
  <c r="J208" i="1" a="1"/>
  <c r="J208" i="1" s="1"/>
  <c r="K208" i="1" s="1" a="1"/>
  <c r="K208" i="1" s="1"/>
  <c r="J176" i="1" a="1"/>
  <c r="J176" i="1" s="1"/>
  <c r="K176" i="1" s="1" a="1"/>
  <c r="K176" i="1" s="1"/>
  <c r="J152" i="1" a="1"/>
  <c r="J152" i="1" s="1"/>
  <c r="K152" i="1" s="1" a="1"/>
  <c r="K152" i="1" s="1"/>
  <c r="J120" i="1" a="1"/>
  <c r="J120" i="1" s="1"/>
  <c r="K120" i="1" s="1" a="1"/>
  <c r="K120" i="1" s="1"/>
  <c r="J96" i="1" a="1"/>
  <c r="J96" i="1" s="1"/>
  <c r="K96" i="1" s="1" a="1"/>
  <c r="K96" i="1" s="1"/>
  <c r="J88" i="1" a="1"/>
  <c r="J88" i="1" s="1"/>
  <c r="K88" i="1" s="1" a="1"/>
  <c r="K88" i="1" s="1"/>
  <c r="J56" i="1" a="1"/>
  <c r="J56" i="1" s="1"/>
  <c r="K56" i="1" s="1" a="1"/>
  <c r="K56" i="1" s="1"/>
  <c r="J248" i="1" a="1"/>
  <c r="J248" i="1" s="1"/>
  <c r="K248" i="1" s="1" a="1"/>
  <c r="K248" i="1" s="1"/>
  <c r="J289" i="1" a="1"/>
  <c r="J289" i="1" s="1"/>
  <c r="K289" i="1" s="1" a="1"/>
  <c r="K289" i="1" s="1"/>
  <c r="J279" i="1" a="1"/>
  <c r="J279" i="1" s="1"/>
  <c r="K279" i="1" s="1" a="1"/>
  <c r="K279" i="1" s="1"/>
  <c r="J18" i="1" a="1"/>
  <c r="J18" i="1" s="1"/>
  <c r="K18" i="1" s="1" a="1"/>
  <c r="K18" i="1" s="1"/>
  <c r="J9" i="1" a="1"/>
  <c r="J9" i="1" s="1"/>
  <c r="K9" i="1" s="1" a="1"/>
  <c r="K9" i="1" s="1"/>
  <c r="J298" i="1" a="1"/>
  <c r="J298" i="1" s="1"/>
  <c r="J226" i="1" a="1"/>
  <c r="J226" i="1" s="1"/>
  <c r="K226" i="1" s="1" a="1"/>
  <c r="K226" i="1" s="1"/>
  <c r="J186" i="1" a="1"/>
  <c r="J186" i="1" s="1"/>
  <c r="K186" i="1" s="1" a="1"/>
  <c r="K186" i="1" s="1"/>
  <c r="K206" i="1" a="1"/>
  <c r="K206" i="1" s="1"/>
  <c r="J313" i="1" a="1"/>
  <c r="J313" i="1" s="1"/>
  <c r="K313" i="1" s="1" a="1"/>
  <c r="K313" i="1" s="1"/>
  <c r="J281" i="1" a="1"/>
  <c r="J281" i="1" s="1"/>
  <c r="K281" i="1" s="1" a="1"/>
  <c r="K281" i="1" s="1"/>
  <c r="K325" i="1" a="1"/>
  <c r="K325" i="1" s="1"/>
  <c r="K126" i="1" a="1"/>
  <c r="K126" i="1" s="1"/>
  <c r="J280" i="1" a="1"/>
  <c r="J280" i="1" s="1"/>
  <c r="K280" i="1" s="1" a="1"/>
  <c r="K280" i="1" s="1"/>
  <c r="J256" i="1" a="1"/>
  <c r="J256" i="1" s="1"/>
  <c r="K256" i="1" s="1" a="1"/>
  <c r="K256" i="1" s="1"/>
  <c r="J192" i="1" a="1"/>
  <c r="J192" i="1" s="1"/>
  <c r="K192" i="1" s="1" a="1"/>
  <c r="K192" i="1" s="1"/>
  <c r="J168" i="1" a="1"/>
  <c r="J168" i="1" s="1"/>
  <c r="K168" i="1" s="1" a="1"/>
  <c r="K168" i="1" s="1"/>
  <c r="J128" i="1" a="1"/>
  <c r="J128" i="1" s="1"/>
  <c r="K128" i="1" s="1" a="1"/>
  <c r="K128" i="1" s="1"/>
  <c r="J104" i="1" a="1"/>
  <c r="J104" i="1" s="1"/>
  <c r="K104" i="1" s="1" a="1"/>
  <c r="K104" i="1" s="1"/>
  <c r="K260" i="1" a="1"/>
  <c r="K260" i="1" s="1"/>
  <c r="J327" i="1" a="1"/>
  <c r="J327" i="1" s="1"/>
  <c r="K327" i="1" s="1" a="1"/>
  <c r="K327" i="1" s="1"/>
  <c r="J319" i="1" a="1"/>
  <c r="J319" i="1" s="1"/>
  <c r="K319" i="1" s="1" a="1"/>
  <c r="K319" i="1" s="1"/>
  <c r="J311" i="1" a="1"/>
  <c r="J311" i="1" s="1"/>
  <c r="K311" i="1" s="1" a="1"/>
  <c r="K311" i="1" s="1"/>
  <c r="J303" i="1" a="1"/>
  <c r="J303" i="1" s="1"/>
  <c r="K303" i="1" s="1" a="1"/>
  <c r="K303" i="1" s="1"/>
  <c r="J295" i="1" a="1"/>
  <c r="J295" i="1" s="1"/>
  <c r="K295" i="1" s="1" a="1"/>
  <c r="K295" i="1" s="1"/>
  <c r="J271" i="1" a="1"/>
  <c r="J271" i="1" s="1"/>
  <c r="K271" i="1" s="1" a="1"/>
  <c r="K271" i="1" s="1"/>
  <c r="J263" i="1" a="1"/>
  <c r="J263" i="1" s="1"/>
  <c r="K263" i="1" s="1" a="1"/>
  <c r="K263" i="1" s="1"/>
  <c r="J215" i="1" a="1"/>
  <c r="J215" i="1" s="1"/>
  <c r="K215" i="1" s="1" a="1"/>
  <c r="K215" i="1" s="1"/>
  <c r="J183" i="1" a="1"/>
  <c r="J183" i="1" s="1"/>
  <c r="K183" i="1" s="1" a="1"/>
  <c r="K183" i="1" s="1"/>
  <c r="J143" i="1" a="1"/>
  <c r="J143" i="1" s="1"/>
  <c r="K143" i="1" s="1" a="1"/>
  <c r="K143" i="1" s="1"/>
  <c r="J111" i="1" a="1"/>
  <c r="J111" i="1" s="1"/>
  <c r="K111" i="1" s="1" a="1"/>
  <c r="K111" i="1" s="1"/>
  <c r="J103" i="1" a="1"/>
  <c r="J103" i="1" s="1"/>
  <c r="K103" i="1" s="1" a="1"/>
  <c r="K103" i="1" s="1"/>
  <c r="J249" i="1" a="1"/>
  <c r="J249" i="1" s="1"/>
  <c r="K249" i="1" s="1" a="1"/>
  <c r="K249" i="1" s="1"/>
  <c r="J17" i="1" a="1"/>
  <c r="J17" i="1" s="1"/>
  <c r="K17" i="1" s="1" a="1"/>
  <c r="K17" i="1" s="1"/>
  <c r="K333" i="1" a="1"/>
  <c r="K333" i="1" s="1"/>
  <c r="K205" i="1" a="1"/>
  <c r="K205" i="1" s="1"/>
  <c r="J312" i="1" a="1"/>
  <c r="J312" i="1" s="1"/>
  <c r="K312" i="1" s="1" a="1"/>
  <c r="K312" i="1" s="1"/>
  <c r="J200" i="1" a="1"/>
  <c r="J200" i="1" s="1"/>
  <c r="K200" i="1" s="1" a="1"/>
  <c r="K200" i="1" s="1"/>
  <c r="J136" i="1" a="1"/>
  <c r="J136" i="1" s="1"/>
  <c r="K136" i="1" s="1" a="1"/>
  <c r="K136" i="1" s="1"/>
  <c r="K231" i="1" a="1"/>
  <c r="K231" i="1" s="1"/>
  <c r="K222" i="1" a="1"/>
  <c r="K222" i="1" s="1"/>
  <c r="K102" i="1" a="1"/>
  <c r="K102" i="1" s="1"/>
  <c r="K70" i="1" a="1"/>
  <c r="K70" i="1" s="1"/>
  <c r="J326" i="1" a="1"/>
  <c r="J326" i="1" s="1"/>
  <c r="K326" i="1" s="1" a="1"/>
  <c r="K326" i="1" s="1"/>
  <c r="J318" i="1" a="1"/>
  <c r="J318" i="1" s="1"/>
  <c r="K318" i="1" s="1" a="1"/>
  <c r="K318" i="1" s="1"/>
  <c r="J310" i="1" a="1"/>
  <c r="J310" i="1" s="1"/>
  <c r="K310" i="1" s="1" a="1"/>
  <c r="K310" i="1" s="1"/>
  <c r="J302" i="1" a="1"/>
  <c r="J302" i="1" s="1"/>
  <c r="K302" i="1" s="1" a="1"/>
  <c r="K302" i="1" s="1"/>
  <c r="J294" i="1" a="1"/>
  <c r="J294" i="1" s="1"/>
  <c r="K294" i="1" s="1" a="1"/>
  <c r="K294" i="1" s="1"/>
  <c r="J286" i="1" a="1"/>
  <c r="J286" i="1" s="1"/>
  <c r="K286" i="1" s="1" a="1"/>
  <c r="K286" i="1" s="1"/>
  <c r="J278" i="1" a="1"/>
  <c r="J278" i="1" s="1"/>
  <c r="K278" i="1" s="1" a="1"/>
  <c r="K278" i="1" s="1"/>
  <c r="J262" i="1" a="1"/>
  <c r="J262" i="1" s="1"/>
  <c r="K262" i="1" s="1" a="1"/>
  <c r="K262" i="1" s="1"/>
  <c r="J166" i="1" a="1"/>
  <c r="J166" i="1" s="1"/>
  <c r="K166" i="1" s="1" a="1"/>
  <c r="K166" i="1" s="1"/>
  <c r="J142" i="1" a="1"/>
  <c r="J142" i="1" s="1"/>
  <c r="K142" i="1" s="1" a="1"/>
  <c r="K142" i="1" s="1"/>
  <c r="J110" i="1" a="1"/>
  <c r="J110" i="1" s="1"/>
  <c r="K110" i="1" s="1" a="1"/>
  <c r="K110" i="1" s="1"/>
  <c r="J78" i="1" a="1"/>
  <c r="J78" i="1" s="1"/>
  <c r="K78" i="1" s="1" a="1"/>
  <c r="K78" i="1" s="1"/>
  <c r="J16" i="1" a="1"/>
  <c r="J16" i="1" s="1"/>
  <c r="K16" i="1" s="1" a="1"/>
  <c r="K16" i="1" s="1"/>
  <c r="J314" i="1" a="1"/>
  <c r="J314" i="1" s="1"/>
  <c r="K314" i="1" s="1" a="1"/>
  <c r="K314" i="1" s="1"/>
  <c r="J242" i="1" a="1"/>
  <c r="J242" i="1" s="1"/>
  <c r="K242" i="1" s="1" a="1"/>
  <c r="K242" i="1" s="1"/>
  <c r="J178" i="1" a="1"/>
  <c r="J178" i="1" s="1"/>
  <c r="K178" i="1" s="1" a="1"/>
  <c r="K178" i="1" s="1"/>
  <c r="J8" i="1" a="1"/>
  <c r="J8" i="1" s="1"/>
  <c r="K8" i="1" s="1" a="1"/>
  <c r="K8" i="1" s="1"/>
  <c r="J297" i="1" a="1"/>
  <c r="J297" i="1" s="1"/>
  <c r="K297" i="1" s="1" a="1"/>
  <c r="K297" i="1" s="1"/>
  <c r="J265" i="1" a="1"/>
  <c r="J265" i="1" s="1"/>
  <c r="K265" i="1" s="1" a="1"/>
  <c r="K265" i="1" s="1"/>
  <c r="J25" i="1" a="1"/>
  <c r="J25" i="1" s="1"/>
  <c r="K25" i="1" s="1" a="1"/>
  <c r="K25" i="1" s="1"/>
  <c r="J7" i="1" a="1"/>
  <c r="J7" i="1" s="1"/>
  <c r="K7" i="1" s="1" a="1"/>
  <c r="K7" i="1" s="1"/>
  <c r="K220" i="1" a="1"/>
  <c r="K220" i="1" s="1"/>
  <c r="J317" i="1" a="1"/>
  <c r="J317" i="1" s="1"/>
  <c r="K317" i="1" s="1" a="1"/>
  <c r="K317" i="1" s="1"/>
  <c r="J301" i="1" a="1"/>
  <c r="J301" i="1" s="1"/>
  <c r="K301" i="1" s="1" a="1"/>
  <c r="K301" i="1" s="1"/>
  <c r="J293" i="1" a="1"/>
  <c r="J293" i="1" s="1"/>
  <c r="K293" i="1" s="1" a="1"/>
  <c r="K293" i="1" s="1"/>
  <c r="J285" i="1" a="1"/>
  <c r="J285" i="1" s="1"/>
  <c r="K285" i="1" s="1" a="1"/>
  <c r="K285" i="1" s="1"/>
  <c r="J277" i="1" a="1"/>
  <c r="J277" i="1" s="1"/>
  <c r="K277" i="1" s="1" a="1"/>
  <c r="K277" i="1" s="1"/>
  <c r="J253" i="1" a="1"/>
  <c r="J253" i="1" s="1"/>
  <c r="K253" i="1" s="1" a="1"/>
  <c r="K253" i="1" s="1"/>
  <c r="J245" i="1" a="1"/>
  <c r="J245" i="1" s="1"/>
  <c r="K245" i="1" s="1" a="1"/>
  <c r="K245" i="1" s="1"/>
  <c r="J237" i="1" a="1"/>
  <c r="J237" i="1" s="1"/>
  <c r="K237" i="1" s="1" a="1"/>
  <c r="K237" i="1" s="1"/>
  <c r="J213" i="1" a="1"/>
  <c r="J213" i="1" s="1"/>
  <c r="K213" i="1" s="1" a="1"/>
  <c r="K213" i="1" s="1"/>
  <c r="J197" i="1" a="1"/>
  <c r="J197" i="1" s="1"/>
  <c r="K197" i="1" s="1" a="1"/>
  <c r="K197" i="1" s="1"/>
  <c r="J181" i="1" a="1"/>
  <c r="J181" i="1" s="1"/>
  <c r="K181" i="1" s="1" a="1"/>
  <c r="K181" i="1" s="1"/>
  <c r="J165" i="1" a="1"/>
  <c r="J165" i="1" s="1"/>
  <c r="K165" i="1" s="1" a="1"/>
  <c r="K165" i="1" s="1"/>
  <c r="J332" i="1" a="1"/>
  <c r="J332" i="1" s="1"/>
  <c r="K332" i="1" s="1" a="1"/>
  <c r="K332" i="1" s="1"/>
  <c r="J316" i="1" a="1"/>
  <c r="J316" i="1" s="1"/>
  <c r="K316" i="1" s="1" a="1"/>
  <c r="K316" i="1" s="1"/>
  <c r="J300" i="1" a="1"/>
  <c r="J300" i="1" s="1"/>
  <c r="K300" i="1" s="1" a="1"/>
  <c r="K300" i="1" s="1"/>
  <c r="J284" i="1" a="1"/>
  <c r="J284" i="1" s="1"/>
  <c r="K284" i="1" s="1" a="1"/>
  <c r="K284" i="1" s="1"/>
  <c r="J276" i="1" a="1"/>
  <c r="J276" i="1" s="1"/>
  <c r="K276" i="1" s="1" a="1"/>
  <c r="K276" i="1" s="1"/>
  <c r="J212" i="1" a="1"/>
  <c r="J212" i="1" s="1"/>
  <c r="K212" i="1" s="1" a="1"/>
  <c r="K212" i="1" s="1"/>
  <c r="J204" i="1" a="1"/>
  <c r="J204" i="1" s="1"/>
  <c r="K204" i="1" s="1" a="1"/>
  <c r="K204" i="1" s="1"/>
  <c r="J180" i="1" a="1"/>
  <c r="J180" i="1" s="1"/>
  <c r="K180" i="1" s="1" a="1"/>
  <c r="K180" i="1" s="1"/>
  <c r="J164" i="1" a="1"/>
  <c r="J164" i="1" s="1"/>
  <c r="K164" i="1" s="1" a="1"/>
  <c r="K164" i="1" s="1"/>
  <c r="J140" i="1" a="1"/>
  <c r="J140" i="1" s="1"/>
  <c r="K140" i="1" s="1" a="1"/>
  <c r="K140" i="1" s="1"/>
  <c r="J124" i="1" a="1"/>
  <c r="J124" i="1" s="1"/>
  <c r="K124" i="1" s="1" a="1"/>
  <c r="K124" i="1" s="1"/>
  <c r="J15" i="1" a="1"/>
  <c r="J15" i="1" s="1"/>
  <c r="K15" i="1" s="1" a="1"/>
  <c r="K15" i="1" s="1"/>
  <c r="J6" i="1" a="1"/>
  <c r="J6" i="1" s="1"/>
  <c r="K6" i="1" s="1" a="1"/>
  <c r="K6" i="1" s="1"/>
  <c r="J264" i="1" a="1"/>
  <c r="J264" i="1" s="1"/>
  <c r="K264" i="1" s="1" a="1"/>
  <c r="K264" i="1" s="1"/>
  <c r="J322" i="1" a="1"/>
  <c r="J322" i="1" s="1"/>
  <c r="K322" i="1" s="1" a="1"/>
  <c r="K322" i="1" s="1"/>
  <c r="J305" i="1" a="1"/>
  <c r="J305" i="1" s="1"/>
  <c r="K305" i="1" s="1" a="1"/>
  <c r="K305" i="1" s="1"/>
  <c r="J306" i="1" a="1"/>
  <c r="J306" i="1" s="1"/>
  <c r="K306" i="1" s="1" a="1"/>
  <c r="K306" i="1" s="1"/>
  <c r="K287" i="1" a="1"/>
  <c r="K287" i="1" s="1"/>
  <c r="K207" i="1" a="1"/>
  <c r="K207" i="1" s="1"/>
  <c r="K90" i="1" a="1"/>
  <c r="K90" i="1" s="1"/>
  <c r="K217" i="1" a="1"/>
  <c r="K217" i="1" s="1"/>
  <c r="K137" i="1" a="1"/>
  <c r="K137" i="1" s="1"/>
  <c r="K233" i="1" a="1"/>
  <c r="K233" i="1" s="1"/>
  <c r="K175" i="1" a="1"/>
  <c r="K175" i="1" s="1"/>
  <c r="K73" i="1" a="1"/>
  <c r="K73" i="1" s="1"/>
  <c r="K241" i="1" a="1"/>
  <c r="K241" i="1" s="1"/>
  <c r="K323" i="1" a="1"/>
  <c r="K323" i="1" s="1"/>
  <c r="K291" i="1" a="1"/>
  <c r="K291" i="1" s="1"/>
  <c r="K259" i="1" a="1"/>
  <c r="K259" i="1" s="1"/>
  <c r="K232" i="1" a="1"/>
  <c r="K232" i="1" s="1"/>
  <c r="K86" i="1" a="1"/>
  <c r="K86" i="1" s="1"/>
  <c r="K320" i="1" a="1"/>
  <c r="K320" i="1" s="1"/>
  <c r="K288" i="1" a="1"/>
  <c r="K288" i="1" s="1"/>
  <c r="K308" i="1" a="1"/>
  <c r="K308" i="1" s="1"/>
  <c r="K275" i="1" a="1"/>
  <c r="K275" i="1" s="1"/>
  <c r="K331" i="1" a="1"/>
  <c r="K331" i="1" s="1"/>
  <c r="H331" i="1" a="1"/>
  <c r="H331" i="1" s="1"/>
  <c r="H323" i="1" a="1"/>
  <c r="H323" i="1" s="1"/>
  <c r="H307" i="1" a="1"/>
  <c r="H307" i="1" s="1"/>
  <c r="H267" i="1" a="1"/>
  <c r="H267" i="1" s="1"/>
  <c r="H259" i="1" a="1"/>
  <c r="H259" i="1" s="1"/>
  <c r="H251" i="1" a="1"/>
  <c r="H251" i="1" s="1"/>
  <c r="H235" i="1" a="1"/>
  <c r="H235" i="1" s="1"/>
  <c r="H227" i="1" a="1"/>
  <c r="H227" i="1" s="1"/>
  <c r="H219" i="1" a="1"/>
  <c r="H219" i="1" s="1"/>
  <c r="H211" i="1" a="1"/>
  <c r="H211" i="1" s="1"/>
  <c r="H195" i="1" a="1"/>
  <c r="H195" i="1" s="1"/>
  <c r="H179" i="1" a="1"/>
  <c r="H179" i="1" s="1"/>
  <c r="H163" i="1" a="1"/>
  <c r="H163" i="1" s="1"/>
  <c r="H147" i="1" a="1"/>
  <c r="H147" i="1" s="1"/>
  <c r="H131" i="1" a="1"/>
  <c r="H131" i="1" s="1"/>
  <c r="H99" i="1" a="1"/>
  <c r="H99" i="1" s="1"/>
  <c r="H83" i="1" a="1"/>
  <c r="H83" i="1" s="1"/>
  <c r="H51" i="1" a="1"/>
  <c r="H51" i="1" s="1"/>
  <c r="J121" i="1" a="1"/>
  <c r="J121" i="1" s="1"/>
  <c r="K121" i="1" s="1" a="1"/>
  <c r="K121" i="1" s="1"/>
  <c r="J105" i="1" a="1"/>
  <c r="J105" i="1" s="1"/>
  <c r="K105" i="1" s="1" a="1"/>
  <c r="K105" i="1" s="1"/>
  <c r="J89" i="1" a="1"/>
  <c r="J89" i="1" s="1"/>
  <c r="K89" i="1" s="1" a="1"/>
  <c r="K89" i="1" s="1"/>
  <c r="J57" i="1" a="1"/>
  <c r="J57" i="1" s="1"/>
  <c r="K57" i="1" s="1" a="1"/>
  <c r="K57" i="1" s="1"/>
  <c r="J58" i="1" a="1"/>
  <c r="J58" i="1" s="1"/>
  <c r="K58" i="1" s="1" a="1"/>
  <c r="K58" i="1" s="1"/>
  <c r="J49" i="1" a="1"/>
  <c r="J49" i="1" s="1"/>
  <c r="K49" i="1" s="1" a="1"/>
  <c r="K49" i="1" s="1"/>
  <c r="J41" i="1" a="1"/>
  <c r="J41" i="1" s="1"/>
  <c r="K41" i="1" s="1" a="1"/>
  <c r="K41" i="1" s="1"/>
  <c r="H44" i="1" a="1"/>
  <c r="H44" i="1" s="1"/>
  <c r="H43" i="1" a="1"/>
  <c r="H43" i="1" s="1"/>
  <c r="H35" i="1" a="1"/>
  <c r="H35" i="1" s="1"/>
  <c r="J45" i="1" a="1"/>
  <c r="J45" i="1" s="1"/>
  <c r="K45" i="1" s="1" a="1"/>
  <c r="K45" i="1" s="1"/>
  <c r="H315" i="1" a="1"/>
  <c r="H315" i="1" s="1"/>
  <c r="H299" i="1" a="1"/>
  <c r="H299" i="1" s="1"/>
  <c r="H291" i="1" a="1"/>
  <c r="H291" i="1" s="1"/>
  <c r="H283" i="1" a="1"/>
  <c r="H283" i="1" s="1"/>
  <c r="H275" i="1" a="1"/>
  <c r="H275" i="1" s="1"/>
  <c r="H243" i="1" a="1"/>
  <c r="H243" i="1" s="1"/>
  <c r="H203" i="1" a="1"/>
  <c r="H203" i="1" s="1"/>
  <c r="H187" i="1" a="1"/>
  <c r="H187" i="1" s="1"/>
  <c r="H172" i="1" a="1"/>
  <c r="H172" i="1" s="1"/>
  <c r="H171" i="1" a="1"/>
  <c r="H171" i="1" s="1"/>
  <c r="H156" i="1" a="1"/>
  <c r="H156" i="1" s="1"/>
  <c r="H155" i="1" a="1"/>
  <c r="H155" i="1" s="1"/>
  <c r="H139" i="1" a="1"/>
  <c r="H139" i="1" s="1"/>
  <c r="H123" i="1" a="1"/>
  <c r="H123" i="1" s="1"/>
  <c r="H115" i="1" a="1"/>
  <c r="H115" i="1" s="1"/>
  <c r="H107" i="1" a="1"/>
  <c r="H107" i="1" s="1"/>
  <c r="H91" i="1" a="1"/>
  <c r="H91" i="1" s="1"/>
  <c r="H75" i="1" a="1"/>
  <c r="H75" i="1" s="1"/>
  <c r="H59" i="1" a="1"/>
  <c r="H59" i="1" s="1"/>
  <c r="J154" i="1" a="1"/>
  <c r="J154" i="1" s="1"/>
  <c r="K154" i="1" s="1" a="1"/>
  <c r="K154" i="1" s="1"/>
  <c r="K117" i="1" a="1"/>
  <c r="K117" i="1" s="1"/>
  <c r="J224" i="1" a="1"/>
  <c r="J224" i="1" s="1"/>
  <c r="K224" i="1" s="1" a="1"/>
  <c r="K224" i="1" s="1"/>
  <c r="J216" i="1" a="1"/>
  <c r="J216" i="1" s="1"/>
  <c r="K216" i="1" s="1" a="1"/>
  <c r="K216" i="1" s="1"/>
  <c r="J112" i="1" a="1"/>
  <c r="J112" i="1" s="1"/>
  <c r="K112" i="1" s="1" a="1"/>
  <c r="K112" i="1" s="1"/>
  <c r="J40" i="1" a="1"/>
  <c r="J40" i="1" s="1"/>
  <c r="K40" i="1" s="1" a="1"/>
  <c r="K40" i="1" s="1"/>
  <c r="H42" i="1" a="1"/>
  <c r="H42" i="1" s="1"/>
  <c r="H34" i="1" a="1"/>
  <c r="H34" i="1" s="1"/>
  <c r="J39" i="1" a="1"/>
  <c r="J39" i="1" s="1"/>
  <c r="K39" i="1" s="1" a="1"/>
  <c r="K39" i="1" s="1"/>
  <c r="H13" i="1" a="1"/>
  <c r="H13" i="1" s="1"/>
  <c r="H11" i="1" a="1"/>
  <c r="H11" i="1" s="1"/>
  <c r="J22" i="1" a="1"/>
  <c r="J22" i="1" s="1"/>
  <c r="K22" i="1" s="1" a="1"/>
  <c r="K22" i="1" s="1"/>
  <c r="J60" i="1" a="1"/>
  <c r="J60" i="1" s="1"/>
  <c r="K60" i="1" s="1" a="1"/>
  <c r="K60" i="1" s="1"/>
  <c r="H19" i="1" a="1"/>
  <c r="H19" i="1" s="1"/>
  <c r="H10" i="1" a="1"/>
  <c r="H10" i="1" s="1"/>
  <c r="J21" i="1" a="1"/>
  <c r="J21" i="1" s="1"/>
  <c r="K21" i="1" s="1" a="1"/>
  <c r="K21" i="1" s="1"/>
  <c r="K290" i="1" a="1"/>
  <c r="K290" i="1" s="1"/>
  <c r="J174" i="1" a="1"/>
  <c r="J174" i="1" s="1"/>
  <c r="K174" i="1" s="1" a="1"/>
  <c r="K174" i="1" s="1"/>
  <c r="J72" i="1" a="1"/>
  <c r="J72" i="1" s="1"/>
  <c r="K72" i="1" s="1" a="1"/>
  <c r="K72" i="1" s="1"/>
  <c r="J59" i="1" a="1"/>
  <c r="J59" i="1" s="1"/>
  <c r="K59" i="1" s="1" a="1"/>
  <c r="K59" i="1" s="1"/>
  <c r="H330" i="1" a="1"/>
  <c r="H330" i="1" s="1"/>
  <c r="H322" i="1" a="1"/>
  <c r="H322" i="1" s="1"/>
  <c r="H314" i="1" a="1"/>
  <c r="H314" i="1" s="1"/>
  <c r="H306" i="1" a="1"/>
  <c r="H306" i="1" s="1"/>
  <c r="H298" i="1" a="1"/>
  <c r="H298" i="1" s="1"/>
  <c r="H290" i="1" a="1"/>
  <c r="H290" i="1" s="1"/>
  <c r="H282" i="1" a="1"/>
  <c r="H282" i="1" s="1"/>
  <c r="H274" i="1" a="1"/>
  <c r="H274" i="1" s="1"/>
  <c r="H266" i="1" a="1"/>
  <c r="H266" i="1" s="1"/>
  <c r="H258" i="1" a="1"/>
  <c r="H258" i="1" s="1"/>
  <c r="H250" i="1" a="1"/>
  <c r="H250" i="1" s="1"/>
  <c r="H242" i="1" a="1"/>
  <c r="H242" i="1" s="1"/>
  <c r="H234" i="1" a="1"/>
  <c r="H234" i="1" s="1"/>
  <c r="H226" i="1" a="1"/>
  <c r="H226" i="1" s="1"/>
  <c r="H218" i="1" a="1"/>
  <c r="H218" i="1" s="1"/>
  <c r="H210" i="1" a="1"/>
  <c r="H210" i="1" s="1"/>
  <c r="H202" i="1" a="1"/>
  <c r="H202" i="1" s="1"/>
  <c r="H194" i="1" a="1"/>
  <c r="H194" i="1" s="1"/>
  <c r="H186" i="1" a="1"/>
  <c r="H186" i="1" s="1"/>
  <c r="H178" i="1" a="1"/>
  <c r="H178" i="1" s="1"/>
  <c r="H170" i="1" a="1"/>
  <c r="H170" i="1" s="1"/>
  <c r="H162" i="1" a="1"/>
  <c r="H162" i="1" s="1"/>
  <c r="H154" i="1" a="1"/>
  <c r="H154" i="1" s="1"/>
  <c r="H146" i="1" a="1"/>
  <c r="H146" i="1" s="1"/>
  <c r="H138" i="1" a="1"/>
  <c r="H138" i="1" s="1"/>
  <c r="H130" i="1" a="1"/>
  <c r="H130" i="1" s="1"/>
  <c r="H122" i="1" a="1"/>
  <c r="H122" i="1" s="1"/>
  <c r="H114" i="1" a="1"/>
  <c r="H114" i="1" s="1"/>
  <c r="H106" i="1" a="1"/>
  <c r="H106" i="1" s="1"/>
  <c r="H98" i="1" a="1"/>
  <c r="H98" i="1" s="1"/>
  <c r="H90" i="1" a="1"/>
  <c r="H90" i="1" s="1"/>
  <c r="H82" i="1" a="1"/>
  <c r="H82" i="1" s="1"/>
  <c r="H74" i="1" a="1"/>
  <c r="H74" i="1" s="1"/>
  <c r="H66" i="1" a="1"/>
  <c r="H66" i="1" s="1"/>
  <c r="H67" i="1" a="1"/>
  <c r="H67" i="1" s="1"/>
  <c r="H50" i="1" a="1"/>
  <c r="H50" i="1" s="1"/>
  <c r="H5" i="1" a="1"/>
  <c r="H5" i="1" s="1"/>
  <c r="H18" i="1" a="1"/>
  <c r="H18" i="1" s="1"/>
  <c r="H9" i="1" a="1"/>
  <c r="H9" i="1" s="1"/>
  <c r="J20" i="1" a="1"/>
  <c r="J20" i="1" s="1"/>
  <c r="K20" i="1" s="1" a="1"/>
  <c r="K20" i="1" s="1"/>
  <c r="J173" i="1" a="1"/>
  <c r="J173" i="1" s="1"/>
  <c r="K173" i="1" s="1" a="1"/>
  <c r="K173" i="1" s="1"/>
  <c r="K145" i="1" a="1"/>
  <c r="K145" i="1" s="1"/>
  <c r="J109" i="1" a="1"/>
  <c r="J109" i="1" s="1"/>
  <c r="K109" i="1" s="1" a="1"/>
  <c r="K109" i="1" s="1"/>
  <c r="J85" i="1" a="1"/>
  <c r="J85" i="1" s="1"/>
  <c r="K85" i="1" s="1" a="1"/>
  <c r="K85" i="1" s="1"/>
  <c r="J71" i="1" a="1"/>
  <c r="J71" i="1" s="1"/>
  <c r="K71" i="1" s="1" a="1"/>
  <c r="K71" i="1" s="1"/>
  <c r="J55" i="1" a="1"/>
  <c r="J55" i="1" s="1"/>
  <c r="K55" i="1" s="1" a="1"/>
  <c r="K55" i="1" s="1"/>
  <c r="H329" i="1" a="1"/>
  <c r="H329" i="1" s="1"/>
  <c r="H321" i="1" a="1"/>
  <c r="H321" i="1" s="1"/>
  <c r="H313" i="1" a="1"/>
  <c r="H313" i="1" s="1"/>
  <c r="H305" i="1" a="1"/>
  <c r="H305" i="1" s="1"/>
  <c r="H297" i="1" a="1"/>
  <c r="H297" i="1" s="1"/>
  <c r="H289" i="1" a="1"/>
  <c r="H289" i="1" s="1"/>
  <c r="H281" i="1" a="1"/>
  <c r="H281" i="1" s="1"/>
  <c r="H273" i="1" a="1"/>
  <c r="H273" i="1" s="1"/>
  <c r="H265" i="1" a="1"/>
  <c r="H265" i="1" s="1"/>
  <c r="H257" i="1" a="1"/>
  <c r="H257" i="1" s="1"/>
  <c r="H249" i="1" a="1"/>
  <c r="H249" i="1" s="1"/>
  <c r="H241" i="1" a="1"/>
  <c r="H241" i="1" s="1"/>
  <c r="H233" i="1" a="1"/>
  <c r="H233" i="1" s="1"/>
  <c r="H225" i="1" a="1"/>
  <c r="H225" i="1" s="1"/>
  <c r="H217" i="1" a="1"/>
  <c r="H217" i="1" s="1"/>
  <c r="H209" i="1" a="1"/>
  <c r="H209" i="1" s="1"/>
  <c r="H201" i="1" a="1"/>
  <c r="H201" i="1" s="1"/>
  <c r="H193" i="1" a="1"/>
  <c r="H193" i="1" s="1"/>
  <c r="H185" i="1" a="1"/>
  <c r="H185" i="1" s="1"/>
  <c r="H177" i="1" a="1"/>
  <c r="H177" i="1" s="1"/>
  <c r="H169" i="1" a="1"/>
  <c r="H169" i="1" s="1"/>
  <c r="H161" i="1" a="1"/>
  <c r="H161" i="1" s="1"/>
  <c r="H153" i="1" a="1"/>
  <c r="H153" i="1" s="1"/>
  <c r="H145" i="1" a="1"/>
  <c r="H145" i="1" s="1"/>
  <c r="H137" i="1" a="1"/>
  <c r="H137" i="1" s="1"/>
  <c r="H129" i="1" a="1"/>
  <c r="H129" i="1" s="1"/>
  <c r="H121" i="1" a="1"/>
  <c r="H121" i="1" s="1"/>
  <c r="H113" i="1" a="1"/>
  <c r="H113" i="1" s="1"/>
  <c r="H105" i="1" a="1"/>
  <c r="H105" i="1" s="1"/>
  <c r="H97" i="1" a="1"/>
  <c r="H97" i="1" s="1"/>
  <c r="H89" i="1" a="1"/>
  <c r="H89" i="1" s="1"/>
  <c r="H81" i="1" a="1"/>
  <c r="H81" i="1" s="1"/>
  <c r="H73" i="1" a="1"/>
  <c r="H73" i="1" s="1"/>
  <c r="H65" i="1" a="1"/>
  <c r="H65" i="1" s="1"/>
  <c r="H57" i="1" a="1"/>
  <c r="H57" i="1" s="1"/>
  <c r="H58" i="1" a="1"/>
  <c r="H58" i="1" s="1"/>
  <c r="H49" i="1" a="1"/>
  <c r="H49" i="1" s="1"/>
  <c r="J239" i="1" a="1"/>
  <c r="J239" i="1" s="1"/>
  <c r="K239" i="1" s="1" a="1"/>
  <c r="K239" i="1" s="1"/>
  <c r="J191" i="1" a="1"/>
  <c r="J191" i="1" s="1"/>
  <c r="K191" i="1" s="1" a="1"/>
  <c r="K191" i="1" s="1"/>
  <c r="H20" i="1" a="1"/>
  <c r="H20" i="1" s="1"/>
  <c r="H17" i="1" a="1"/>
  <c r="H17" i="1" s="1"/>
  <c r="H8" i="1" a="1"/>
  <c r="H8" i="1" s="1"/>
  <c r="J19" i="1" a="1"/>
  <c r="J19" i="1" s="1"/>
  <c r="K19" i="1" s="1" a="1"/>
  <c r="K19" i="1" s="1"/>
  <c r="H328" i="1" a="1"/>
  <c r="H328" i="1" s="1"/>
  <c r="H320" i="1" a="1"/>
  <c r="H320" i="1" s="1"/>
  <c r="H296" i="1" a="1"/>
  <c r="H296" i="1" s="1"/>
  <c r="H288" i="1" a="1"/>
  <c r="H288" i="1" s="1"/>
  <c r="H272" i="1" a="1"/>
  <c r="H272" i="1" s="1"/>
  <c r="H264" i="1" a="1"/>
  <c r="H264" i="1" s="1"/>
  <c r="H216" i="1" a="1"/>
  <c r="H216" i="1" s="1"/>
  <c r="H200" i="1" a="1"/>
  <c r="H200" i="1" s="1"/>
  <c r="J33" i="1" a="1"/>
  <c r="J33" i="1" s="1"/>
  <c r="K33" i="1" s="1" a="1"/>
  <c r="K33" i="1" s="1"/>
  <c r="J11" i="1" a="1"/>
  <c r="J11" i="1" s="1"/>
  <c r="K11" i="1" s="1" a="1"/>
  <c r="K11" i="1" s="1"/>
  <c r="J13" i="1" a="1"/>
  <c r="J13" i="1" s="1"/>
  <c r="K13" i="1" s="1" a="1"/>
  <c r="K13" i="1" s="1"/>
  <c r="H30" i="1" a="1"/>
  <c r="H30" i="1" s="1"/>
  <c r="J108" i="1" a="1"/>
  <c r="J108" i="1" s="1"/>
  <c r="K108" i="1" s="1" a="1"/>
  <c r="K108" i="1" s="1"/>
  <c r="J82" i="1" a="1"/>
  <c r="J82" i="1" s="1"/>
  <c r="K82" i="1" s="1" a="1"/>
  <c r="K82" i="1" s="1"/>
  <c r="J51" i="1" a="1"/>
  <c r="J51" i="1" s="1"/>
  <c r="K51" i="1" s="1" a="1"/>
  <c r="K51" i="1" s="1"/>
  <c r="H312" i="1" a="1"/>
  <c r="H312" i="1" s="1"/>
  <c r="H304" i="1" a="1"/>
  <c r="H304" i="1" s="1"/>
  <c r="H280" i="1" a="1"/>
  <c r="H280" i="1" s="1"/>
  <c r="H256" i="1" a="1"/>
  <c r="H256" i="1" s="1"/>
  <c r="H248" i="1" a="1"/>
  <c r="H248" i="1" s="1"/>
  <c r="H240" i="1" a="1"/>
  <c r="H240" i="1" s="1"/>
  <c r="H232" i="1" a="1"/>
  <c r="H232" i="1" s="1"/>
  <c r="H224" i="1" a="1"/>
  <c r="H224" i="1" s="1"/>
  <c r="H208" i="1" a="1"/>
  <c r="H208" i="1" s="1"/>
  <c r="H192" i="1" a="1"/>
  <c r="H192" i="1" s="1"/>
  <c r="H184" i="1" a="1"/>
  <c r="H184" i="1" s="1"/>
  <c r="H176" i="1" a="1"/>
  <c r="H176" i="1" s="1"/>
  <c r="H168" i="1" a="1"/>
  <c r="H168" i="1" s="1"/>
  <c r="H160" i="1" a="1"/>
  <c r="H160" i="1" s="1"/>
  <c r="H152" i="1" a="1"/>
  <c r="H152" i="1" s="1"/>
  <c r="H144" i="1" a="1"/>
  <c r="H144" i="1" s="1"/>
  <c r="H136" i="1" a="1"/>
  <c r="H136" i="1" s="1"/>
  <c r="H128" i="1" a="1"/>
  <c r="H128" i="1" s="1"/>
  <c r="H120" i="1" a="1"/>
  <c r="H120" i="1" s="1"/>
  <c r="H112" i="1" a="1"/>
  <c r="H112" i="1" s="1"/>
  <c r="H104" i="1" a="1"/>
  <c r="H104" i="1" s="1"/>
  <c r="H96" i="1" a="1"/>
  <c r="H96" i="1" s="1"/>
  <c r="H88" i="1" a="1"/>
  <c r="H88" i="1" s="1"/>
  <c r="H80" i="1" a="1"/>
  <c r="H80" i="1" s="1"/>
  <c r="H72" i="1" a="1"/>
  <c r="H72" i="1" s="1"/>
  <c r="H64" i="1" a="1"/>
  <c r="H64" i="1" s="1"/>
  <c r="H56" i="1" a="1"/>
  <c r="H56" i="1" s="1"/>
  <c r="H48" i="1" a="1"/>
  <c r="H48" i="1" s="1"/>
  <c r="J238" i="1" a="1"/>
  <c r="J238" i="1" s="1"/>
  <c r="K238" i="1" s="1" a="1"/>
  <c r="K238" i="1" s="1"/>
  <c r="J182" i="1" a="1"/>
  <c r="J182" i="1" s="1"/>
  <c r="K182" i="1" s="1" a="1"/>
  <c r="K182" i="1" s="1"/>
  <c r="J62" i="1" a="1"/>
  <c r="J62" i="1" s="1"/>
  <c r="K62" i="1" s="1" a="1"/>
  <c r="K62" i="1" s="1"/>
  <c r="H40" i="1" a="1"/>
  <c r="H40" i="1" s="1"/>
  <c r="H32" i="1" a="1"/>
  <c r="H32" i="1" s="1"/>
  <c r="J10" i="1" a="1"/>
  <c r="J10" i="1" s="1"/>
  <c r="K10" i="1" s="1" a="1"/>
  <c r="K10" i="1" s="1"/>
  <c r="H25" i="1" a="1"/>
  <c r="H25" i="1" s="1"/>
  <c r="H7" i="1" a="1"/>
  <c r="H7" i="1" s="1"/>
  <c r="J12" i="1" a="1"/>
  <c r="J12" i="1" s="1"/>
  <c r="K12" i="1" s="1" a="1"/>
  <c r="K12" i="1" s="1"/>
  <c r="J261" i="1" a="1"/>
  <c r="J261" i="1" s="1"/>
  <c r="K261" i="1" s="1" a="1"/>
  <c r="K261" i="1" s="1"/>
  <c r="J141" i="1" a="1"/>
  <c r="J141" i="1" s="1"/>
  <c r="K141" i="1" s="1" a="1"/>
  <c r="K141" i="1" s="1"/>
  <c r="J93" i="1" a="1"/>
  <c r="J93" i="1" s="1"/>
  <c r="K93" i="1" s="1" a="1"/>
  <c r="K93" i="1" s="1"/>
  <c r="J53" i="1" a="1"/>
  <c r="J53" i="1" s="1"/>
  <c r="K53" i="1" s="1" a="1"/>
  <c r="K53" i="1" s="1"/>
  <c r="J37" i="1" a="1"/>
  <c r="J37" i="1" s="1"/>
  <c r="K37" i="1" s="1" a="1"/>
  <c r="K37" i="1" s="1"/>
  <c r="H47" i="1" a="1"/>
  <c r="H47" i="1" s="1"/>
  <c r="H39" i="1" a="1"/>
  <c r="H39" i="1" s="1"/>
  <c r="H31" i="1" a="1"/>
  <c r="H31" i="1" s="1"/>
  <c r="J32" i="1" a="1"/>
  <c r="J32" i="1" s="1"/>
  <c r="K32" i="1" s="1" a="1"/>
  <c r="K32" i="1" s="1"/>
  <c r="J194" i="1" a="1"/>
  <c r="J194" i="1" s="1"/>
  <c r="K194" i="1" s="1" a="1"/>
  <c r="K194" i="1" s="1"/>
  <c r="J162" i="1" a="1"/>
  <c r="J162" i="1" s="1"/>
  <c r="K162" i="1" s="1" a="1"/>
  <c r="K162" i="1" s="1"/>
  <c r="J221" i="1" a="1"/>
  <c r="J221" i="1" s="1"/>
  <c r="K221" i="1" s="1" a="1"/>
  <c r="K221" i="1" s="1"/>
  <c r="J157" i="1" a="1"/>
  <c r="J157" i="1" s="1"/>
  <c r="K157" i="1" s="1" a="1"/>
  <c r="K157" i="1" s="1"/>
  <c r="J118" i="1" a="1"/>
  <c r="J118" i="1" s="1"/>
  <c r="K118" i="1" s="1" a="1"/>
  <c r="K118" i="1" s="1"/>
  <c r="J195" i="1" a="1"/>
  <c r="J195" i="1" s="1"/>
  <c r="K195" i="1" s="1" a="1"/>
  <c r="K195" i="1" s="1"/>
  <c r="J169" i="1" a="1"/>
  <c r="J169" i="1" s="1"/>
  <c r="K169" i="1" s="1" a="1"/>
  <c r="K169" i="1" s="1"/>
  <c r="J230" i="1" a="1"/>
  <c r="J230" i="1" s="1"/>
  <c r="K230" i="1" s="1" a="1"/>
  <c r="K230" i="1" s="1"/>
  <c r="J214" i="1" a="1"/>
  <c r="J214" i="1" s="1"/>
  <c r="K214" i="1" s="1" a="1"/>
  <c r="K214" i="1" s="1"/>
  <c r="J198" i="1" a="1"/>
  <c r="J198" i="1" s="1"/>
  <c r="K198" i="1" s="1" a="1"/>
  <c r="K198" i="1" s="1"/>
  <c r="J199" i="1" a="1"/>
  <c r="J199" i="1" s="1"/>
  <c r="K199" i="1" s="1" a="1"/>
  <c r="K199" i="1" s="1"/>
  <c r="J150" i="1" a="1"/>
  <c r="J150" i="1" s="1"/>
  <c r="K150" i="1" s="1" a="1"/>
  <c r="K150" i="1" s="1"/>
  <c r="K250" i="1" a="1"/>
  <c r="K250" i="1" s="1"/>
  <c r="J69" i="1" a="1"/>
  <c r="J69" i="1" s="1"/>
  <c r="K69" i="1" s="1" a="1"/>
  <c r="K69" i="1" s="1"/>
  <c r="J48" i="1" a="1"/>
  <c r="J48" i="1" s="1"/>
  <c r="K48" i="1" s="1" a="1"/>
  <c r="K48" i="1" s="1"/>
  <c r="J229" i="1" a="1"/>
  <c r="J229" i="1" s="1"/>
  <c r="K229" i="1" s="1" a="1"/>
  <c r="K229" i="1" s="1"/>
  <c r="J133" i="1" a="1"/>
  <c r="J133" i="1" s="1"/>
  <c r="K133" i="1" s="1" a="1"/>
  <c r="K133" i="1" s="1"/>
  <c r="J77" i="1" a="1"/>
  <c r="J77" i="1" s="1"/>
  <c r="K77" i="1" s="1" a="1"/>
  <c r="K77" i="1" s="1"/>
  <c r="K270" i="1" a="1"/>
  <c r="K270" i="1" s="1"/>
  <c r="J246" i="1" a="1"/>
  <c r="J246" i="1" s="1"/>
  <c r="K246" i="1" s="1" a="1"/>
  <c r="K246" i="1" s="1"/>
  <c r="K184" i="1" a="1"/>
  <c r="K184" i="1" s="1"/>
  <c r="J79" i="1" a="1"/>
  <c r="J79" i="1" s="1"/>
  <c r="K79" i="1" s="1" a="1"/>
  <c r="K79" i="1" s="1"/>
  <c r="J64" i="1" a="1"/>
  <c r="J64" i="1" s="1"/>
  <c r="K64" i="1" s="1" a="1"/>
  <c r="K64" i="1" s="1"/>
  <c r="H333" i="1" a="1"/>
  <c r="H333" i="1" s="1"/>
  <c r="H325" i="1" a="1"/>
  <c r="H325" i="1" s="1"/>
  <c r="H317" i="1" a="1"/>
  <c r="H317" i="1" s="1"/>
  <c r="J54" i="1" a="1"/>
  <c r="J54" i="1" s="1"/>
  <c r="K54" i="1" s="1" a="1"/>
  <c r="K54" i="1" s="1"/>
  <c r="H16" i="1" a="1"/>
  <c r="H16" i="1" s="1"/>
  <c r="H271" i="1" a="1"/>
  <c r="H271" i="1" s="1"/>
  <c r="H263" i="1" a="1"/>
  <c r="H263" i="1" s="1"/>
  <c r="H255" i="1" a="1"/>
  <c r="H255" i="1" s="1"/>
  <c r="H247" i="1" a="1"/>
  <c r="H247" i="1" s="1"/>
  <c r="H239" i="1" a="1"/>
  <c r="H239" i="1" s="1"/>
  <c r="H231" i="1" a="1"/>
  <c r="H231" i="1" s="1"/>
  <c r="H223" i="1" a="1"/>
  <c r="H223" i="1" s="1"/>
  <c r="H215" i="1" a="1"/>
  <c r="H215" i="1" s="1"/>
  <c r="H207" i="1" a="1"/>
  <c r="H207" i="1" s="1"/>
  <c r="H191" i="1" a="1"/>
  <c r="H191" i="1" s="1"/>
  <c r="H183" i="1" a="1"/>
  <c r="H183" i="1" s="1"/>
  <c r="H175" i="1" a="1"/>
  <c r="H175" i="1" s="1"/>
  <c r="H167" i="1" a="1"/>
  <c r="H167" i="1" s="1"/>
  <c r="H159" i="1" a="1"/>
  <c r="H159" i="1" s="1"/>
  <c r="H151" i="1" a="1"/>
  <c r="H151" i="1" s="1"/>
  <c r="H143" i="1" a="1"/>
  <c r="H143" i="1" s="1"/>
  <c r="H135" i="1" a="1"/>
  <c r="H135" i="1" s="1"/>
  <c r="H127" i="1" a="1"/>
  <c r="H127" i="1" s="1"/>
  <c r="H119" i="1" a="1"/>
  <c r="H119" i="1" s="1"/>
  <c r="H111" i="1" a="1"/>
  <c r="H111" i="1" s="1"/>
  <c r="H103" i="1" a="1"/>
  <c r="H103" i="1" s="1"/>
  <c r="H95" i="1" a="1"/>
  <c r="H95" i="1" s="1"/>
  <c r="H87" i="1" a="1"/>
  <c r="H87" i="1" s="1"/>
  <c r="H79" i="1" a="1"/>
  <c r="H79" i="1" s="1"/>
  <c r="H71" i="1" a="1"/>
  <c r="H71" i="1" s="1"/>
  <c r="H63" i="1" a="1"/>
  <c r="H63" i="1" s="1"/>
  <c r="H55" i="1" a="1"/>
  <c r="H55" i="1" s="1"/>
  <c r="J149" i="1" a="1"/>
  <c r="J149" i="1" s="1"/>
  <c r="K149" i="1" s="1" a="1"/>
  <c r="K149" i="1" s="1"/>
  <c r="J125" i="1" a="1"/>
  <c r="J125" i="1" s="1"/>
  <c r="K125" i="1" s="1" a="1"/>
  <c r="K125" i="1" s="1"/>
  <c r="H22" i="1" a="1"/>
  <c r="H22" i="1" s="1"/>
  <c r="H14" i="1" a="1"/>
  <c r="H14" i="1" s="1"/>
  <c r="J30" i="1" a="1"/>
  <c r="J30" i="1" s="1"/>
  <c r="K30" i="1" s="1" a="1"/>
  <c r="K30" i="1" s="1"/>
  <c r="K304" i="1" a="1"/>
  <c r="K304" i="1" s="1"/>
  <c r="K218" i="1" a="1"/>
  <c r="K218" i="1" s="1"/>
  <c r="J127" i="1" a="1"/>
  <c r="J127" i="1" s="1"/>
  <c r="K127" i="1" s="1" a="1"/>
  <c r="K127" i="1" s="1"/>
  <c r="H21" i="1" a="1"/>
  <c r="H21" i="1" s="1"/>
  <c r="H12" i="1" a="1"/>
  <c r="H12" i="1" s="1"/>
  <c r="J23" i="1" a="1"/>
  <c r="J23" i="1" s="1"/>
  <c r="K23" i="1" s="1" a="1"/>
  <c r="K23" i="1" s="1"/>
  <c r="J24" i="1" a="1"/>
  <c r="J24" i="1" s="1"/>
  <c r="K24" i="1" s="1" a="1"/>
  <c r="K24" i="1" s="1"/>
  <c r="J26" i="1" a="1"/>
  <c r="J26" i="1" s="1"/>
  <c r="K26" i="1" s="1" a="1"/>
  <c r="K26" i="1" s="1"/>
  <c r="J27" i="1" a="1"/>
  <c r="J27" i="1" s="1"/>
  <c r="K27" i="1" s="1" a="1"/>
  <c r="K27" i="1" s="1"/>
  <c r="J28" i="1" a="1"/>
  <c r="J28" i="1" s="1"/>
  <c r="K28" i="1" s="1" a="1"/>
  <c r="K28" i="1" s="1"/>
  <c r="J29" i="1" a="1"/>
  <c r="J29" i="1" s="1"/>
  <c r="K29" i="1" s="1" a="1"/>
  <c r="K29" i="1" s="1"/>
  <c r="K324" i="1" a="1"/>
  <c r="K324" i="1" s="1"/>
  <c r="K292" i="1" a="1"/>
  <c r="K292" i="1" s="1"/>
  <c r="J235" i="1" a="1"/>
  <c r="J235" i="1" s="1"/>
  <c r="K235" i="1" s="1" a="1"/>
  <c r="K235" i="1" s="1"/>
  <c r="J209" i="1" a="1"/>
  <c r="J209" i="1" s="1"/>
  <c r="K209" i="1" s="1" a="1"/>
  <c r="K209" i="1" s="1"/>
  <c r="K177" i="1" a="1"/>
  <c r="K177" i="1" s="1"/>
  <c r="H33" i="1" a="1"/>
  <c r="H33" i="1" s="1"/>
  <c r="J167" i="1" a="1"/>
  <c r="J167" i="1" s="1"/>
  <c r="K167" i="1" s="1" a="1"/>
  <c r="K167" i="1" s="1"/>
  <c r="J151" i="1" a="1"/>
  <c r="J151" i="1" s="1"/>
  <c r="K151" i="1" s="1" a="1"/>
  <c r="K151" i="1" s="1"/>
  <c r="J119" i="1" a="1"/>
  <c r="J119" i="1" s="1"/>
  <c r="K119" i="1" s="1" a="1"/>
  <c r="K119" i="1" s="1"/>
  <c r="J87" i="1" a="1"/>
  <c r="J87" i="1" s="1"/>
  <c r="K87" i="1" s="1" a="1"/>
  <c r="K87" i="1" s="1"/>
  <c r="J63" i="1" a="1"/>
  <c r="J63" i="1" s="1"/>
  <c r="K63" i="1" s="1" a="1"/>
  <c r="K63" i="1" s="1"/>
  <c r="J31" i="1" a="1"/>
  <c r="J31" i="1" s="1"/>
  <c r="K31" i="1" s="1" a="1"/>
  <c r="K31" i="1" s="1"/>
  <c r="J38" i="1" a="1"/>
  <c r="J38" i="1" s="1"/>
  <c r="K38" i="1" s="1" a="1"/>
  <c r="K38" i="1" s="1"/>
  <c r="H27" i="1" a="1"/>
  <c r="H27" i="1" s="1"/>
  <c r="H29" i="1" a="1"/>
  <c r="H29" i="1" s="1"/>
  <c r="H23" i="1" a="1"/>
  <c r="H23" i="1" s="1"/>
  <c r="H26" i="1" a="1"/>
  <c r="H26" i="1" s="1"/>
  <c r="H28" i="1" a="1"/>
  <c r="H28" i="1" s="1"/>
  <c r="K247" i="1" a="1"/>
  <c r="K247" i="1" s="1"/>
  <c r="K219" i="1" a="1"/>
  <c r="K219" i="1" s="1"/>
  <c r="J185" i="1" a="1"/>
  <c r="J185" i="1" s="1"/>
  <c r="K185" i="1" s="1" a="1"/>
  <c r="K185" i="1" s="1"/>
  <c r="J160" i="1" a="1"/>
  <c r="J160" i="1" s="1"/>
  <c r="K160" i="1" s="1" a="1"/>
  <c r="K160" i="1" s="1"/>
  <c r="J134" i="1" a="1"/>
  <c r="J134" i="1" s="1"/>
  <c r="K134" i="1" s="1" a="1"/>
  <c r="K134" i="1" s="1"/>
  <c r="K101" i="1" a="1"/>
  <c r="K101" i="1" s="1"/>
  <c r="J80" i="1" a="1"/>
  <c r="J80" i="1" s="1"/>
  <c r="K80" i="1" s="1" a="1"/>
  <c r="K80" i="1" s="1"/>
  <c r="J68" i="1" a="1"/>
  <c r="J68" i="1" s="1"/>
  <c r="K68" i="1" s="1" a="1"/>
  <c r="K68" i="1" s="1"/>
  <c r="H198" i="1" a="1"/>
  <c r="H198" i="1" s="1"/>
  <c r="H199" i="1" a="1"/>
  <c r="H199" i="1" s="1"/>
  <c r="J268" i="1" a="1"/>
  <c r="J268" i="1" s="1"/>
  <c r="K268" i="1" s="1" a="1"/>
  <c r="K268" i="1" s="1"/>
  <c r="J252" i="1" a="1"/>
  <c r="J252" i="1" s="1"/>
  <c r="K252" i="1" s="1" a="1"/>
  <c r="K252" i="1" s="1"/>
  <c r="J244" i="1" a="1"/>
  <c r="J244" i="1" s="1"/>
  <c r="K244" i="1" s="1" a="1"/>
  <c r="K244" i="1" s="1"/>
  <c r="J236" i="1" a="1"/>
  <c r="J236" i="1" s="1"/>
  <c r="K236" i="1" s="1" a="1"/>
  <c r="K236" i="1" s="1"/>
  <c r="J228" i="1" a="1"/>
  <c r="J228" i="1" s="1"/>
  <c r="K228" i="1" s="1" a="1"/>
  <c r="K228" i="1" s="1"/>
  <c r="J196" i="1" a="1"/>
  <c r="J196" i="1" s="1"/>
  <c r="K196" i="1" s="1" a="1"/>
  <c r="K196" i="1" s="1"/>
  <c r="J190" i="1" a="1"/>
  <c r="J190" i="1" s="1"/>
  <c r="K190" i="1" s="1" a="1"/>
  <c r="K190" i="1" s="1"/>
  <c r="J188" i="1" a="1"/>
  <c r="J188" i="1" s="1"/>
  <c r="K188" i="1" s="1" a="1"/>
  <c r="K188" i="1" s="1"/>
  <c r="J189" i="1" a="1"/>
  <c r="J189" i="1" s="1"/>
  <c r="K189" i="1" s="1" a="1"/>
  <c r="K189" i="1" s="1"/>
  <c r="J148" i="1" a="1"/>
  <c r="J148" i="1" s="1"/>
  <c r="K148" i="1" s="1" a="1"/>
  <c r="K148" i="1" s="1"/>
  <c r="J132" i="1" a="1"/>
  <c r="J132" i="1" s="1"/>
  <c r="K132" i="1" s="1" a="1"/>
  <c r="K132" i="1" s="1"/>
  <c r="J116" i="1" a="1"/>
  <c r="J116" i="1" s="1"/>
  <c r="K116" i="1" s="1" a="1"/>
  <c r="K116" i="1" s="1"/>
  <c r="J100" i="1" a="1"/>
  <c r="J100" i="1" s="1"/>
  <c r="K100" i="1" s="1" a="1"/>
  <c r="K100" i="1" s="1"/>
  <c r="J92" i="1" a="1"/>
  <c r="J92" i="1" s="1"/>
  <c r="K92" i="1" s="1" a="1"/>
  <c r="K92" i="1" s="1"/>
  <c r="J84" i="1" a="1"/>
  <c r="J84" i="1" s="1"/>
  <c r="K84" i="1" s="1" a="1"/>
  <c r="K84" i="1" s="1"/>
  <c r="J76" i="1" a="1"/>
  <c r="J76" i="1" s="1"/>
  <c r="K76" i="1" s="1" a="1"/>
  <c r="K76" i="1" s="1"/>
  <c r="J52" i="1" a="1"/>
  <c r="J52" i="1" s="1"/>
  <c r="K52" i="1" s="1" a="1"/>
  <c r="K52" i="1" s="1"/>
  <c r="J36" i="1" a="1"/>
  <c r="J36" i="1" s="1"/>
  <c r="K36" i="1" s="1" a="1"/>
  <c r="K36" i="1" s="1"/>
  <c r="H24" i="1" a="1"/>
  <c r="H24" i="1" s="1"/>
  <c r="K315" i="1" a="1"/>
  <c r="K315" i="1" s="1"/>
  <c r="K299" i="1" a="1"/>
  <c r="K299" i="1" s="1"/>
  <c r="K283" i="1" a="1"/>
  <c r="K283" i="1" s="1"/>
  <c r="J211" i="1" a="1"/>
  <c r="J211" i="1" s="1"/>
  <c r="K211" i="1" s="1" a="1"/>
  <c r="K211" i="1" s="1"/>
  <c r="J203" i="1" a="1"/>
  <c r="J203" i="1" s="1"/>
  <c r="K203" i="1" s="1" a="1"/>
  <c r="K203" i="1" s="1"/>
  <c r="J187" i="1" a="1"/>
  <c r="J187" i="1" s="1"/>
  <c r="K187" i="1" s="1" a="1"/>
  <c r="K187" i="1" s="1"/>
  <c r="J179" i="1" a="1"/>
  <c r="J179" i="1" s="1"/>
  <c r="K179" i="1" s="1" a="1"/>
  <c r="K179" i="1" s="1"/>
  <c r="J171" i="1" a="1"/>
  <c r="J171" i="1" s="1"/>
  <c r="K171" i="1" s="1" a="1"/>
  <c r="K171" i="1" s="1"/>
  <c r="J172" i="1" a="1"/>
  <c r="J172" i="1" s="1"/>
  <c r="K172" i="1" s="1" a="1"/>
  <c r="K172" i="1" s="1"/>
  <c r="K163" i="1" a="1"/>
  <c r="K163" i="1" s="1"/>
  <c r="J155" i="1" a="1"/>
  <c r="J155" i="1" s="1"/>
  <c r="K155" i="1" s="1" a="1"/>
  <c r="K155" i="1" s="1"/>
  <c r="J156" i="1" a="1"/>
  <c r="J156" i="1" s="1"/>
  <c r="K156" i="1" s="1" a="1"/>
  <c r="K156" i="1" s="1"/>
  <c r="J147" i="1" a="1"/>
  <c r="J147" i="1" s="1"/>
  <c r="K147" i="1" s="1" a="1"/>
  <c r="K147" i="1" s="1"/>
  <c r="K139" i="1" a="1"/>
  <c r="K139" i="1" s="1"/>
  <c r="K131" i="1" a="1"/>
  <c r="K131" i="1" s="1"/>
  <c r="K123" i="1" a="1"/>
  <c r="K123" i="1" s="1"/>
  <c r="K115" i="1" a="1"/>
  <c r="K115" i="1" s="1"/>
  <c r="J99" i="1" a="1"/>
  <c r="J99" i="1" s="1"/>
  <c r="K99" i="1" s="1" a="1"/>
  <c r="K99" i="1" s="1"/>
  <c r="J91" i="1" a="1"/>
  <c r="J91" i="1" s="1"/>
  <c r="K91" i="1" s="1" a="1"/>
  <c r="K91" i="1" s="1"/>
  <c r="J83" i="1" a="1"/>
  <c r="J83" i="1" s="1"/>
  <c r="K83" i="1" s="1" a="1"/>
  <c r="K83" i="1" s="1"/>
  <c r="J75" i="1" a="1"/>
  <c r="J75" i="1" s="1"/>
  <c r="K75" i="1" s="1" a="1"/>
  <c r="K75" i="1" s="1"/>
  <c r="J43" i="1" a="1"/>
  <c r="J43" i="1" s="1"/>
  <c r="K43" i="1" s="1" a="1"/>
  <c r="K43" i="1" s="1"/>
  <c r="J44" i="1" a="1"/>
  <c r="J44" i="1" s="1"/>
  <c r="K44" i="1" s="1" a="1"/>
  <c r="K44" i="1" s="1"/>
  <c r="J35" i="1" a="1"/>
  <c r="J35" i="1" s="1"/>
  <c r="K35" i="1" s="1" a="1"/>
  <c r="K35" i="1" s="1"/>
  <c r="J47" i="1" a="1"/>
  <c r="J47" i="1" s="1"/>
  <c r="K47" i="1" s="1" a="1"/>
  <c r="K47" i="1" s="1"/>
  <c r="J158" i="1" a="1"/>
  <c r="J158" i="1" s="1"/>
  <c r="K158" i="1" s="1" a="1"/>
  <c r="K158" i="1" s="1"/>
  <c r="J74" i="1" a="1"/>
  <c r="J74" i="1" s="1"/>
  <c r="K74" i="1" s="1" a="1"/>
  <c r="K74" i="1" s="1"/>
  <c r="K61" i="1" a="1"/>
  <c r="K61" i="1" s="1"/>
  <c r="H189" i="1" a="1"/>
  <c r="H189" i="1" s="1"/>
  <c r="H190" i="1" a="1"/>
  <c r="H190" i="1" s="1"/>
  <c r="H188" i="1" a="1"/>
  <c r="H188" i="1" s="1"/>
  <c r="K298" i="1" a="1"/>
  <c r="K298" i="1" s="1"/>
  <c r="K266" i="1" a="1"/>
  <c r="K266" i="1" s="1"/>
  <c r="K202" i="1" a="1"/>
  <c r="K202" i="1" s="1"/>
  <c r="K170" i="1" a="1"/>
  <c r="K170" i="1" s="1"/>
  <c r="J146" i="1" a="1"/>
  <c r="J146" i="1" s="1"/>
  <c r="K146" i="1" s="1" a="1"/>
  <c r="K146" i="1" s="1"/>
  <c r="J138" i="1" a="1"/>
  <c r="J138" i="1" s="1"/>
  <c r="K138" i="1" s="1" a="1"/>
  <c r="K138" i="1" s="1"/>
  <c r="K130" i="1" a="1"/>
  <c r="K130" i="1" s="1"/>
  <c r="K122" i="1" a="1"/>
  <c r="K122" i="1" s="1"/>
  <c r="J114" i="1" a="1"/>
  <c r="J114" i="1" s="1"/>
  <c r="K114" i="1" s="1" a="1"/>
  <c r="K114" i="1" s="1"/>
  <c r="J106" i="1" a="1"/>
  <c r="J106" i="1" s="1"/>
  <c r="K106" i="1" s="1" a="1"/>
  <c r="K106" i="1" s="1"/>
  <c r="K98" i="1" a="1"/>
  <c r="K98" i="1" s="1"/>
  <c r="J66" i="1" a="1"/>
  <c r="J66" i="1" s="1"/>
  <c r="K66" i="1" s="1" a="1"/>
  <c r="K66" i="1" s="1"/>
  <c r="J67" i="1" a="1"/>
  <c r="J67" i="1" s="1"/>
  <c r="K67" i="1" s="1" a="1"/>
  <c r="K67" i="1" s="1"/>
  <c r="K50" i="1" a="1"/>
  <c r="K50" i="1" s="1"/>
  <c r="J42" i="1" a="1"/>
  <c r="J42" i="1" s="1"/>
  <c r="K42" i="1" s="1" a="1"/>
  <c r="K42" i="1" s="1"/>
  <c r="J34" i="1" a="1"/>
  <c r="J34" i="1" s="1"/>
  <c r="K34" i="1" s="1" a="1"/>
  <c r="K34" i="1" s="1"/>
  <c r="J46" i="1" a="1"/>
  <c r="J46" i="1" s="1"/>
  <c r="K46" i="1" s="1" a="1"/>
  <c r="K46" i="1" s="1"/>
  <c r="J251" i="1" a="1"/>
  <c r="J251" i="1" s="1"/>
  <c r="K251" i="1" s="1" a="1"/>
  <c r="K251" i="1" s="1"/>
  <c r="J14" i="1" a="1"/>
  <c r="J14" i="1" s="1"/>
  <c r="K14" i="1" s="1" a="1"/>
  <c r="K14" i="1" s="1"/>
  <c r="J5" i="1" a="1"/>
  <c r="J5" i="1" s="1"/>
  <c r="K5" i="1" s="1" a="1"/>
  <c r="K5" i="1" s="1"/>
  <c r="O83" i="6"/>
  <c r="N82" i="6"/>
  <c r="N81" i="6"/>
  <c r="N74" i="6"/>
  <c r="N73" i="6"/>
  <c r="J223" i="1" l="1" a="1"/>
  <c r="J223" i="1" s="1"/>
  <c r="K223" i="1" s="1" a="1"/>
  <c r="K223" i="1" s="1"/>
  <c r="O86" i="6"/>
  <c r="O85" i="6" l="1"/>
  <c r="O87" i="6" l="1"/>
  <c r="O76" i="6" l="1"/>
  <c r="N76" i="6"/>
  <c r="O80" i="6" l="1"/>
  <c r="N80" i="6"/>
  <c r="O75" i="6" l="1"/>
  <c r="N75" i="6"/>
  <c r="O78" i="6" l="1"/>
  <c r="N78" i="6"/>
  <c r="O79" i="6" l="1"/>
  <c r="N79" i="6"/>
  <c r="O77" i="6" l="1"/>
  <c r="N77" i="6"/>
  <c r="O70" i="6" l="1"/>
  <c r="O69" i="6"/>
  <c r="O71" i="6"/>
  <c r="O72" i="6"/>
  <c r="O66" i="6"/>
  <c r="O67" i="6"/>
  <c r="O68" i="6" l="1"/>
  <c r="O61" i="6" l="1"/>
  <c r="O63" i="6" l="1"/>
  <c r="O64" i="6" l="1"/>
  <c r="O65" i="6" l="1"/>
  <c r="O62" i="6" l="1"/>
  <c r="J50" i="6" l="1"/>
  <c r="J51" i="6"/>
  <c r="J52" i="6"/>
  <c r="J53" i="6"/>
  <c r="J49" i="6"/>
  <c r="K54" i="6"/>
  <c r="L43" i="6"/>
  <c r="K43" i="6"/>
  <c r="M43" i="6"/>
  <c r="J41" i="6"/>
  <c r="J42" i="6"/>
  <c r="L34" i="6"/>
  <c r="J31" i="6"/>
  <c r="J32" i="6"/>
  <c r="J33" i="6"/>
  <c r="J30" i="6"/>
  <c r="J23" i="6"/>
  <c r="J24" i="6"/>
  <c r="J25" i="6"/>
  <c r="J17" i="6"/>
  <c r="J18" i="6"/>
  <c r="J16" i="6"/>
  <c r="L26" i="6"/>
  <c r="J7" i="6"/>
  <c r="J8" i="6"/>
  <c r="J9" i="6"/>
  <c r="J10" i="6"/>
  <c r="J6" i="6"/>
  <c r="N19" i="6"/>
  <c r="M19" i="6"/>
  <c r="L19" i="6"/>
  <c r="K19" i="6"/>
  <c r="O19" i="6"/>
  <c r="L11" i="6"/>
  <c r="K6" i="6"/>
  <c r="K32" i="6"/>
  <c r="N83" i="6"/>
  <c r="K10" i="6"/>
  <c r="K23" i="6"/>
  <c r="K8" i="6"/>
  <c r="K33" i="6"/>
  <c r="K25" i="6"/>
  <c r="N85" i="6"/>
  <c r="K24" i="6"/>
  <c r="N86" i="6"/>
  <c r="K31" i="6"/>
  <c r="K9" i="6"/>
  <c r="K7" i="6"/>
  <c r="N87" i="6"/>
  <c r="K30" i="6"/>
  <c r="N84" i="6"/>
  <c r="P84" i="6" l="1"/>
  <c r="Q84" i="6" s="1"/>
  <c r="R84" i="6" s="1"/>
  <c r="P83" i="6"/>
  <c r="Q83" i="6" s="1"/>
  <c r="R83" i="6" s="1"/>
  <c r="P86" i="6"/>
  <c r="Q86" i="6" s="1"/>
  <c r="R86" i="6" s="1"/>
  <c r="P85" i="6"/>
  <c r="Q85" i="6" s="1"/>
  <c r="R85" i="6" s="1"/>
  <c r="P87" i="6"/>
  <c r="P76" i="6"/>
  <c r="Q76" i="6" s="1"/>
  <c r="R76" i="6" s="1"/>
  <c r="P80" i="6"/>
  <c r="Q80" i="6" s="1"/>
  <c r="R80" i="6" s="1"/>
  <c r="P75" i="6"/>
  <c r="Q75" i="6" s="1"/>
  <c r="R75" i="6" s="1"/>
  <c r="P78" i="6"/>
  <c r="Q78" i="6" s="1"/>
  <c r="R78" i="6" s="1"/>
  <c r="P79" i="6"/>
  <c r="Q79" i="6" s="1"/>
  <c r="R79" i="6" s="1"/>
  <c r="P77" i="6"/>
  <c r="Q77" i="6" s="1"/>
  <c r="R77" i="6" s="1"/>
  <c r="P69" i="6"/>
  <c r="Q69" i="6" s="1"/>
  <c r="R69" i="6" s="1"/>
  <c r="P71" i="6"/>
  <c r="Q71" i="6" s="1"/>
  <c r="R71" i="6" s="1"/>
  <c r="P72" i="6"/>
  <c r="P70" i="6"/>
  <c r="P62" i="6"/>
  <c r="P65" i="6"/>
  <c r="Q65" i="6" s="1"/>
  <c r="R65" i="6" s="1"/>
  <c r="P63" i="6"/>
  <c r="Q63" i="6" s="1"/>
  <c r="R63" i="6" s="1"/>
  <c r="P64" i="6"/>
  <c r="Q64" i="6" s="1"/>
  <c r="R64" i="6" s="1"/>
  <c r="P61" i="6"/>
  <c r="Q61" i="6" s="1"/>
  <c r="R61" i="6" s="1"/>
  <c r="P68" i="6"/>
  <c r="Q68" i="6" s="1"/>
  <c r="R68" i="6" s="1"/>
  <c r="P66" i="6"/>
  <c r="P67" i="6"/>
  <c r="K26" i="6"/>
  <c r="K11" i="6"/>
  <c r="P81" i="6" s="1"/>
  <c r="K38" i="5"/>
  <c r="J38" i="5"/>
  <c r="G38" i="5"/>
  <c r="K37" i="5"/>
  <c r="J37" i="5"/>
  <c r="G37" i="5"/>
  <c r="K36" i="5"/>
  <c r="J36" i="5"/>
  <c r="G36" i="5"/>
  <c r="K35" i="5"/>
  <c r="J35" i="5"/>
  <c r="G35" i="5"/>
  <c r="K34" i="5"/>
  <c r="J34" i="5"/>
  <c r="G34" i="5"/>
  <c r="K33" i="5"/>
  <c r="K39" i="5" s="1"/>
  <c r="D4" i="5" s="1"/>
  <c r="D5" i="5" s="1"/>
  <c r="J33" i="5"/>
  <c r="G33" i="5"/>
  <c r="K32" i="5"/>
  <c r="J32" i="5"/>
  <c r="G32" i="5"/>
  <c r="K31" i="5"/>
  <c r="J31" i="5"/>
  <c r="G31" i="5"/>
  <c r="K30" i="5"/>
  <c r="J30" i="5"/>
  <c r="G30" i="5"/>
  <c r="K29" i="5"/>
  <c r="J29" i="5"/>
  <c r="G29" i="5"/>
  <c r="K28" i="5"/>
  <c r="J28" i="5"/>
  <c r="G28" i="5"/>
  <c r="K27" i="5"/>
  <c r="J27" i="5"/>
  <c r="G27" i="5"/>
  <c r="K26" i="5"/>
  <c r="J26" i="5"/>
  <c r="G26" i="5"/>
  <c r="K25" i="5"/>
  <c r="J25" i="5"/>
  <c r="G25" i="5"/>
  <c r="J24" i="5"/>
  <c r="K24" i="5" s="1"/>
  <c r="G24" i="5"/>
  <c r="K23" i="5"/>
  <c r="J23" i="5"/>
  <c r="G23" i="5"/>
  <c r="J22" i="5"/>
  <c r="G22" i="5"/>
  <c r="K22" i="5" s="1"/>
  <c r="J21" i="5"/>
  <c r="K21" i="5" s="1"/>
  <c r="G21" i="5"/>
  <c r="K20" i="5"/>
  <c r="J20" i="5"/>
  <c r="G20" i="5"/>
  <c r="K19" i="5"/>
  <c r="J19" i="5"/>
  <c r="G19" i="5"/>
  <c r="E15" i="5"/>
  <c r="C11" i="5"/>
  <c r="C12" i="5" s="1"/>
  <c r="C10" i="5"/>
  <c r="M14" i="4"/>
  <c r="J13" i="4"/>
  <c r="J12" i="4"/>
  <c r="I11" i="4"/>
  <c r="E11" i="4"/>
  <c r="J11" i="4" s="1"/>
  <c r="G10" i="4"/>
  <c r="I10" i="4" s="1"/>
  <c r="C10" i="4"/>
  <c r="E10" i="4" s="1"/>
  <c r="J10" i="4" s="1"/>
  <c r="G9" i="4"/>
  <c r="I9" i="4" s="1"/>
  <c r="E9" i="4"/>
  <c r="I8" i="4"/>
  <c r="J8" i="4" s="1"/>
  <c r="E8" i="4"/>
  <c r="I7" i="4"/>
  <c r="C7" i="4"/>
  <c r="E7" i="4" s="1"/>
  <c r="J7" i="4" s="1"/>
  <c r="J6" i="4"/>
  <c r="I6" i="4"/>
  <c r="E6" i="4"/>
  <c r="I5" i="4"/>
  <c r="E5" i="4"/>
  <c r="Q87" i="6" l="1"/>
  <c r="R87" i="6" s="1"/>
  <c r="P73" i="6"/>
  <c r="Q73" i="6" s="1"/>
  <c r="R73" i="6" s="1"/>
  <c r="P82" i="6"/>
  <c r="Q82" i="6" s="1"/>
  <c r="R82" i="6" s="1"/>
  <c r="Q81" i="6"/>
  <c r="R81" i="6" s="1"/>
  <c r="P74" i="6"/>
  <c r="Q74" i="6" s="1"/>
  <c r="R74" i="6" s="1"/>
  <c r="Q66" i="6"/>
  <c r="R66" i="6" s="1"/>
  <c r="Q67" i="6"/>
  <c r="R67" i="6" s="1"/>
  <c r="Q70" i="6"/>
  <c r="R70" i="6" s="1"/>
  <c r="Q72" i="6"/>
  <c r="R72" i="6" s="1"/>
  <c r="Q62" i="6"/>
  <c r="R62" i="6" s="1"/>
  <c r="E14" i="4"/>
  <c r="I14" i="4"/>
  <c r="J9" i="4"/>
  <c r="J5" i="4"/>
  <c r="J1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<sst xmlns="http://schemas.openxmlformats.org/spreadsheetml/2006/main" count="2588" uniqueCount="214">
  <si>
    <t>Data</t>
  </si>
  <si>
    <t>Instituição</t>
  </si>
  <si>
    <t>Classe</t>
  </si>
  <si>
    <t>Subclasse</t>
  </si>
  <si>
    <t>Duração</t>
  </si>
  <si>
    <t>Estratégia</t>
  </si>
  <si>
    <t>Cotação Dolar</t>
  </si>
  <si>
    <t>Moeda Base</t>
  </si>
  <si>
    <t>Quantidade</t>
  </si>
  <si>
    <t>Total (R$)</t>
  </si>
  <si>
    <t>Total ($)</t>
  </si>
  <si>
    <t>Bitcoin</t>
  </si>
  <si>
    <t>Ledger</t>
  </si>
  <si>
    <t>Cripto</t>
  </si>
  <si>
    <t>BTC</t>
  </si>
  <si>
    <t>Liquidez Diaria</t>
  </si>
  <si>
    <t>PicPay</t>
  </si>
  <si>
    <t>Caixa</t>
  </si>
  <si>
    <t>CDB -  110%</t>
  </si>
  <si>
    <t>C6</t>
  </si>
  <si>
    <t>Renda Fixa</t>
  </si>
  <si>
    <t>USDT</t>
  </si>
  <si>
    <t>Binance</t>
  </si>
  <si>
    <t>Reserva</t>
  </si>
  <si>
    <t>USD</t>
  </si>
  <si>
    <t>BUSD</t>
  </si>
  <si>
    <t>Dolar</t>
  </si>
  <si>
    <t>Inter</t>
  </si>
  <si>
    <t>C6 - CDB Diario 105%</t>
  </si>
  <si>
    <t>C6 - CDB Cartao 100%</t>
  </si>
  <si>
    <t>LCI DI 180</t>
  </si>
  <si>
    <t>C6- Parado</t>
  </si>
  <si>
    <t>Conta Bancária</t>
  </si>
  <si>
    <t>Dólar</t>
  </si>
  <si>
    <t>CDB Diario 105%</t>
  </si>
  <si>
    <t>CDB Cartao 100%</t>
  </si>
  <si>
    <t>Renda Variável</t>
  </si>
  <si>
    <t>Carteira Cripto</t>
  </si>
  <si>
    <t>Extra XP</t>
  </si>
  <si>
    <t>XP</t>
  </si>
  <si>
    <t>LCI XP</t>
  </si>
  <si>
    <t>Bitcoin 01</t>
  </si>
  <si>
    <t>Bitcoin 02</t>
  </si>
  <si>
    <t>Bitcoin 03</t>
  </si>
  <si>
    <t>USDC</t>
  </si>
  <si>
    <t>CDB Itaú 100%</t>
  </si>
  <si>
    <t>Itaú</t>
  </si>
  <si>
    <t>Fundo Itaú</t>
  </si>
  <si>
    <t>Etherium</t>
  </si>
  <si>
    <t>Solana</t>
  </si>
  <si>
    <t>Bitcoin 03 - Viagem</t>
  </si>
  <si>
    <t>ETF - VOO</t>
  </si>
  <si>
    <t>Banco Inter</t>
  </si>
  <si>
    <t>USDC - Viagem</t>
  </si>
  <si>
    <t>ETF - VTI</t>
  </si>
  <si>
    <t>ETF - ARGT</t>
  </si>
  <si>
    <t>LCI - XP</t>
  </si>
  <si>
    <t>SOL</t>
  </si>
  <si>
    <t>Porquinho</t>
  </si>
  <si>
    <t>Chainless</t>
  </si>
  <si>
    <t>Picpay - Confrinho</t>
  </si>
  <si>
    <t>LCA BOCOM</t>
  </si>
  <si>
    <t>LIG LIQUIDEZ 01</t>
  </si>
  <si>
    <t>LIG LIQUIDEZ 02</t>
  </si>
  <si>
    <t>Time Deposit</t>
  </si>
  <si>
    <t>Tesouro Renda+ 2065</t>
  </si>
  <si>
    <t>AAVE</t>
  </si>
  <si>
    <t>Conta Global</t>
  </si>
  <si>
    <t>Tesouro IPCA Renda+ 2065</t>
  </si>
  <si>
    <t>Previdência Privada</t>
  </si>
  <si>
    <t>ETF - GLDM</t>
  </si>
  <si>
    <t>ARGT</t>
  </si>
  <si>
    <t>GLDM</t>
  </si>
  <si>
    <t>VOO</t>
  </si>
  <si>
    <t>LCD BNDES LIQUIDEZ</t>
  </si>
  <si>
    <t>Previdência - RV - 54%</t>
  </si>
  <si>
    <t>Previdência Privada - RF - 46%</t>
  </si>
  <si>
    <t>ETF - SIVR</t>
  </si>
  <si>
    <t>SIVR</t>
  </si>
  <si>
    <t>ETF - IAUM</t>
  </si>
  <si>
    <t>IAUM</t>
  </si>
  <si>
    <t>Previdência - RF - 46%</t>
  </si>
  <si>
    <t>LCI BRB</t>
  </si>
  <si>
    <t>ETF - XLE</t>
  </si>
  <si>
    <t>XLE</t>
  </si>
  <si>
    <t>Dolar Inter</t>
  </si>
  <si>
    <t>Core</t>
  </si>
  <si>
    <t>Core-Satellite</t>
  </si>
  <si>
    <t>Satellite</t>
  </si>
  <si>
    <t>LCI BRB - Set/26</t>
  </si>
  <si>
    <t>Hedge</t>
  </si>
  <si>
    <t>ETF - VXUS</t>
  </si>
  <si>
    <t>VXUS</t>
  </si>
  <si>
    <t>LCI BRB - Jun/27</t>
  </si>
  <si>
    <t>Stablecoin</t>
  </si>
  <si>
    <t>D+0</t>
  </si>
  <si>
    <t>-</t>
  </si>
  <si>
    <t>Altcoin</t>
  </si>
  <si>
    <t>Pós-fixado</t>
  </si>
  <si>
    <t>Curto</t>
  </si>
  <si>
    <t>Flexible Account</t>
  </si>
  <si>
    <t>Revolut</t>
  </si>
  <si>
    <t>Commoditie</t>
  </si>
  <si>
    <t>IPCA</t>
  </si>
  <si>
    <t>Tesouro IPCA+ 2032</t>
  </si>
  <si>
    <t>Médio</t>
  </si>
  <si>
    <t>Ações EUA</t>
  </si>
  <si>
    <t>Ações - Ex: USA</t>
  </si>
  <si>
    <t>D+1</t>
  </si>
  <si>
    <t>Longo</t>
  </si>
  <si>
    <t>Ações BR</t>
  </si>
  <si>
    <t>Imobiliário BR</t>
  </si>
  <si>
    <t>Mês Base</t>
  </si>
  <si>
    <t>Sum of Total (R$)</t>
  </si>
  <si>
    <t>% Atual</t>
  </si>
  <si>
    <t>% Ideal</t>
  </si>
  <si>
    <t>R$ Atual</t>
  </si>
  <si>
    <t>R$ Ideal</t>
  </si>
  <si>
    <t>Diferença</t>
  </si>
  <si>
    <t>COMPRAR</t>
  </si>
  <si>
    <t>Porcentagem</t>
  </si>
  <si>
    <t>Tipo</t>
  </si>
  <si>
    <t>Moeda</t>
  </si>
  <si>
    <t>Grand Total</t>
  </si>
  <si>
    <t>BRL</t>
  </si>
  <si>
    <t>Total Ideal</t>
  </si>
  <si>
    <t>Total Atual</t>
  </si>
  <si>
    <t>Diferenca</t>
  </si>
  <si>
    <t>Acao</t>
  </si>
  <si>
    <t>Última Atualização</t>
  </si>
  <si>
    <t>Tabela Cotações</t>
  </si>
  <si>
    <t>Ticker</t>
  </si>
  <si>
    <t>Valor</t>
  </si>
  <si>
    <t>FIAT</t>
  </si>
  <si>
    <t>CRIPTO</t>
  </si>
  <si>
    <t>ETF</t>
  </si>
  <si>
    <t>Entradas</t>
  </si>
  <si>
    <t>Saídas</t>
  </si>
  <si>
    <t>Resumo</t>
  </si>
  <si>
    <t>Custo de Vida Mensal</t>
  </si>
  <si>
    <t>Mês</t>
  </si>
  <si>
    <t>Salário Líquido + Extras</t>
  </si>
  <si>
    <t>VA/VR</t>
  </si>
  <si>
    <t>Entrada Total</t>
  </si>
  <si>
    <t>Gasto - Cartão</t>
  </si>
  <si>
    <t>Gasto - PIX</t>
  </si>
  <si>
    <t>Gasto - VA/VR</t>
  </si>
  <si>
    <t>Saída Total</t>
  </si>
  <si>
    <t>Balanço Mensal</t>
  </si>
  <si>
    <t>Gasto</t>
  </si>
  <si>
    <t>Whey</t>
  </si>
  <si>
    <t>PIX</t>
  </si>
  <si>
    <t>Academia</t>
  </si>
  <si>
    <t>Cartão</t>
  </si>
  <si>
    <t>Apple</t>
  </si>
  <si>
    <t>Celular</t>
  </si>
  <si>
    <t>Ifood</t>
  </si>
  <si>
    <t>Marcelo Nutri</t>
  </si>
  <si>
    <t>Total</t>
  </si>
  <si>
    <t>Controle</t>
  </si>
  <si>
    <t>Informações</t>
  </si>
  <si>
    <t>Valores</t>
  </si>
  <si>
    <t>12% Renda Tributável</t>
  </si>
  <si>
    <t>Investimento Pendente</t>
  </si>
  <si>
    <t>Parcelas Investidas</t>
  </si>
  <si>
    <t>Nº Parela</t>
  </si>
  <si>
    <t>Meses Trabalhados</t>
  </si>
  <si>
    <t>Empresa</t>
  </si>
  <si>
    <t>Data Incial</t>
  </si>
  <si>
    <t>Data Final</t>
  </si>
  <si>
    <t>Dias Trabalhados</t>
  </si>
  <si>
    <t>Necessario Calcular</t>
  </si>
  <si>
    <t>Salário Base Bruto</t>
  </si>
  <si>
    <t>Saário Por dia</t>
  </si>
  <si>
    <t>Renda Tributável</t>
  </si>
  <si>
    <t>Accenture</t>
  </si>
  <si>
    <t>Não</t>
  </si>
  <si>
    <t>Sim</t>
  </si>
  <si>
    <t>NTT DATA</t>
  </si>
  <si>
    <t>AMARIS</t>
  </si>
  <si>
    <t>Cenário Ideal</t>
  </si>
  <si>
    <t>Cenário Atual</t>
  </si>
  <si>
    <t>Porcentage</t>
  </si>
  <si>
    <t xml:space="preserve"> </t>
  </si>
  <si>
    <t>Percentual Atual</t>
  </si>
  <si>
    <t>Percentual Ideal</t>
  </si>
  <si>
    <t>Caixa (R$)</t>
  </si>
  <si>
    <t>Caixa (USD)</t>
  </si>
  <si>
    <t>IPCA - Curto</t>
  </si>
  <si>
    <t>IPCA - Médio</t>
  </si>
  <si>
    <t>Pós-fixado - Médio</t>
  </si>
  <si>
    <t>Pós-fixado - Longo</t>
  </si>
  <si>
    <t>IPCA - Longo</t>
  </si>
  <si>
    <t>Pós-fixado - Curto</t>
  </si>
  <si>
    <t>Renda Variável (R$)</t>
  </si>
  <si>
    <t>Renda Variável (USD)</t>
  </si>
  <si>
    <t>Classificação</t>
  </si>
  <si>
    <t>Subclassificação</t>
  </si>
  <si>
    <t>1- Geral</t>
  </si>
  <si>
    <t>2- Renda Fixa</t>
  </si>
  <si>
    <t>3- Renda Variável</t>
  </si>
  <si>
    <t>1- Classe</t>
  </si>
  <si>
    <t>2- Moeda</t>
  </si>
  <si>
    <t>3- Estratégia</t>
  </si>
  <si>
    <t>1- Moeda</t>
  </si>
  <si>
    <t>1- Subclasse</t>
  </si>
  <si>
    <t>2- Subclasse</t>
  </si>
  <si>
    <t>2- Caixa</t>
  </si>
  <si>
    <t>ETF - GPCA11</t>
  </si>
  <si>
    <t>Previdência - Grão FIM</t>
  </si>
  <si>
    <t>Nome</t>
  </si>
  <si>
    <t>Cotação Ativo</t>
  </si>
  <si>
    <t>Investimentos</t>
  </si>
  <si>
    <t>GPCA11.SAO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</si>
</sst>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164" formatCode="_([$$-409]* #,##0.00_);_([$$-409]* \(#,##0.00\);_([$$-409]* &quot;-&quot;??_);_(@_)"/>
    <numFmt numFmtId="165" formatCode="_-[$$-409]* #,##0.00_ ;_-[$$-409]* \-#,##0.00\ ;_-[$$-409]* &quot;-&quot;??_ ;_-@_ "/>
    <numFmt numFmtId="166" formatCode="dd/mm/yyyy"/>
    <numFmt numFmtId="167" formatCode="0.0%"/>
    <numFmt numFmtId="168" formatCode="0.000%"/>
  </numFmts>
  <fonts count="10" x14ac:knownFonts="1">
    <font>
      <sz val="12"/>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12"/>
      <color rgb="FF000000"/>
      <name val="Calibri"/>
      <family val="2"/>
      <scheme val="minor"/>
    </font>
    <font>
      <b/>
      <sz val="12"/>
      <color rgb="FFFFFFFF"/>
      <name val="Calibri"/>
      <family val="2"/>
      <scheme val="minor"/>
    </font>
    <font>
      <sz val="12"/>
      <color theme="0"/>
      <name val="Calibri"/>
      <family val="2"/>
      <scheme val="minor"/>
    </font>
    <font>
      <sz val="12"/>
      <color rgb="FFFFFFFF"/>
      <name val="Calibri"/>
      <family val="2"/>
      <scheme val="minor"/>
    </font>
    <font>
      <sz val="8"/>
      <name val="Calibri"/>
      <family val="2"/>
      <scheme val="minor"/>
    </font>
    <font>
      <sz val="18"/>
      <color theme="0"/>
      <name val="Calibri"/>
      <family val="2"/>
      <scheme val="minor"/>
    </font>
  </fonts>
  <fills count="19">
    <fill>
      <patternFill patternType="none"/>
    </fill>
    <fill>
      <patternFill patternType="gray125"/>
    </fill>
    <fill>
      <patternFill patternType="solid">
        <fgColor theme="4"/>
        <bgColor theme="4"/>
      </patternFill>
    </fill>
    <fill>
      <patternFill patternType="solid">
        <fgColor rgb="FF00B0F0"/>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0"/>
        <bgColor rgb="FFD9E1F2"/>
      </patternFill>
    </fill>
    <fill>
      <patternFill patternType="solid">
        <fgColor theme="4" tint="0.79998168889431442"/>
        <bgColor rgb="FFD9E1F2"/>
      </patternFill>
    </fill>
    <fill>
      <patternFill patternType="solid">
        <fgColor theme="5"/>
        <bgColor theme="4"/>
      </patternFill>
    </fill>
    <fill>
      <patternFill patternType="solid">
        <fgColor rgb="FFFF0000"/>
        <bgColor rgb="FF4472C4"/>
      </patternFill>
    </fill>
    <fill>
      <patternFill patternType="solid">
        <fgColor rgb="FF7030A0"/>
        <bgColor indexed="64"/>
      </patternFill>
    </fill>
    <fill>
      <patternFill patternType="solid">
        <fgColor rgb="FF7030A0"/>
        <bgColor rgb="FF4472C4"/>
      </patternFill>
    </fill>
    <fill>
      <patternFill patternType="solid">
        <fgColor theme="1" tint="0.34998626667073579"/>
        <bgColor theme="4"/>
      </patternFill>
    </fill>
    <fill>
      <patternFill patternType="solid">
        <fgColor theme="4" tint="0.59999389629810485"/>
        <bgColor indexed="64"/>
      </patternFill>
    </fill>
    <fill>
      <patternFill patternType="solid">
        <fgColor rgb="FFFFFF00"/>
        <bgColor indexed="64"/>
      </patternFill>
    </fill>
    <fill>
      <patternFill patternType="solid">
        <fgColor theme="0"/>
        <bgColor theme="4" tint="0.79998168889431442"/>
      </patternFill>
    </fill>
    <fill>
      <patternFill patternType="solid">
        <fgColor indexed="65"/>
        <bgColor indexed="64"/>
      </patternFill>
    </fill>
    <fill>
      <patternFill patternType="solid">
        <fgColor rgb="FF0070C0"/>
        <bgColor indexed="64"/>
      </patternFill>
    </fill>
    <fill>
      <patternFill patternType="solid">
        <fgColor theme="4" tint="-0.249977111117893"/>
        <bgColor theme="4" tint="-0.249977111117893"/>
      </patternFill>
    </fill>
  </fills>
  <borders count="17">
    <border>
      <left/>
      <right/>
      <top/>
      <bottom/>
      <diagonal/>
    </border>
    <border>
      <left style="medium">
        <color indexed="64"/>
      </left>
      <right/>
      <top/>
      <bottom style="medium">
        <color indexed="64"/>
      </bottom>
      <diagonal/>
    </border>
    <border>
      <left style="medium">
        <color indexed="64"/>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8EA9DB"/>
      </left>
      <right/>
      <top style="thin">
        <color rgb="FF8EA9DB"/>
      </top>
      <bottom/>
      <diagonal/>
    </border>
    <border>
      <left/>
      <right/>
      <top/>
      <bottom style="thin">
        <color rgb="FF8EA9DB"/>
      </bottom>
      <diagonal/>
    </border>
    <border>
      <left/>
      <right/>
      <top style="thin">
        <color rgb="FF8EA9DB"/>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right/>
      <top/>
      <bottom style="thin">
        <color theme="4" tint="0.79998168889431442"/>
      </bottom>
      <diagonal/>
    </border>
  </borders>
  <cellStyleXfs count="4">
    <xf numFmtId="0" fontId="0" fillId="0" borderId="0"/>
    <xf numFmtId="9" fontId="1" fillId="0" borderId="0"/>
    <xf numFmtId="44" fontId="1" fillId="0" borderId="0"/>
    <xf numFmtId="44" fontId="1" fillId="0" borderId="0"/>
  </cellStyleXfs>
  <cellXfs count="113">
    <xf numFmtId="0" fontId="0" fillId="0" borderId="0" xfId="0"/>
    <xf numFmtId="44"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xf numFmtId="0" fontId="0" fillId="0" borderId="0" xfId="0" applyAlignment="1">
      <alignment horizontal="center" vertical="center"/>
    </xf>
    <xf numFmtId="44" fontId="0" fillId="0" borderId="0" xfId="0" applyNumberFormat="1" applyAlignment="1">
      <alignment horizontal="center" vertical="center"/>
    </xf>
    <xf numFmtId="17" fontId="0" fillId="0" borderId="0" xfId="0" applyNumberFormat="1" applyAlignment="1">
      <alignment horizontal="left"/>
    </xf>
    <xf numFmtId="17" fontId="0" fillId="0" borderId="0" xfId="0" applyNumberFormat="1" applyAlignment="1">
      <alignment horizontal="center" vertical="center"/>
    </xf>
    <xf numFmtId="44" fontId="0" fillId="0" borderId="0" xfId="2" applyFont="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0" fontId="1" fillId="0" borderId="0" xfId="0" applyFont="1" applyAlignment="1">
      <alignment horizontal="center" vertical="center"/>
    </xf>
    <xf numFmtId="166" fontId="0" fillId="3" borderId="0" xfId="0" applyNumberFormat="1" applyFill="1"/>
    <xf numFmtId="22" fontId="0" fillId="3" borderId="0" xfId="0" applyNumberFormat="1" applyFill="1" applyAlignment="1">
      <alignment horizontal="center"/>
    </xf>
    <xf numFmtId="17" fontId="1" fillId="0" borderId="0" xfId="0" applyNumberFormat="1" applyFont="1" applyAlignment="1">
      <alignment horizontal="center" vertical="center"/>
    </xf>
    <xf numFmtId="44" fontId="1" fillId="0" borderId="0" xfId="2" applyAlignment="1">
      <alignment horizontal="center" vertical="center"/>
    </xf>
    <xf numFmtId="44" fontId="1" fillId="0" borderId="0" xfId="0" applyNumberFormat="1" applyFont="1" applyAlignment="1">
      <alignment horizontal="center" vertical="center"/>
    </xf>
    <xf numFmtId="44" fontId="1" fillId="0" borderId="0" xfId="2"/>
    <xf numFmtId="14" fontId="0" fillId="0" borderId="0" xfId="0" applyNumberFormat="1"/>
    <xf numFmtId="44" fontId="0" fillId="0" borderId="0" xfId="0" applyNumberFormat="1" applyAlignment="1">
      <alignment horizontal="center"/>
    </xf>
    <xf numFmtId="0" fontId="6" fillId="12" borderId="8" xfId="0" applyFont="1" applyFill="1" applyBorder="1" applyAlignment="1">
      <alignment horizontal="center" vertical="center"/>
    </xf>
    <xf numFmtId="0" fontId="6" fillId="8" borderId="4" xfId="0" applyFont="1" applyFill="1" applyBorder="1" applyAlignment="1">
      <alignment horizontal="center" vertical="center"/>
    </xf>
    <xf numFmtId="0" fontId="7" fillId="9" borderId="7" xfId="0" applyFont="1" applyFill="1" applyBorder="1" applyAlignment="1">
      <alignment horizontal="center" vertical="center"/>
    </xf>
    <xf numFmtId="0" fontId="7" fillId="11" borderId="0" xfId="0" applyFont="1" applyFill="1" applyAlignment="1">
      <alignment horizontal="center" vertical="center"/>
    </xf>
    <xf numFmtId="17" fontId="0" fillId="7" borderId="5" xfId="0" applyNumberFormat="1" applyFill="1" applyBorder="1" applyAlignment="1">
      <alignment horizontal="center" vertical="center"/>
    </xf>
    <xf numFmtId="44" fontId="0" fillId="4" borderId="4" xfId="2" applyFont="1" applyFill="1" applyBorder="1"/>
    <xf numFmtId="44" fontId="4" fillId="5" borderId="7" xfId="0" applyNumberFormat="1" applyFont="1" applyFill="1" applyBorder="1"/>
    <xf numFmtId="44" fontId="4" fillId="5" borderId="5" xfId="0" applyNumberFormat="1" applyFont="1" applyFill="1" applyBorder="1"/>
    <xf numFmtId="44" fontId="0" fillId="4" borderId="0" xfId="2" applyFont="1" applyFill="1"/>
    <xf numFmtId="17" fontId="0" fillId="6" borderId="5" xfId="0" applyNumberFormat="1" applyFill="1" applyBorder="1" applyAlignment="1">
      <alignment horizontal="center" vertical="center"/>
    </xf>
    <xf numFmtId="44" fontId="0" fillId="0" borderId="3" xfId="2" applyFont="1" applyBorder="1"/>
    <xf numFmtId="44" fontId="4" fillId="6" borderId="7" xfId="0" applyNumberFormat="1" applyFont="1" applyFill="1" applyBorder="1"/>
    <xf numFmtId="44" fontId="1" fillId="0" borderId="0" xfId="2" applyAlignment="1">
      <alignment horizontal="center"/>
    </xf>
    <xf numFmtId="0" fontId="0" fillId="0" borderId="0" xfId="0" applyAlignment="1">
      <alignment horizontal="left" vertical="center"/>
    </xf>
    <xf numFmtId="0" fontId="3" fillId="10" borderId="0" xfId="0" applyFont="1" applyFill="1" applyAlignment="1">
      <alignment horizontal="center"/>
    </xf>
    <xf numFmtId="0" fontId="0" fillId="14" borderId="0" xfId="0" applyFill="1"/>
    <xf numFmtId="0" fontId="3" fillId="2" borderId="0" xfId="0" applyFont="1" applyFill="1" applyAlignment="1">
      <alignment horizontal="center" vertical="center"/>
    </xf>
    <xf numFmtId="1" fontId="0" fillId="0" borderId="0" xfId="0" applyNumberFormat="1" applyAlignment="1">
      <alignment horizontal="center"/>
    </xf>
    <xf numFmtId="44" fontId="0" fillId="0" borderId="0" xfId="3" applyFont="1"/>
    <xf numFmtId="16" fontId="0" fillId="0" borderId="0" xfId="0" applyNumberFormat="1" applyAlignment="1">
      <alignment horizontal="center" vertical="center"/>
    </xf>
    <xf numFmtId="44" fontId="0" fillId="0" borderId="8" xfId="0" applyNumberFormat="1" applyBorder="1"/>
    <xf numFmtId="44" fontId="0" fillId="15" borderId="8" xfId="3" applyFont="1" applyFill="1" applyBorder="1"/>
    <xf numFmtId="44" fontId="0" fillId="0" borderId="4" xfId="3" applyFont="1" applyBorder="1"/>
    <xf numFmtId="1" fontId="0" fillId="0" borderId="4" xfId="0" applyNumberFormat="1" applyBorder="1" applyAlignment="1">
      <alignment horizontal="center"/>
    </xf>
    <xf numFmtId="14" fontId="0" fillId="0" borderId="4" xfId="0" applyNumberFormat="1" applyBorder="1"/>
    <xf numFmtId="17" fontId="0" fillId="0" borderId="4" xfId="0" applyNumberFormat="1" applyBorder="1" applyAlignment="1">
      <alignment horizontal="center" vertical="center"/>
    </xf>
    <xf numFmtId="44" fontId="0" fillId="4" borderId="8" xfId="0" applyNumberFormat="1" applyFill="1" applyBorder="1"/>
    <xf numFmtId="44" fontId="0" fillId="4" borderId="8" xfId="3" applyFont="1" applyFill="1" applyBorder="1"/>
    <xf numFmtId="44" fontId="0" fillId="4" borderId="4" xfId="3" applyFont="1" applyFill="1" applyBorder="1"/>
    <xf numFmtId="1" fontId="0" fillId="4" borderId="4" xfId="0" applyNumberFormat="1" applyFill="1" applyBorder="1" applyAlignment="1">
      <alignment horizontal="center"/>
    </xf>
    <xf numFmtId="14" fontId="0" fillId="4" borderId="4" xfId="0" applyNumberFormat="1" applyFill="1" applyBorder="1"/>
    <xf numFmtId="0" fontId="0" fillId="0" borderId="4" xfId="0" applyBorder="1"/>
    <xf numFmtId="44" fontId="0" fillId="0" borderId="9" xfId="3" applyFont="1" applyBorder="1"/>
    <xf numFmtId="0" fontId="0" fillId="4" borderId="4" xfId="0" applyFill="1" applyBorder="1"/>
    <xf numFmtId="17" fontId="0" fillId="4" borderId="4" xfId="0" applyNumberFormat="1" applyFill="1" applyBorder="1" applyAlignment="1">
      <alignment horizontal="center" vertical="center"/>
    </xf>
    <xf numFmtId="4" fontId="0" fillId="0" borderId="0" xfId="0" applyNumberFormat="1"/>
    <xf numFmtId="14" fontId="0" fillId="0" borderId="0" xfId="0" applyNumberFormat="1" applyAlignment="1">
      <alignment horizontal="center" vertical="center"/>
    </xf>
    <xf numFmtId="14" fontId="0" fillId="0" borderId="0" xfId="0" applyNumberFormat="1" applyAlignment="1">
      <alignment horizontal="center"/>
    </xf>
    <xf numFmtId="44" fontId="0" fillId="0" borderId="0" xfId="3" applyFont="1" applyAlignment="1">
      <alignment horizontal="center" vertical="center"/>
    </xf>
    <xf numFmtId="44" fontId="0" fillId="14" borderId="0" xfId="0" applyNumberFormat="1" applyFill="1"/>
    <xf numFmtId="44" fontId="0" fillId="0" borderId="0" xfId="2" applyFont="1"/>
    <xf numFmtId="44" fontId="0" fillId="15" borderId="8" xfId="2" applyFont="1" applyFill="1" applyBorder="1"/>
    <xf numFmtId="14" fontId="0" fillId="0" borderId="4" xfId="0" applyNumberFormat="1" applyBorder="1" applyAlignment="1">
      <alignment horizontal="right"/>
    </xf>
    <xf numFmtId="165" fontId="0" fillId="0" borderId="0" xfId="0" applyNumberFormat="1"/>
    <xf numFmtId="9" fontId="1" fillId="0" borderId="0" xfId="1"/>
    <xf numFmtId="9" fontId="0" fillId="0" borderId="0" xfId="0" applyNumberFormat="1" applyAlignment="1">
      <alignment horizontal="center" vertical="center"/>
    </xf>
    <xf numFmtId="17" fontId="0" fillId="0" borderId="0" xfId="0" applyNumberFormat="1" applyAlignment="1">
      <alignment horizontal="center"/>
    </xf>
    <xf numFmtId="9" fontId="0" fillId="0" borderId="0" xfId="0" applyNumberFormat="1" applyAlignment="1">
      <alignment horizontal="center"/>
    </xf>
    <xf numFmtId="9" fontId="1" fillId="0" borderId="0" xfId="1" applyAlignment="1">
      <alignment horizontal="center" vertical="center"/>
    </xf>
    <xf numFmtId="0" fontId="2" fillId="0" borderId="0" xfId="0" applyFont="1"/>
    <xf numFmtId="9" fontId="1" fillId="0" borderId="0" xfId="1" applyAlignment="1">
      <alignment horizontal="center"/>
    </xf>
    <xf numFmtId="9" fontId="1" fillId="0" borderId="0" xfId="2" applyNumberFormat="1" applyAlignment="1">
      <alignment horizontal="center" vertical="center"/>
    </xf>
    <xf numFmtId="10" fontId="1" fillId="0" borderId="0" xfId="1" applyNumberFormat="1" applyAlignment="1">
      <alignment horizontal="center" vertical="center"/>
    </xf>
    <xf numFmtId="168" fontId="1" fillId="0" borderId="0" xfId="1" applyNumberFormat="1" applyAlignment="1">
      <alignment horizontal="center" vertical="center"/>
    </xf>
    <xf numFmtId="9" fontId="0" fillId="16" borderId="0" xfId="0" applyNumberFormat="1" applyFill="1" applyAlignment="1">
      <alignment horizontal="center" vertical="center"/>
    </xf>
    <xf numFmtId="0" fontId="0" fillId="0" borderId="0" xfId="0" applyAlignment="1">
      <alignment horizontal="center" vertical="center" indent="1"/>
    </xf>
    <xf numFmtId="9" fontId="1" fillId="0" borderId="0" xfId="0" applyNumberFormat="1" applyFont="1" applyAlignment="1">
      <alignment horizontal="center" vertical="center"/>
    </xf>
    <xf numFmtId="0" fontId="1" fillId="0" borderId="0" xfId="0" applyFont="1"/>
    <xf numFmtId="167" fontId="1" fillId="0" borderId="0" xfId="1" applyNumberFormat="1" applyAlignment="1">
      <alignment horizontal="center" vertical="center"/>
    </xf>
    <xf numFmtId="165" fontId="1" fillId="0" borderId="0" xfId="2" applyNumberFormat="1"/>
    <xf numFmtId="8" fontId="0" fillId="0" borderId="0" xfId="0" applyNumberFormat="1"/>
    <xf numFmtId="0" fontId="3" fillId="2" borderId="15" xfId="0" applyFont="1" applyFill="1" applyBorder="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xf>
    <xf numFmtId="0" fontId="0" fillId="0" borderId="0" xfId="0"/>
    <xf numFmtId="0" fontId="9" fillId="17" borderId="0" xfId="0" applyFont="1" applyFill="1" applyAlignment="1">
      <alignment horizontal="center" vertical="center"/>
    </xf>
    <xf numFmtId="0" fontId="9" fillId="18" borderId="16" xfId="0" applyFont="1" applyFill="1" applyBorder="1" applyAlignment="1">
      <alignment horizontal="center" vertical="center"/>
    </xf>
    <xf numFmtId="0" fontId="0" fillId="13" borderId="0" xfId="0" applyFill="1" applyAlignment="1">
      <alignment horizontal="center" vertical="center"/>
    </xf>
    <xf numFmtId="0" fontId="3" fillId="8" borderId="0" xfId="0" applyFont="1" applyFill="1" applyAlignment="1">
      <alignment horizontal="center" vertical="center"/>
    </xf>
    <xf numFmtId="0" fontId="5" fillId="9" borderId="6" xfId="0" applyFont="1" applyFill="1" applyBorder="1" applyAlignment="1">
      <alignment horizontal="center"/>
    </xf>
    <xf numFmtId="0" fontId="0" fillId="0" borderId="6" xfId="0" applyBorder="1"/>
    <xf numFmtId="0" fontId="3" fillId="2" borderId="14"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0" xfId="0" applyFont="1" applyFill="1" applyBorder="1" applyAlignment="1"/>
    <xf numFmtId="9" fontId="0" fillId="0" borderId="0" xfId="0" applyNumberFormat="1" applyFont="1" applyFill="1" applyBorder="1" applyAlignment="1" applyProtection="1">
      <alignment horizontal="center"/>
    </xf>
    <xf numFmtId="0" fontId="0" fillId="0" borderId="13" xfId="0" applyFont="1" applyFill="1" applyBorder="1" applyAlignment="1"/>
    <xf numFmtId="10" fontId="0" fillId="0" borderId="0" xfId="0" applyNumberFormat="1" applyFont="1" applyFill="1" applyBorder="1" applyAlignment="1" applyProtection="1">
      <alignment horizontal="center"/>
    </xf>
    <xf numFmtId="167" fontId="0" fillId="0" borderId="0" xfId="0" applyNumberFormat="1" applyFont="1" applyFill="1" applyBorder="1" applyAlignment="1" applyProtection="1">
      <alignment horizontal="center"/>
    </xf>
    <xf numFmtId="0" fontId="0" fillId="0" borderId="0" xfId="0" pivotButton="1" applyAlignment="1"/>
    <xf numFmtId="0" fontId="0" fillId="0" borderId="0" xfId="0" applyAlignment="1"/>
    <xf numFmtId="9" fontId="0" fillId="0" borderId="0" xfId="0" applyNumberFormat="1" applyFont="1" applyFill="1" applyBorder="1" applyAlignment="1" applyProtection="1">
      <alignment horizontal="center" vertical="center"/>
    </xf>
    <xf numFmtId="0" fontId="0" fillId="0" borderId="10" xfId="0" applyFont="1" applyFill="1" applyBorder="1" applyAlignment="1"/>
    <xf numFmtId="0" fontId="0" fillId="0" borderId="11" xfId="0" applyFont="1" applyFill="1" applyBorder="1" applyAlignment="1"/>
    <xf numFmtId="0" fontId="0" fillId="0" borderId="12" xfId="0" applyFont="1" applyFill="1" applyBorder="1" applyAlignment="1"/>
    <xf numFmtId="0" fontId="0" fillId="0" borderId="2" xfId="0" applyFont="1" applyFill="1" applyBorder="1" applyAlignment="1"/>
    <xf numFmtId="0" fontId="0" fillId="0" borderId="1" xfId="0" applyFont="1" applyFill="1" applyBorder="1" applyAlignment="1"/>
    <xf numFmtId="44" fontId="0" fillId="0" borderId="0" xfId="0" applyNumberFormat="1" applyFont="1" applyFill="1" applyBorder="1" applyAlignment="1" applyProtection="1"/>
    <xf numFmtId="44" fontId="0" fillId="0" borderId="0" xfId="0" applyNumberFormat="1" applyFont="1" applyFill="1" applyBorder="1" applyAlignment="1" applyProtection="1">
      <alignment horizontal="center" vertical="center"/>
    </xf>
    <xf numFmtId="44" fontId="0" fillId="0" borderId="10" xfId="0" applyNumberFormat="1" applyFont="1" applyFill="1" applyBorder="1" applyAlignment="1">
      <alignment horizontal="center" vertical="center"/>
    </xf>
    <xf numFmtId="44" fontId="0" fillId="0" borderId="2" xfId="0" applyNumberFormat="1" applyFont="1" applyFill="1" applyBorder="1" applyAlignment="1">
      <alignment horizontal="center" vertical="center"/>
    </xf>
    <xf numFmtId="44" fontId="0" fillId="0" borderId="1" xfId="0" applyNumberFormat="1" applyFont="1" applyFill="1" applyBorder="1" applyAlignment="1">
      <alignment horizontal="center" vertical="center"/>
    </xf>
    <xf numFmtId="0" fontId="0" fillId="0" borderId="2" xfId="0" applyFont="1" applyFill="1" applyBorder="1" applyAlignment="1">
      <alignment horizontal="left" vertical="center"/>
    </xf>
  </cellXfs>
  <cellStyles count="4">
    <cellStyle name="Currency" xfId="2" builtinId="4"/>
    <cellStyle name="Currency 2" xfId="3" xr:uid="{00000000-0005-0000-0000-000003000000}"/>
    <cellStyle name="Normal" xfId="0" builtinId="0"/>
    <cellStyle name="Percent" xfId="1" builtinId="5"/>
  </cellStyles>
  <dxfs count="500">
    <dxf>
      <numFmt numFmtId="2" formatCode="0.00"/>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2" formatCode="mmm/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strike val="0"/>
        <condense val="0"/>
        <extend val="0"/>
        <outline val="0"/>
        <shadow val="0"/>
        <vertAlign val="baseline"/>
        <sz val="12"/>
        <color theme="1"/>
        <name val="Calibri"/>
        <family val="2"/>
        <scheme val="minor"/>
      </font>
      <numFmt numFmtId="165" formatCode="_-[$$-409]* #,##0.00_ ;_-[$$-409]* \-#,##0.00\ ;_-[$$-409]* &quot;-&quot;??_ ;_-@_ "/>
      <fill>
        <patternFill patternType="solid">
          <fgColor indexed="64"/>
          <bgColor rgb="FF92D050"/>
        </patternFill>
      </fill>
      <alignment horizontal="center" vertical="bottom" textRotation="0" wrapText="0" indent="0" justifyLastLine="0" shrinkToFit="0" readingOrder="0"/>
      <border outline="0">
        <left/>
        <right/>
        <top style="medium">
          <color indexed="64"/>
        </top>
        <bottom/>
      </border>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numFmt numFmtId="0" formatCode="General"/>
      <fill>
        <patternFill patternType="solid">
          <fgColor indexed="64"/>
          <bgColor rgb="FF92D050"/>
        </patternFill>
      </fil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dxf>
    <dxf>
      <font>
        <strike val="0"/>
        <condense val="0"/>
        <extend val="0"/>
        <outline val="0"/>
        <shadow val="0"/>
        <vertAlign val="baseline"/>
        <sz val="12"/>
        <color theme="1"/>
        <name val="Calibri"/>
        <family val="2"/>
        <scheme val="minor"/>
      </font>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font>
        <strike val="0"/>
        <outline val="0"/>
        <shadow val="0"/>
        <vertAlign val="baseline"/>
        <sz val="12"/>
        <color theme="1"/>
        <name val="Calibri"/>
        <family val="2"/>
        <scheme val="minor"/>
      </font>
      <fill>
        <patternFill patternType="solid">
          <fgColor indexed="64"/>
          <bgColor rgb="FF92D050"/>
        </patternFill>
      </fill>
      <alignment horizontal="left" vertical="center" textRotation="0" wrapText="0" indent="0" justifyLastLine="0" shrinkToFit="0" readingOrder="0"/>
      <border outline="0">
        <left/>
        <right/>
        <top style="medium">
          <color indexed="64"/>
        </top>
        <bottom/>
      </border>
      <protection locked="1" hidden="0"/>
    </dxf>
    <dxf>
      <font>
        <strike val="0"/>
        <outline val="0"/>
        <shadow val="0"/>
        <vertAlign val="baseline"/>
        <sz val="12"/>
        <color rgb="FF000000"/>
        <name val="Calibri"/>
        <family val="2"/>
      </font>
      <numFmt numFmtId="22" formatCode="mmm/yy"/>
      <fill>
        <patternFill patternType="solid">
          <fgColor indexed="64"/>
          <bgColor rgb="FF92D050"/>
        </patternFill>
      </fill>
      <alignment horizontal="center" vertical="center" textRotation="0" wrapText="0" indent="0" justifyLastLine="0" shrinkToFit="0" readingOrder="0"/>
      <border outline="0">
        <left/>
        <right/>
        <top style="medium">
          <color indexed="64"/>
        </top>
        <bottom/>
      </border>
      <protection locked="1" hidden="0"/>
    </dxf>
    <dxf>
      <alignment horizontal="cent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3" formatCode="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ont>
        <strike val="0"/>
        <condense val="0"/>
        <extend val="0"/>
        <outline val="0"/>
        <shadow val="0"/>
        <vertAlign val="baseline"/>
        <sz val="12"/>
        <color theme="1"/>
        <name val="Calibri"/>
        <family val="2"/>
        <scheme val="minor"/>
      </font>
      <numFmt numFmtId="34" formatCode="_-&quot;R$&quot;\ * #,##0.00_-;\-&quot;R$&quot;\ * #,##0.00_-;_-&quot;R$&quot;\ * &quot;-&quot;??_-;_-@_-"/>
      <fill>
        <patternFill>
          <fgColor indexed="64"/>
          <bgColor indexed="65"/>
        </patternFill>
      </fill>
      <alignment horizontal="general" vertical="bottom"/>
      <border outline="0">
        <left/>
        <right/>
        <top/>
        <bottom/>
      </border>
      <protection locked="1" hidden="0"/>
    </dxf>
    <dxf>
      <alignment horizontal="center"/>
    </dxf>
    <dxf>
      <alignment vertical="center"/>
    </dxf>
    <dxf>
      <border>
        <left/>
        <right/>
        <top/>
        <horizontal/>
      </border>
    </dxf>
    <dxf>
      <border>
        <left/>
        <right/>
        <top/>
        <horizontal/>
      </border>
    </dxf>
    <dxf>
      <border>
        <left/>
        <right/>
        <top/>
        <horizontal/>
      </border>
    </dxf>
    <dxf>
      <border>
        <left/>
        <right/>
        <top/>
        <horizontal/>
      </border>
    </dxf>
    <dxf>
      <border>
        <left/>
        <right/>
        <top/>
        <horizontal/>
      </border>
    </dxf>
    <dxf>
      <border>
        <left/>
        <right/>
        <top/>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horizontal="center"/>
    </dxf>
    <dxf>
      <alignment horizontal="center"/>
    </dxf>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alignment horizontal="center"/>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numFmt numFmtId="34" formatCode="_-&quot;R$&quot;\ * #,##0.00_-;\-&quot;R$&quot;\ * #,##0.00_-;_-&quot;R$&quot;\ * &quot;-&quot;??_-;_-@_-"/>
      <alignment horizontal="center" vertical="center"/>
    </dxf>
    <dxf>
      <alignment horizontal="center"/>
    </dxf>
    <dxf>
      <alignment vertical="center"/>
    </dxf>
    <dxf>
      <alignment vertic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3" formatCode="0%"/>
    </dxf>
    <dxf>
      <alignment horizontal="center"/>
    </dxf>
    <dxf>
      <alignment vertic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4"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vertical="center"/>
    </dxf>
    <dxf>
      <alignment vertical="center"/>
    </dxf>
    <dxf>
      <alignment horizontal="left"/>
    </dxf>
    <dxf>
      <fill>
        <patternFill patternType="solid">
          <fgColor indexed="64"/>
          <bgColor rgb="FF92D050"/>
        </patternFill>
      </fill>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numFmt numFmtId="14" formatCode="0.00%"/>
    </dxf>
    <dxf>
      <fill>
        <patternFill>
          <fgColor indexed="64"/>
          <bgColor indexed="65"/>
        </patternFill>
      </fill>
      <alignment horizontal="general" vertical="bottom"/>
    </dxf>
    <dxf>
      <alignment horizont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horizontal="center"/>
    </dxf>
    <dxf>
      <alignment horizontal="center"/>
    </dxf>
    <dxf>
      <alignment horizontal="cent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numFmt numFmtId="14" formatCode="0.0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alignment vertical="center"/>
    </dxf>
    <dxf>
      <alignment vertical="center"/>
    </dxf>
    <dxf>
      <alignment horizontal="left"/>
    </dxf>
    <dxf>
      <border>
        <left style="medium">
          <color indexed="64"/>
        </left>
        <right style="medium">
          <color indexed="64"/>
        </right>
        <top style="medium">
          <color indexed="64"/>
        </top>
        <bottom style="medium">
          <color indexed="64"/>
        </bottom>
      </bord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alignment horizontal="center"/>
    </dxf>
    <dxf>
      <alignment vertical="center"/>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border>
        <left/>
        <right/>
        <top/>
        <horizontal/>
      </border>
    </dxf>
    <dxf>
      <border>
        <left/>
        <right/>
        <top/>
        <horizontal/>
      </border>
    </dxf>
    <dxf>
      <border>
        <left/>
        <right/>
        <top/>
        <horizontal/>
      </border>
    </dxf>
    <dxf>
      <border>
        <left/>
        <right/>
        <top/>
        <horizontal/>
      </border>
    </dxf>
    <dxf>
      <border>
        <left/>
        <right/>
        <top/>
        <horizontal/>
      </bord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center"/>
    </dxf>
    <dxf>
      <numFmt numFmtId="14" formatCode="0.00%"/>
    </dxf>
    <dxf>
      <numFmt numFmtId="167" formatCode="0.0%"/>
    </dxf>
    <dxf>
      <numFmt numFmtId="34" formatCode="_-&quot;R$&quot;\ * #,##0.00_-;\-&quot;R$&quot;\ * #,##0.00_-;_-&quot;R$&quot;\ * &quot;-&quot;??_-;_-@_-"/>
    </dxf>
    <dxf>
      <numFmt numFmtId="34" formatCode="_-&quot;R$&quot;\ * #,##0.00_-;\-&quot;R$&quot;\ * #,##0.00_-;_-&quot;R$&quot;\ * &quot;-&quot;??_-;_-@_-"/>
    </dxf>
    <dxf>
      <font>
        <strike val="0"/>
        <condense val="0"/>
        <extend val="0"/>
        <outline val="0"/>
        <shadow val="0"/>
        <vertAlign val="baseline"/>
        <sz val="12"/>
        <color theme="1"/>
        <name val="Calibri"/>
        <family val="2"/>
        <scheme val="minor"/>
      </font>
      <numFmt numFmtId="34" formatCode="_-&quot;R$&quot;\ * #,##0.00_-;\-&quot;R$&quot;\ * #,##0.00_-;_-&quot;R$&quot;\ * &quot;-&quot;??_-;_-@_-"/>
      <fill>
        <patternFill patternType="solid">
          <fgColor theme="4" tint="0.79998168889431442"/>
          <bgColor theme="0"/>
        </patternFill>
      </fill>
      <border>
        <left style="thin">
          <color theme="4" tint="0.39997558519241921"/>
        </left>
        <right/>
        <top style="thin">
          <color theme="4" tint="0.39997558519241921"/>
        </top>
        <bottom/>
        <vertical/>
        <horizontal/>
      </border>
    </dxf>
    <dxf>
      <alignment horizontal="center" vertical="center"/>
    </dxf>
    <dxf>
      <border outline="0">
        <left style="thin">
          <color theme="4" tint="0.39997558519241921"/>
        </left>
        <right style="thin">
          <color theme="4" tint="0.39997558519241921"/>
        </right>
        <top style="thin">
          <color theme="4" tint="0.39997558519241921"/>
        </top>
        <bottom style="thin">
          <color theme="4" tint="0.39997558519241921"/>
        </bottom>
      </border>
    </dxf>
    <dxf>
      <font>
        <b/>
        <strike val="0"/>
        <condense val="0"/>
        <extend val="0"/>
        <outline val="0"/>
        <shadow val="0"/>
        <vertAlign val="baseline"/>
        <sz val="12"/>
        <color theme="0"/>
        <name val="Calibri"/>
        <family val="2"/>
        <scheme val="minor"/>
      </font>
      <fill>
        <patternFill patternType="solid">
          <fgColor theme="4"/>
          <bgColor theme="4"/>
        </patternFill>
      </fill>
      <alignment horizontal="center" vertical="center"/>
    </dxf>
    <dxf>
      <numFmt numFmtId="34" formatCode="_-&quot;R$&quot;\ * #,##0.00_-;\-&quot;R$&quot;\ * #,##0.00_-;_-&quot;R$&quot;\ * &quot;-&quot;??_-;_-@_-"/>
    </dxf>
    <dxf>
      <alignment horizontal="center" vertical="center"/>
    </dxf>
    <dxf>
      <numFmt numFmtId="34" formatCode="_-&quot;R$&quot;\ * #,##0.00_-;\-&quot;R$&quot;\ * #,##0.00_-;_-&quot;R$&quot;\ * &quot;-&quot;??_-;_-@_-"/>
    </dxf>
    <dxf>
      <font>
        <strike val="0"/>
        <condense val="0"/>
        <extend val="0"/>
        <outline val="0"/>
        <shadow val="0"/>
        <vertAlign val="baseline"/>
        <sz val="12"/>
        <color theme="1"/>
        <name val="Calibri"/>
        <family val="2"/>
        <scheme val="minor"/>
      </font>
    </dxf>
    <dxf>
      <alignment horizontal="left" vertical="bottom"/>
    </dxf>
    <dxf>
      <alignment horizontal="center"/>
    </dxf>
    <dxf>
      <alignment horizontal="center" vertical="center"/>
    </dxf>
    <dxf>
      <numFmt numFmtId="34" formatCode="_-&quot;R$&quot;\ * #,##0.00_-;\-&quot;R$&quot;\ * #,##0.00_-;_-&quot;R$&quot;\ * &quot;-&quot;??_-;_-@_-"/>
    </dxf>
    <dxf>
      <numFmt numFmtId="34" formatCode="_-&quot;R$&quot;\ * #,##0.00_-;\-&quot;R$&quot;\ * #,##0.00_-;_-&quot;R$&quot;\ * &quot;-&quot;??_-;_-@_-"/>
      <protection locked="1" hidden="0"/>
    </dxf>
    <dxf>
      <alignment horizontal="center" vertical="center"/>
    </dxf>
    <dxf>
      <protection locked="1" hidden="0"/>
    </dxf>
    <dxf>
      <protection locked="1" hidden="0"/>
    </dxf>
    <dxf>
      <protection locked="1" hidden="0"/>
    </dxf>
    <dxf>
      <alignment horizontal="center" vertical="center"/>
      <protection locked="1" hidden="0"/>
    </dxf>
    <dxf>
      <protection locked="1" hidden="0"/>
    </dxf>
    <dxf>
      <numFmt numFmtId="34" formatCode="_-&quot;R$&quot;\ * #,##0.00_-;\-&quot;R$&quot;\ * #,##0.00_-;_-&quot;R$&quot;\ * &quot;-&quot;??_-;_-@_-"/>
    </dxf>
    <dxf>
      <protection locked="1" hidden="0"/>
    </dxf>
    <dxf>
      <alignment horizontal="center" vertical="center"/>
    </dxf>
    <dxf>
      <alignment horizontal="left" vertical="center"/>
      <protection locked="1" hidden="0"/>
    </dxf>
    <dxf>
      <protection locked="1" hidden="0"/>
    </dxf>
    <dxf>
      <protection locked="1" hidden="0"/>
    </dxf>
    <dxf>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protection locked="1" hidden="0"/>
    </dxf>
    <dxf>
      <numFmt numFmtId="34" formatCode="_-&quot;R$&quot;\ * #,##0.00_-;\-&quot;R$&quot;\ * #,##0.00_-;_-&quot;R$&quot;\ * &quot;-&quot;??_-;_-@_-"/>
    </dxf>
    <dxf>
      <numFmt numFmtId="34" formatCode="_-&quot;R$&quot;\ * #,##0.00_-;\-&quot;R$&quot;\ * #,##0.00_-;_-&quot;R$&quot;\ * &quot;-&quot;??_-;_-@_-"/>
      <protection locked="1" hidden="0"/>
    </dxf>
    <dxf>
      <numFmt numFmtId="34" formatCode="_-&quot;R$&quot;\ * #,##0.00_-;\-&quot;R$&quot;\ * #,##0.00_-;_-&quot;R$&quot;\ * &quot;-&quot;??_-;_-@_-"/>
    </dxf>
    <dxf>
      <protection locked="1" hidden="0"/>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protection locked="1" hidden="0"/>
    </dxf>
    <dxf>
      <numFmt numFmtId="34" formatCode="_-&quot;R$&quot;\ * #,##0.00_-;\-&quot;R$&quot;\ * #,##0.00_-;_-&quot;R$&quot;\ * &quot;-&quot;??_-;_-@_-"/>
    </dxf>
    <dxf>
      <protection locked="1" hidden="0"/>
    </dxf>
    <dxf>
      <alignment horizontal="center" vertical="bottom"/>
    </dxf>
    <dxf>
      <protection locked="1" hidden="0"/>
    </dxf>
    <dxf>
      <protection locked="1" hidden="0"/>
    </dxf>
    <dxf>
      <border outline="0">
        <right style="thin">
          <color theme="4" tint="0.39997558519241921"/>
        </right>
      </border>
    </dxf>
    <dxf>
      <protection locked="1" hidden="0"/>
    </dxf>
    <dxf>
      <font>
        <b/>
        <strike val="0"/>
        <condense val="0"/>
        <extend val="0"/>
        <outline val="0"/>
        <shadow val="0"/>
        <vertAlign val="baseline"/>
        <sz val="12"/>
        <color rgb="FFFFFFFF"/>
        <name val="Calibri"/>
        <family val="2"/>
        <scheme val="minor"/>
      </font>
      <fill>
        <patternFill patternType="solid">
          <fgColor rgb="FF4472C4"/>
          <bgColor theme="3"/>
        </patternFill>
      </fill>
      <alignment horizontal="center" vertical="center"/>
      <protection locked="1" hidden="0"/>
    </dxf>
    <dxf>
      <numFmt numFmtId="0" formatCode="General"/>
      <alignment horizontal="center" vertical="center" textRotation="0" wrapText="0" indent="0" justifyLastLine="0" shrinkToFit="0" readingOrder="0"/>
    </dxf>
    <dxf>
      <numFmt numFmtId="34" formatCode="_-&quot;R$&quot;\ * #,##0.00_-;\-&quot;R$&quot;\ * #,##0.00_-;_-&quot;R$&quot;\ * &quot;-&quot;??_-;_-@_-"/>
    </dxf>
    <dxf>
      <numFmt numFmtId="34" formatCode="_-&quot;R$&quot;\ * #,##0.00_-;\-&quot;R$&quot;\ * #,##0.00_-;_-&quot;R$&quot;\ * &quot;-&quot;??_-;_-@_-"/>
      <alignment horizontal="center" vertical="center" textRotation="0" wrapText="0" indent="0" justifyLastLine="0" shrinkToFit="0" readingOrder="0"/>
    </dxf>
    <dxf>
      <numFmt numFmtId="34" formatCode="_-&quot;R$&quot;\ * #,##0.00_-;\-&quot;R$&quot;\ * #,##0.00_-;_-&quot;R$&quot;\ * &quot;-&quot;??_-;_-@_-"/>
    </dxf>
    <dxf>
      <numFmt numFmtId="34" formatCode="_-&quot;R$&quot;\ * #,##0.00_-;\-&quot;R$&quot;\ * #,##0.00_-;_-&quot;R$&quot;\ * &quot;-&quot;??_-;_-@_-"/>
      <alignment horizontal="center" vertical="center" textRotation="0" wrapText="0" indent="0" justifyLastLine="0" shrinkToFit="0" readingOrder="0"/>
    </dxf>
    <dxf>
      <numFmt numFmtId="34" formatCode="_-&quot;R$&quot;\ * #,##0.00_-;\-&quot;R$&quot;\ * #,##0.00_-;_-&quot;R$&quot;\ * &quot;-&quot;??_-;_-@_-"/>
    </dxf>
    <dxf>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4" formatCode="_-&quot;R$&quot;\ * #,##0.00_-;\-&quot;R$&quot;\ * #,##0.00_-;_-&quot;R$&quot;\ * &quot;-&quot;??_-;_-@_-"/>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3" formatCode="0%"/>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solid">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fill>
        <patternFill>
          <fgColor indexed="64"/>
          <bgColor indexed="65"/>
        </patternFill>
      </fill>
      <alignment horizontal="center" vertical="center"/>
      <protection locked="1" hidden="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3" formatCode="0%"/>
      <alignment horizontal="center" vertical="center"/>
    </dxf>
    <dxf>
      <alignment horizontal="center" vertical="center"/>
    </dxf>
    <dxf>
      <alignment horizontal="center" vertical="center"/>
    </dxf>
    <dxf>
      <numFmt numFmtId="0" formatCode="General"/>
    </dxf>
    <dxf>
      <alignment horizontal="center" vertic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67" formatCode="0.0%"/>
      <alignment horizontal="center" vertical="center"/>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4" formatCode="_-&quot;R$&quot;\ * #,##0.00_-;\-&quot;R$&quot;\ * #,##0.00_-;_-&quot;R$&quot;\ * &quot;-&quot;??_-;_-@_-"/>
    </dxf>
    <dxf>
      <numFmt numFmtId="0" formatCode="General"/>
    </dxf>
    <dxf>
      <alignment horizontal="center" vertical="center"/>
    </dxf>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4" formatCode="_-&quot;R$&quot;\ * #,##0.00_-;\-&quot;R$&quot;\ * #,##0.00_-;_-&quot;R$&quot;\ * &quot;-&quot;??_-;_-@_-"/>
      <fill>
        <patternFill patternType="solid">
          <fgColor theme="8" tint="0.79998168889431442"/>
          <bgColor theme="8" tint="0.79998168889431442"/>
        </patternFill>
      </fill>
      <alignment horizontal="center" vertical="center" textRotation="0" wrapText="0" indent="0" justifyLastLine="0" shrinkToFit="0" readingOrder="0"/>
      <border diagonalUp="0" diagonalDown="0" outline="0">
        <left style="thin">
          <color theme="8"/>
        </left>
        <right style="thin">
          <color theme="8"/>
        </right>
        <top/>
        <bottom/>
      </bord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dxf>
    <dxf>
      <alignment horizontal="left" vertical="center"/>
    </dxf>
    <dxf>
      <numFmt numFmtId="0" formatCode="General"/>
      <alignment horizontal="left" vertical="center"/>
    </dxf>
    <dxf>
      <alignment horizontal="center" vertical="center"/>
    </dxf>
    <dxf>
      <border outline="0">
        <bottom style="thin">
          <color theme="4" tint="0.39997558519241921"/>
        </bottom>
      </border>
    </dxf>
    <dxf>
      <alignment horizontal="center" vertical="center"/>
    </dxf>
    <dxf>
      <numFmt numFmtId="167" formatCode="0.0%"/>
    </dxf>
    <dxf>
      <numFmt numFmtId="14" formatCode="0.00%"/>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horizontal/>
      </border>
    </dxf>
    <dxf>
      <border>
        <left/>
        <right/>
        <top/>
        <horizontal/>
      </border>
    </dxf>
    <dxf>
      <border>
        <left/>
        <right/>
        <top/>
        <horizontal/>
      </border>
    </dxf>
    <dxf>
      <border>
        <left/>
        <right/>
        <top/>
        <horizontal/>
      </border>
    </dxf>
    <dxf>
      <border>
        <left/>
        <right/>
        <top/>
        <horizontal/>
      </border>
    </dxf>
    <dxf>
      <alignment horizontal="center"/>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alignment horizontal="left"/>
    </dxf>
    <dxf>
      <alignment vertic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alignment horizontal="center"/>
    </dxf>
    <dxf>
      <alignment horizontal="center"/>
    </dxf>
    <dxf>
      <alignment horizont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alignment horizontal="lef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vertical="center"/>
    </dxf>
    <dxf>
      <alignment horizontal="center"/>
    </dxf>
    <dxf>
      <numFmt numFmtId="13" formatCode="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vertical="center"/>
    </dxf>
    <dxf>
      <alignment vertical="center"/>
    </dxf>
    <dxf>
      <alignment horizontal="center"/>
    </dxf>
    <dxf>
      <numFmt numFmtId="34" formatCode="_-&quot;R$&quot;\ * #,##0.00_-;\-&quot;R$&quot;\ * #,##0.00_-;_-&quot;R$&quot;\ * &quot;-&quot;??_-;_-@_-"/>
      <alignment horizontal="center" vertical="center"/>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fill>
        <patternFill>
          <fgColor indexed="64"/>
          <bgColor indexed="65"/>
        </patternFill>
      </fill>
    </dxf>
    <dxf>
      <alignment horizontal="center"/>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horizontal="center"/>
    </dxf>
    <dxf>
      <alignment horizontal="center"/>
    </dxf>
    <dxf>
      <alignment vertic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left/>
        <right/>
        <top/>
        <horizontal/>
      </border>
    </dxf>
    <dxf>
      <border>
        <left/>
        <right/>
        <top/>
        <horizontal/>
      </border>
    </dxf>
    <dxf>
      <border>
        <left/>
        <right/>
        <top/>
        <horizontal/>
      </border>
    </dxf>
    <dxf>
      <border>
        <left/>
        <right/>
        <top/>
        <horizontal/>
      </border>
    </dxf>
    <dxf>
      <border>
        <left/>
        <right/>
        <top/>
        <horizontal/>
      </border>
    </dxf>
    <dxf>
      <border>
        <left/>
        <right/>
        <top/>
        <horizontal/>
      </border>
    </dxf>
    <dxf>
      <alignment vertical="center"/>
    </dxf>
    <dxf>
      <alignment horizontal="center"/>
    </dxf>
    <dxf>
      <font>
        <strike val="0"/>
        <condense val="0"/>
        <extend val="0"/>
        <outline val="0"/>
        <shadow val="0"/>
        <vertAlign val="baseline"/>
        <sz val="12"/>
        <color theme="1"/>
        <name val="Calibri"/>
        <family val="2"/>
        <scheme val="minor"/>
      </font>
      <numFmt numFmtId="34" formatCode="_-&quot;R$&quot;\ * #,##0.00_-;\-&quot;R$&quot;\ * #,##0.00_-;_-&quot;R$&quot;\ * &quot;-&quot;??_-;_-@_-"/>
      <fill>
        <patternFill>
          <fgColor indexed="64"/>
          <bgColor indexed="65"/>
        </patternFill>
      </fill>
      <alignment horizontal="general" vertical="bottom"/>
      <border outline="0">
        <left/>
        <right/>
        <top/>
        <bottom/>
      </border>
      <protection locked="1" hidden="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fill>
        <patternFill>
          <fgColor indexed="64"/>
          <bgColor indexed="65"/>
        </patternFill>
      </fill>
      <alignment horizontal="general" vertical="bottom"/>
    </dxf>
    <dxf>
      <numFmt numFmtId="14" formatCode="0.00%"/>
    </dxf>
    <dxf>
      <alignment vertical="center"/>
    </dxf>
    <dxf>
      <alignment horizontal="center"/>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font>
        <strike val="0"/>
        <condense val="0"/>
        <extend val="0"/>
        <outline val="0"/>
        <shadow val="0"/>
        <vertAlign val="baseline"/>
        <sz val="12"/>
        <color theme="1"/>
        <name val="Calibri"/>
        <family val="2"/>
        <scheme val="minor"/>
      </font>
      <fill>
        <patternFill>
          <fgColor indexed="64"/>
          <bgColor indexed="65"/>
        </patternFill>
      </fill>
      <alignment horizontal="general"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92D050"/>
        </patternFill>
      </fill>
      <alignment horizontal="center"/>
    </dxf>
    <dxf>
      <alignment horizontal="left"/>
    </dxf>
    <dxf>
      <alignment vertical="center"/>
    </dxf>
    <dxf>
      <alignment vertical="center"/>
    </dxf>
    <dxf>
      <alignment horizontal="left"/>
    </dxf>
    <dxf>
      <alignment vertical="center"/>
    </dxf>
    <dxf>
      <alignment vertical="center"/>
    </dxf>
    <dxf>
      <alignment vertical="center"/>
    </dxf>
    <dxf>
      <alignment vertical="center"/>
    </dxf>
    <dxf>
      <alignment horizontal="center"/>
    </dxf>
    <dxf>
      <alignment horizontal="center"/>
    </dxf>
    <dxf>
      <alignment horizontal="center"/>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3" formatCode="0%"/>
    </dxf>
    <dxf>
      <font>
        <strike val="0"/>
        <condense val="0"/>
        <extend val="0"/>
        <outline val="0"/>
        <shadow val="0"/>
        <vertAlign val="baseline"/>
        <sz val="12"/>
        <color theme="1"/>
        <name val="Calibri"/>
        <family val="2"/>
        <scheme val="minor"/>
      </font>
      <numFmt numFmtId="13" formatCode="0%"/>
      <fill>
        <patternFill>
          <fgColor indexed="64"/>
          <bgColor indexed="65"/>
        </patternFill>
      </fill>
      <alignment horizontal="general" vertical="bottom"/>
      <border outline="0">
        <left/>
        <right/>
        <top/>
        <bottom/>
      </border>
      <protection locked="1" hidden="0"/>
    </dxf>
    <dxf>
      <alignment horizontal="center"/>
    </dxf>
    <dxf>
      <alignment horizontal="center"/>
    </dxf>
    <dxf>
      <alignment horizontal="center"/>
    </dxf>
    <dxf>
      <alignment horizontal="general" indent="0"/>
    </dxf>
    <dxf>
      <alignment horizontal="left"/>
    </dxf>
    <dxf>
      <alignment horizontal="center" indent="0"/>
    </dxf>
    <dxf>
      <alignment horizontal="center" indent="0"/>
    </dxf>
    <dxf>
      <alignment horizontal="left"/>
    </dxf>
    <dxf>
      <alignment vertical="center"/>
    </dxf>
    <dxf>
      <alignment vertical="center"/>
    </dxf>
    <dxf>
      <alignment vertical="center"/>
    </dxf>
    <dxf>
      <alignment horizontal="center"/>
    </dxf>
    <dxf>
      <alignment horizontal="center"/>
    </dxf>
    <dxf>
      <alignment horizontal="center"/>
    </dxf>
    <dxf>
      <alignment horizontal="center" vertical="center"/>
    </dxf>
    <dxf>
      <alignment horizontal="center" vertical="center"/>
    </dxf>
    <dxf>
      <alignment horizontal="center" vertical="center"/>
    </dxf>
    <dxf>
      <alignment horizontal="center" vertical="center"/>
    </dxf>
    <dxf>
      <numFmt numFmtId="22" formatCode="mmm/yy"/>
      <alignment horizontal="center" vertical="center"/>
    </dxf>
    <dxf>
      <alignment horizontal="center" vertical="center"/>
    </dxf>
    <dxf>
      <alignment horizontal="center" vertical="center"/>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protection locked="1" hidden="0"/>
    </dxf>
    <dxf>
      <font>
        <b val="0"/>
        <i val="0"/>
        <strike val="0"/>
        <condense val="0"/>
        <extend val="0"/>
        <outline val="0"/>
        <shadow val="0"/>
        <u val="none"/>
        <vertAlign val="baseline"/>
        <sz val="12"/>
        <color theme="1"/>
        <name val="Calibri"/>
        <family val="2"/>
        <scheme val="minor"/>
      </font>
      <numFmt numFmtId="34" formatCode="_-&quot;R$&quot;\ * #,##0.00_-;\-&quot;R$&quot;\ * #,##0.00_-;_-&quot;R$&quot;\ * &quot;-&quot;??_-;_-@_-"/>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34" formatCode="_-&quot;R$&quot;\ * #,##0.00_-;\-&quot;R$&quot;\ * #,##0.00_-;_-&quot;R$&quot;\ * &quot;-&quot;??_-;_-@_-"/>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alignment horizontal="center" vertical="center" textRotation="0" wrapText="0" indent="0" justifyLastLine="0" shrinkToFit="0" readingOrder="0"/>
    </dxf>
    <dxf>
      <numFmt numFmtId="34" formatCode="_-&quot;R$&quot;\ * #,##0.00_-;\-&quot;R$&quot;\ * #,##0.00_-;_-&quot;R$&quot;\ * &quot;-&quot;??_-;_-@_-"/>
      <fill>
        <patternFill patternType="solid">
          <fgColor indexed="64"/>
          <bgColor rgb="FF92D050"/>
        </patternFill>
      </fill>
      <alignment horizontal="center" vertical="bottom" textRotation="0" wrapText="0" indent="0" justifyLastLine="0" shrinkToFit="0" readingOrder="0"/>
      <border>
        <left/>
        <right/>
        <top style="medium">
          <color indexed="64"/>
        </top>
        <bottom/>
      </border>
      <protection locked="1" hidden="0"/>
    </dxf>
    <dxf>
      <border outline="0">
        <top style="medium">
          <color rgb="FF000000"/>
        </top>
      </border>
    </dxf>
    <dxf>
      <alignment horizontal="center"/>
      <protection locked="1" hidden="0"/>
    </dxf>
    <dxf>
      <border outline="0">
        <top style="medium">
          <color indexed="64"/>
        </top>
      </border>
    </dxf>
    <dxf>
      <alignment horizontal="center" vertical="bottom" textRotation="0" wrapText="0" indent="0" justifyLastLine="0" shrinkToFit="0" readingOrder="0"/>
    </dxf>
  </dxfs>
  <tableStyles count="0" defaultTableStyle="TableStyleMedium2" defaultPivotStyle="PivotStyleLight16"/>
  <colors>
    <mruColors>
      <color rgb="FF8942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[NEW_01-Nando-Din.xlsx]Tables_Atual_Ideal!PivotTable2</c:name>
    <c:fmtId val="2"/>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Evolução de Patrimônio</a:t>
            </a:r>
          </a:p>
        </c:rich>
      </c:tx>
      <c:overlay val="0"/>
      <c:spPr>
        <a:noFill/>
        <a:ln>
          <a:noFill/>
          <a:prstDash val="solid"/>
        </a:ln>
      </c:sp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200" b="0" i="0" strike="noStrike" kern="1200" baseline="0">
                  <a:solidFill>
                    <a:schemeClr val="lt1">
                      <a:lumMod val="85000"/>
                    </a:schemeClr>
                  </a:solidFill>
                  <a:latin typeface="+mn-lt"/>
                  <a:ea typeface="+mn-ea"/>
                  <a:cs typeface="+mn-cs"/>
                </a:defRPr>
              </a:pPr>
              <a:endParaRPr lang="en-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s>
    <c:plotArea>
      <c:layout/>
      <c:barChart>
        <c:barDir val="col"/>
        <c:grouping val="clustered"/>
        <c:varyColors val="0"/>
        <c:ser>
          <c:idx val="0"/>
          <c:order val="0"/>
          <c:tx>
            <c:strRef>
              <c:f>Tables_Atual_Ideal!$C$68</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200" b="0" i="0" strike="noStrike" kern="1200" baseline="0">
                    <a:solidFill>
                      <a:schemeClr val="lt1">
                        <a:lumMod val="85000"/>
                      </a:schemeClr>
                    </a:solidFill>
                    <a:latin typeface="+mn-lt"/>
                    <a:ea typeface="+mn-ea"/>
                    <a:cs typeface="+mn-cs"/>
                  </a:defRPr>
                </a:pPr>
                <a:endParaRPr lang="en-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Tables_Atual_Ideal!$B$69:$B$80</c:f>
              <c:strCache>
                <c:ptCount val="12"/>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strCache>
            </c:strRef>
          </c:cat>
          <c:val>
            <c:numRef>
              <c:f>Tables_Atual_Ideal!$C$69:$C$80</c:f>
              <c:numCache>
                <c:formatCode>_("R$"* #,##0.00_);_("R$"* \(#,##0.00\);_("R$"* "-"??_);_(@_)</c:formatCode>
                <c:ptCount val="12"/>
                <c:pt idx="0">
                  <c:v>220555.63738425999</c:v>
                </c:pt>
                <c:pt idx="1">
                  <c:v>225232.87652798771</c:v>
                </c:pt>
                <c:pt idx="2">
                  <c:v>231459.57097011153</c:v>
                </c:pt>
                <c:pt idx="3">
                  <c:v>232057.06637545509</c:v>
                </c:pt>
                <c:pt idx="4">
                  <c:v>214211.33912420351</c:v>
                </c:pt>
                <c:pt idx="5">
                  <c:v>215929.93765553352</c:v>
                </c:pt>
                <c:pt idx="6">
                  <c:v>187954.69352189402</c:v>
                </c:pt>
                <c:pt idx="7">
                  <c:v>199651.29491026778</c:v>
                </c:pt>
                <c:pt idx="8">
                  <c:v>207017.14618094146</c:v>
                </c:pt>
                <c:pt idx="9">
                  <c:v>219505.54447410066</c:v>
                </c:pt>
                <c:pt idx="10">
                  <c:v>197861.65772847316</c:v>
                </c:pt>
                <c:pt idx="11">
                  <c:v>217072.73093802421</c:v>
                </c:pt>
              </c:numCache>
            </c:numRef>
          </c:val>
          <c:extLst>
            <c:ext xmlns:c16="http://schemas.microsoft.com/office/drawing/2014/chart" uri="{C3380CC4-5D6E-409C-BE32-E72D297353CC}">
              <c16:uniqueId val="{00000004-3275-4D44-BBA1-6199D3B2FA6D}"/>
            </c:ext>
          </c:extLst>
        </c:ser>
        <c:dLbls>
          <c:dLblPos val="outEnd"/>
          <c:showLegendKey val="0"/>
          <c:showVal val="1"/>
          <c:showCatName val="0"/>
          <c:showSerName val="0"/>
          <c:showPercent val="0"/>
          <c:showBubbleSize val="0"/>
        </c:dLbls>
        <c:gapWidth val="100"/>
        <c:overlap val="-24"/>
        <c:axId val="2005423504"/>
        <c:axId val="2005425216"/>
      </c:barChart>
      <c:catAx>
        <c:axId val="2005423504"/>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200" b="0" i="0" strike="noStrike" kern="1200" baseline="0">
                <a:solidFill>
                  <a:schemeClr val="lt1">
                    <a:lumMod val="85000"/>
                  </a:schemeClr>
                </a:solidFill>
                <a:latin typeface="+mn-lt"/>
                <a:ea typeface="+mn-ea"/>
                <a:cs typeface="+mn-cs"/>
              </a:defRPr>
            </a:pPr>
            <a:endParaRPr lang="en-US"/>
          </a:p>
        </c:txPr>
        <c:crossAx val="2005425216"/>
        <c:crosses val="autoZero"/>
        <c:auto val="1"/>
        <c:lblAlgn val="ctr"/>
        <c:lblOffset val="100"/>
        <c:noMultiLvlLbl val="0"/>
      </c:catAx>
      <c:valAx>
        <c:axId val="2005425216"/>
        <c:scaling>
          <c:orientation val="minMax"/>
          <c:max val="250000"/>
          <c:min val="150000"/>
        </c:scaling>
        <c:delete val="1"/>
        <c:axPos val="l"/>
        <c:numFmt formatCode="_(&quot;R$&quot;* #,##0.00_);_(&quot;R$&quot;* \(#,##0.00\);_(&quot;R$&quot;* &quot;-&quot;??_);_(@_)" sourceLinked="1"/>
        <c:majorTickMark val="none"/>
        <c:minorTickMark val="none"/>
        <c:tickLblPos val="nextTo"/>
        <c:crossAx val="2005423504"/>
        <c:crosses val="autoZero"/>
        <c:crossBetween val="between"/>
      </c:valAx>
      <c:spPr>
        <a:noFill/>
        <a:ln w="25400">
          <a:noFill/>
        </a:ln>
      </c:spPr>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[NEW_01-Nando-Din.xlsx]Tables_Atual_Ideal!Pivot_ClasseAtivos</c:name>
    <c:fmtId val="21"/>
  </c:pivotSource>
  <c:chart>
    <c:title>
      <c:tx>
        <c:rich>
          <a:bodyPr rot="0" spcFirstLastPara="1" vertOverflow="ellipsis" vert="horz" wrap="square" anchor="ctr" anchorCtr="1"/>
          <a:lstStyle/>
          <a:p>
            <a:pPr>
              <a:defRPr sz="1800" b="1" i="0" strike="noStrike" kern="1200" baseline="0">
                <a:solidFill>
                  <a:schemeClr val="bg2"/>
                </a:solidFill>
                <a:latin typeface="+mn-lt"/>
                <a:ea typeface="+mn-ea"/>
                <a:cs typeface="+mn-cs"/>
              </a:defRPr>
            </a:pPr>
            <a:r>
              <a:rPr lang="en-US" baseline="0">
                <a:solidFill>
                  <a:schemeClr val="bg2"/>
                </a:solidFill>
              </a:rPr>
              <a:t>C</a:t>
            </a:r>
            <a:r>
              <a:rPr lang="en-US">
                <a:solidFill>
                  <a:schemeClr val="bg2"/>
                </a:solidFill>
              </a:rPr>
              <a:t>lasse de Ativos</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prstDash val="solid"/>
          </a:ln>
        </c:spPr>
      </c:pivotFmt>
      <c:pivotFmt>
        <c:idx val="4"/>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no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prstDash val="solid"/>
          </a:ln>
        </c:spPr>
      </c:pivotFmt>
      <c:pivotFmt>
        <c:idx val="8"/>
        <c:spPr>
          <a:solidFill>
            <a:schemeClr val="accent1"/>
          </a:solidFill>
          <a:ln>
            <a:noFill/>
            <a:prstDash val="solid"/>
          </a:ln>
        </c:spPr>
      </c:pivotFmt>
      <c:pivotFmt>
        <c:idx val="9"/>
        <c:spPr>
          <a:solidFill>
            <a:schemeClr val="accent1"/>
          </a:solidFill>
          <a:ln>
            <a:noFill/>
            <a:prstDash val="solid"/>
          </a:ln>
        </c:spPr>
      </c:pivotFmt>
      <c:pivotFmt>
        <c:idx val="10"/>
        <c:spPr>
          <a:solidFill>
            <a:schemeClr val="accent1"/>
          </a:solidFill>
          <a:ln>
            <a:noFill/>
            <a:prstDash val="solid"/>
          </a:ln>
        </c:spPr>
      </c:pivotFmt>
      <c:pivotFmt>
        <c:idx val="11"/>
        <c:spPr>
          <a:solidFill>
            <a:schemeClr val="accent1"/>
          </a:solidFill>
          <a:ln>
            <a:noFill/>
            <a:prstDash val="solid"/>
          </a:ln>
        </c:spPr>
      </c:pivotFmt>
      <c:pivotFmt>
        <c:idx val="12"/>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prstDash val="solid"/>
          </a:ln>
        </c:spPr>
      </c:pivotFmt>
      <c:pivotFmt>
        <c:idx val="17"/>
        <c:spPr>
          <a:solidFill>
            <a:schemeClr val="accent2"/>
          </a:solidFill>
          <a:ln>
            <a:noFill/>
            <a:prstDash val="solid"/>
          </a:ln>
        </c:spPr>
      </c:pivotFmt>
      <c:pivotFmt>
        <c:idx val="18"/>
        <c:spPr>
          <a:solidFill>
            <a:schemeClr val="accent1"/>
          </a:solidFill>
          <a:ln>
            <a:noFill/>
            <a:prstDash val="solid"/>
          </a:ln>
        </c:spPr>
      </c:pivotFmt>
      <c:pivotFmt>
        <c:idx val="19"/>
        <c:spPr>
          <a:solidFill>
            <a:schemeClr val="accent3"/>
          </a:solidFill>
          <a:ln>
            <a:noFill/>
            <a:prstDash val="solid"/>
          </a:ln>
        </c:spPr>
      </c:pivotFmt>
      <c:pivotFmt>
        <c:idx val="20"/>
        <c:spPr>
          <a:solidFill>
            <a:schemeClr val="accent1"/>
          </a:solidFill>
          <a:ln>
            <a:noFill/>
            <a:prstDash val="solid"/>
          </a:ln>
        </c:spPr>
      </c:pivotFmt>
      <c:pivotFmt>
        <c:idx val="21"/>
        <c:spPr>
          <a:solidFill>
            <a:schemeClr val="accent1"/>
          </a:solidFill>
          <a:ln>
            <a:noFill/>
            <a:prstDash val="solid"/>
          </a:ln>
        </c:spPr>
      </c:pivotFmt>
      <c:pivotFmt>
        <c:idx val="22"/>
        <c:spPr>
          <a:solidFill>
            <a:schemeClr val="accent2"/>
          </a:solidFill>
          <a:ln>
            <a:noFill/>
            <a:prstDash val="solid"/>
          </a:ln>
        </c:spPr>
      </c:pivotFmt>
      <c:pivotFmt>
        <c:idx val="23"/>
        <c:spPr>
          <a:solidFill>
            <a:schemeClr val="accent1"/>
          </a:solidFill>
          <a:ln>
            <a:noFill/>
            <a:prstDash val="solid"/>
          </a:ln>
        </c:spPr>
      </c:pivotFmt>
      <c:pivotFmt>
        <c:idx val="24"/>
        <c:spPr>
          <a:solidFill>
            <a:schemeClr val="accent3"/>
          </a:solidFill>
          <a:ln>
            <a:noFill/>
            <a:prstDash val="solid"/>
          </a:ln>
        </c:spPr>
      </c:pivotFmt>
      <c:pivotFmt>
        <c:idx val="25"/>
        <c:spPr>
          <a:solidFill>
            <a:schemeClr val="accent1"/>
          </a:solidFill>
          <a:ln>
            <a:noFill/>
            <a:prstDash val="solid"/>
          </a:ln>
        </c:spPr>
      </c:pivotFmt>
      <c:pivotFmt>
        <c:idx val="26"/>
        <c:spPr>
          <a:solidFill>
            <a:schemeClr val="accent4"/>
          </a:solidFill>
          <a:ln>
            <a:noFill/>
            <a:prstDash val="solid"/>
          </a:ln>
        </c:spPr>
      </c:pivotFmt>
      <c:pivotFmt>
        <c:idx val="27"/>
        <c:spPr>
          <a:solidFill>
            <a:schemeClr val="accent5"/>
          </a:solidFill>
          <a:ln>
            <a:noFill/>
            <a:prstDash val="solid"/>
          </a:ln>
        </c:spPr>
      </c:pivotFmt>
      <c:pivotFmt>
        <c:idx val="28"/>
        <c:spPr>
          <a:solidFill>
            <a:schemeClr val="accent4"/>
          </a:solidFill>
          <a:ln>
            <a:noFill/>
            <a:prstDash val="solid"/>
          </a:ln>
        </c:spPr>
      </c:pivotFmt>
      <c:pivotFmt>
        <c:idx val="29"/>
        <c:spPr>
          <a:solidFill>
            <a:schemeClr val="accent5"/>
          </a:solidFill>
          <a:ln>
            <a:noFill/>
            <a:prstDash val="solid"/>
          </a:ln>
        </c:spPr>
      </c:pivotFmt>
      <c:pivotFmt>
        <c:idx val="3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prstDash val="solid"/>
          </a:ln>
        </c:spPr>
      </c:pivotFmt>
      <c:pivotFmt>
        <c:idx val="32"/>
        <c:spPr>
          <a:solidFill>
            <a:schemeClr val="accent2"/>
          </a:solidFill>
          <a:ln>
            <a:noFill/>
            <a:prstDash val="solid"/>
          </a:ln>
        </c:spPr>
      </c:pivotFmt>
      <c:pivotFmt>
        <c:idx val="33"/>
        <c:spPr>
          <a:solidFill>
            <a:schemeClr val="accent3"/>
          </a:solidFill>
          <a:ln>
            <a:noFill/>
            <a:prstDash val="solid"/>
          </a:ln>
        </c:spPr>
      </c:pivotFmt>
      <c:pivotFmt>
        <c:idx val="34"/>
        <c:spPr>
          <a:solidFill>
            <a:schemeClr val="accent4"/>
          </a:solidFill>
          <a:ln>
            <a:noFill/>
            <a:prstDash val="solid"/>
          </a:ln>
        </c:spPr>
      </c:pivotFmt>
      <c:pivotFmt>
        <c:idx val="35"/>
        <c:spPr>
          <a:solidFill>
            <a:schemeClr val="accent5"/>
          </a:solidFill>
          <a:ln>
            <a:noFill/>
            <a:prstDash val="solid"/>
          </a:ln>
        </c:spPr>
      </c:pivotFmt>
      <c:pivotFmt>
        <c:idx val="3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prstDash val="solid"/>
          </a:ln>
        </c:spPr>
      </c:pivotFmt>
      <c:pivotFmt>
        <c:idx val="38"/>
        <c:spPr>
          <a:solidFill>
            <a:schemeClr val="accent2"/>
          </a:solidFill>
          <a:ln>
            <a:noFill/>
            <a:prstDash val="solid"/>
          </a:ln>
        </c:spPr>
      </c:pivotFmt>
      <c:pivotFmt>
        <c:idx val="39"/>
        <c:spPr>
          <a:solidFill>
            <a:schemeClr val="accent3"/>
          </a:solidFill>
          <a:ln>
            <a:noFill/>
            <a:prstDash val="solid"/>
          </a:ln>
        </c:spPr>
      </c:pivotFmt>
      <c:pivotFmt>
        <c:idx val="40"/>
        <c:spPr>
          <a:solidFill>
            <a:schemeClr val="accent4"/>
          </a:solidFill>
          <a:ln>
            <a:noFill/>
            <a:prstDash val="solid"/>
          </a:ln>
        </c:spPr>
      </c:pivotFmt>
      <c:pivotFmt>
        <c:idx val="41"/>
        <c:spPr>
          <a:solidFill>
            <a:schemeClr val="accent5"/>
          </a:solidFill>
          <a:ln>
            <a:noFill/>
            <a:prstDash val="solid"/>
          </a:ln>
        </c:spPr>
      </c:pivotFmt>
      <c:pivotFmt>
        <c:idx val="4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prstDash val="solid"/>
          </a:ln>
        </c:spPr>
      </c:pivotFmt>
      <c:pivotFmt>
        <c:idx val="44"/>
        <c:spPr>
          <a:solidFill>
            <a:schemeClr val="accent2"/>
          </a:solidFill>
          <a:ln>
            <a:noFill/>
            <a:prstDash val="solid"/>
          </a:ln>
        </c:spPr>
      </c:pivotFmt>
      <c:pivotFmt>
        <c:idx val="45"/>
        <c:spPr>
          <a:solidFill>
            <a:schemeClr val="accent3"/>
          </a:solidFill>
          <a:ln>
            <a:noFill/>
            <a:prstDash val="solid"/>
          </a:ln>
        </c:spPr>
      </c:pivotFmt>
      <c:pivotFmt>
        <c:idx val="46"/>
        <c:spPr>
          <a:solidFill>
            <a:schemeClr val="accent4"/>
          </a:solidFill>
          <a:ln>
            <a:noFill/>
            <a:prstDash val="solid"/>
          </a:ln>
        </c:spPr>
      </c:pivotFmt>
      <c:pivotFmt>
        <c:idx val="47"/>
        <c:spPr>
          <a:solidFill>
            <a:schemeClr val="accent5"/>
          </a:solidFill>
          <a:ln>
            <a:noFill/>
            <a:prstDash val="solid"/>
          </a:ln>
        </c:spPr>
      </c:pivotFmt>
      <c:pivotFmt>
        <c:idx val="4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prstDash val="solid"/>
          </a:ln>
        </c:spPr>
      </c:pivotFmt>
      <c:pivotFmt>
        <c:idx val="50"/>
        <c:spPr>
          <a:solidFill>
            <a:schemeClr val="accent2"/>
          </a:solidFill>
          <a:ln>
            <a:noFill/>
            <a:prstDash val="solid"/>
          </a:ln>
        </c:spPr>
      </c:pivotFmt>
      <c:pivotFmt>
        <c:idx val="51"/>
        <c:spPr>
          <a:solidFill>
            <a:schemeClr val="accent3"/>
          </a:solidFill>
          <a:ln>
            <a:noFill/>
            <a:prstDash val="solid"/>
          </a:ln>
        </c:spPr>
      </c:pivotFmt>
      <c:pivotFmt>
        <c:idx val="52"/>
        <c:spPr>
          <a:solidFill>
            <a:schemeClr val="accent4"/>
          </a:solidFill>
          <a:ln>
            <a:noFill/>
            <a:prstDash val="solid"/>
          </a:ln>
        </c:spPr>
      </c:pivotFmt>
      <c:pivotFmt>
        <c:idx val="53"/>
        <c:spPr>
          <a:solidFill>
            <a:schemeClr val="accent5"/>
          </a:solidFill>
          <a:ln>
            <a:noFill/>
            <a:prstDash val="solid"/>
          </a:ln>
        </c:spPr>
      </c:pivotFmt>
      <c:pivotFmt>
        <c:idx val="5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prstDash val="solid"/>
          </a:ln>
        </c:spPr>
      </c:pivotFmt>
      <c:pivotFmt>
        <c:idx val="56"/>
        <c:spPr>
          <a:solidFill>
            <a:schemeClr val="accent2"/>
          </a:solidFill>
          <a:ln>
            <a:noFill/>
            <a:prstDash val="solid"/>
          </a:ln>
        </c:spPr>
      </c:pivotFmt>
      <c:pivotFmt>
        <c:idx val="57"/>
        <c:spPr>
          <a:solidFill>
            <a:schemeClr val="accent3"/>
          </a:solidFill>
          <a:ln>
            <a:noFill/>
            <a:prstDash val="solid"/>
          </a:ln>
        </c:spPr>
      </c:pivotFmt>
      <c:pivotFmt>
        <c:idx val="58"/>
        <c:spPr>
          <a:solidFill>
            <a:schemeClr val="accent4"/>
          </a:solidFill>
          <a:ln>
            <a:noFill/>
            <a:prstDash val="solid"/>
          </a:ln>
        </c:spPr>
      </c:pivotFmt>
      <c:pivotFmt>
        <c:idx val="59"/>
        <c:spPr>
          <a:solidFill>
            <a:schemeClr val="accent5"/>
          </a:solidFill>
          <a:ln>
            <a:noFill/>
            <a:prstDash val="solid"/>
          </a:ln>
        </c:spPr>
      </c:pivotFmt>
      <c:pivotFmt>
        <c:idx val="6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prstDash val="solid"/>
          </a:ln>
        </c:spPr>
      </c:pivotFmt>
      <c:pivotFmt>
        <c:idx val="62"/>
        <c:spPr>
          <a:solidFill>
            <a:schemeClr val="accent2"/>
          </a:solidFill>
          <a:ln>
            <a:noFill/>
            <a:prstDash val="solid"/>
          </a:ln>
        </c:spPr>
      </c:pivotFmt>
      <c:pivotFmt>
        <c:idx val="63"/>
        <c:spPr>
          <a:solidFill>
            <a:schemeClr val="accent3"/>
          </a:solidFill>
          <a:ln>
            <a:noFill/>
            <a:prstDash val="solid"/>
          </a:ln>
        </c:spPr>
      </c:pivotFmt>
      <c:pivotFmt>
        <c:idx val="64"/>
        <c:spPr>
          <a:solidFill>
            <a:schemeClr val="accent4"/>
          </a:solidFill>
          <a:ln>
            <a:noFill/>
            <a:prstDash val="solid"/>
          </a:ln>
        </c:spPr>
      </c:pivotFmt>
      <c:pivotFmt>
        <c:idx val="65"/>
        <c:spPr>
          <a:solidFill>
            <a:schemeClr val="accent5"/>
          </a:solidFill>
          <a:ln>
            <a:noFill/>
            <a:prstDash val="solid"/>
          </a:ln>
        </c:spPr>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s>
    <c:plotArea>
      <c:layout/>
      <c:pieChart>
        <c:varyColors val="1"/>
        <c:ser>
          <c:idx val="0"/>
          <c:order val="0"/>
          <c:tx>
            <c:strRef>
              <c:f>Tables_Atual_Ideal!$C$5</c:f>
              <c:strCache>
                <c:ptCount val="1"/>
                <c:pt idx="0">
                  <c:v>Total (R$)</c:v>
                </c:pt>
              </c:strCache>
            </c:strRef>
          </c:tx>
          <c:spPr>
            <a:ln>
              <a:prstDash val="solid"/>
            </a:ln>
          </c:spPr>
          <c:dPt>
            <c:idx val="0"/>
            <c:bubble3D val="0"/>
            <c:extLst>
              <c:ext xmlns:c16="http://schemas.microsoft.com/office/drawing/2014/chart" uri="{C3380CC4-5D6E-409C-BE32-E72D297353CC}">
                <c16:uniqueId val="{00000001-7969-104C-BC3A-9AFDFE16CBAA}"/>
              </c:ext>
            </c:extLst>
          </c:dPt>
          <c:dPt>
            <c:idx val="1"/>
            <c:bubble3D val="0"/>
            <c:extLst>
              <c:ext xmlns:c16="http://schemas.microsoft.com/office/drawing/2014/chart" uri="{C3380CC4-5D6E-409C-BE32-E72D297353CC}">
                <c16:uniqueId val="{00000003-7969-104C-BC3A-9AFDFE16CBAA}"/>
              </c:ext>
            </c:extLst>
          </c:dPt>
          <c:dPt>
            <c:idx val="2"/>
            <c:bubble3D val="0"/>
            <c:extLst>
              <c:ext xmlns:c16="http://schemas.microsoft.com/office/drawing/2014/chart" uri="{C3380CC4-5D6E-409C-BE32-E72D297353CC}">
                <c16:uniqueId val="{00000005-7969-104C-BC3A-9AFDFE16CBAA}"/>
              </c:ext>
            </c:extLst>
          </c:dPt>
          <c:dPt>
            <c:idx val="3"/>
            <c:bubble3D val="0"/>
            <c:extLst>
              <c:ext xmlns:c16="http://schemas.microsoft.com/office/drawing/2014/chart" uri="{C3380CC4-5D6E-409C-BE32-E72D297353CC}">
                <c16:uniqueId val="{00000007-7969-104C-BC3A-9AFDFE16CBAA}"/>
              </c:ext>
            </c:extLst>
          </c:dPt>
          <c:dPt>
            <c:idx val="4"/>
            <c:bubble3D val="0"/>
            <c:extLst>
              <c:ext xmlns:c16="http://schemas.microsoft.com/office/drawing/2014/chart" uri="{C3380CC4-5D6E-409C-BE32-E72D297353CC}">
                <c16:uniqueId val="{00000009-7969-104C-BC3A-9AFDFE16CBAA}"/>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Tables_Atual_Ideal!$B$6:$B$11</c:f>
              <c:strCache>
                <c:ptCount val="5"/>
                <c:pt idx="0">
                  <c:v>Caixa</c:v>
                </c:pt>
                <c:pt idx="1">
                  <c:v>Cripto</c:v>
                </c:pt>
                <c:pt idx="2">
                  <c:v>Renda Fixa</c:v>
                </c:pt>
                <c:pt idx="3">
                  <c:v>Renda Variável</c:v>
                </c:pt>
                <c:pt idx="4">
                  <c:v>Reserva</c:v>
                </c:pt>
              </c:strCache>
            </c:strRef>
          </c:cat>
          <c:val>
            <c:numRef>
              <c:f>Tables_Atual_Ideal!$C$6:$C$11</c:f>
              <c:numCache>
                <c:formatCode>_("R$"* #,##0.00_);_("R$"* \(#,##0.00\);_("R$"* "-"??_);_(@_)</c:formatCode>
                <c:ptCount val="5"/>
                <c:pt idx="0">
                  <c:v>32403.737327999996</c:v>
                </c:pt>
                <c:pt idx="1">
                  <c:v>100713.94061108</c:v>
                </c:pt>
                <c:pt idx="2">
                  <c:v>46453.345000000001</c:v>
                </c:pt>
                <c:pt idx="3">
                  <c:v>27041.268902114916</c:v>
                </c:pt>
                <c:pt idx="4">
                  <c:v>10460.439096829257</c:v>
                </c:pt>
              </c:numCache>
            </c:numRef>
          </c:val>
          <c:extLst>
            <c:ext xmlns:c16="http://schemas.microsoft.com/office/drawing/2014/chart" uri="{C3380CC4-5D6E-409C-BE32-E72D297353CC}">
              <c16:uniqueId val="{0000000A-7969-104C-BC3A-9AFDFE16CBAA}"/>
            </c:ext>
          </c:extLst>
        </c:ser>
        <c:ser>
          <c:idx val="1"/>
          <c:order val="1"/>
          <c:tx>
            <c:strRef>
              <c:f>Tables_Atual_Ideal!$D$5</c:f>
              <c:strCache>
                <c:ptCount val="1"/>
                <c:pt idx="0">
                  <c:v>Porcentagem</c:v>
                </c:pt>
              </c:strCache>
            </c:strRef>
          </c:tx>
          <c:spPr>
            <a:ln>
              <a:prstDash val="solid"/>
            </a:ln>
          </c:spPr>
          <c:dPt>
            <c:idx val="0"/>
            <c:bubble3D val="0"/>
            <c:extLst>
              <c:ext xmlns:c16="http://schemas.microsoft.com/office/drawing/2014/chart" uri="{C3380CC4-5D6E-409C-BE32-E72D297353CC}">
                <c16:uniqueId val="{0000000C-7969-104C-BC3A-9AFDFE16CBAA}"/>
              </c:ext>
            </c:extLst>
          </c:dPt>
          <c:dPt>
            <c:idx val="1"/>
            <c:bubble3D val="0"/>
            <c:extLst>
              <c:ext xmlns:c16="http://schemas.microsoft.com/office/drawing/2014/chart" uri="{C3380CC4-5D6E-409C-BE32-E72D297353CC}">
                <c16:uniqueId val="{0000000E-7969-104C-BC3A-9AFDFE16CBAA}"/>
              </c:ext>
            </c:extLst>
          </c:dPt>
          <c:dPt>
            <c:idx val="2"/>
            <c:bubble3D val="0"/>
            <c:extLst>
              <c:ext xmlns:c16="http://schemas.microsoft.com/office/drawing/2014/chart" uri="{C3380CC4-5D6E-409C-BE32-E72D297353CC}">
                <c16:uniqueId val="{00000010-7969-104C-BC3A-9AFDFE16CBAA}"/>
              </c:ext>
            </c:extLst>
          </c:dPt>
          <c:dPt>
            <c:idx val="3"/>
            <c:bubble3D val="0"/>
            <c:extLst>
              <c:ext xmlns:c16="http://schemas.microsoft.com/office/drawing/2014/chart" uri="{C3380CC4-5D6E-409C-BE32-E72D297353CC}">
                <c16:uniqueId val="{00000012-7969-104C-BC3A-9AFDFE16CBAA}"/>
              </c:ext>
            </c:extLst>
          </c:dPt>
          <c:dPt>
            <c:idx val="4"/>
            <c:bubble3D val="0"/>
            <c:extLst>
              <c:ext xmlns:c16="http://schemas.microsoft.com/office/drawing/2014/chart" uri="{C3380CC4-5D6E-409C-BE32-E72D297353CC}">
                <c16:uniqueId val="{00000014-7969-104C-BC3A-9AFDFE16CBAA}"/>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Tables_Atual_Ideal!$B$6:$B$11</c:f>
              <c:strCache>
                <c:ptCount val="5"/>
                <c:pt idx="0">
                  <c:v>Caixa</c:v>
                </c:pt>
                <c:pt idx="1">
                  <c:v>Cripto</c:v>
                </c:pt>
                <c:pt idx="2">
                  <c:v>Renda Fixa</c:v>
                </c:pt>
                <c:pt idx="3">
                  <c:v>Renda Variável</c:v>
                </c:pt>
                <c:pt idx="4">
                  <c:v>Reserva</c:v>
                </c:pt>
              </c:strCache>
            </c:strRef>
          </c:cat>
          <c:val>
            <c:numRef>
              <c:f>Tables_Atual_Ideal!$D$6:$D$11</c:f>
              <c:numCache>
                <c:formatCode>0%</c:formatCode>
                <c:ptCount val="5"/>
                <c:pt idx="0">
                  <c:v>0.14927594630599408</c:v>
                </c:pt>
                <c:pt idx="1">
                  <c:v>0.46396403719560037</c:v>
                </c:pt>
                <c:pt idx="2">
                  <c:v>0.21399898918332014</c:v>
                </c:pt>
                <c:pt idx="3">
                  <c:v>0.12457239002459224</c:v>
                </c:pt>
                <c:pt idx="4">
                  <c:v>4.818863729049315E-2</c:v>
                </c:pt>
              </c:numCache>
            </c:numRef>
          </c:val>
          <c:extLst>
            <c:ext xmlns:c16="http://schemas.microsoft.com/office/drawing/2014/chart" uri="{C3380CC4-5D6E-409C-BE32-E72D297353CC}">
              <c16:uniqueId val="{00000015-7969-104C-BC3A-9AFDFE16CBAA}"/>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US"/>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[NEW_01-Nando-Din.xlsx]Tables_Atual_Ideal!Pivot_Moeda</c:name>
    <c:fmtId val="24"/>
  </c:pivotSource>
  <c:chart>
    <c:title>
      <c:tx>
        <c:rich>
          <a:bodyPr rot="0" spcFirstLastPara="1" vertOverflow="ellipsis" vert="horz" wrap="square" anchor="ctr" anchorCtr="1"/>
          <a:lstStyle/>
          <a:p>
            <a:pPr>
              <a:defRPr sz="1800" b="1" i="0" strike="noStrike" kern="1200" baseline="0">
                <a:solidFill>
                  <a:schemeClr val="bg2"/>
                </a:solidFill>
                <a:latin typeface="+mn-lt"/>
                <a:ea typeface="+mn-ea"/>
                <a:cs typeface="+mn-cs"/>
              </a:defRPr>
            </a:pPr>
            <a:r>
              <a:rPr lang="en-US">
                <a:solidFill>
                  <a:schemeClr val="bg2"/>
                </a:solidFill>
              </a:rPr>
              <a:t> Moeda</a:t>
            </a:r>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pivotFmt>
      <c:pivotFmt>
        <c:idx val="3"/>
        <c:spPr>
          <a:solidFill>
            <a:schemeClr val="accent2"/>
          </a:solidFill>
          <a:ln>
            <a:noFill/>
            <a:prstDash val="solid"/>
          </a:ln>
        </c:spPr>
      </c:pivotFmt>
      <c:pivotFmt>
        <c:idx val="4"/>
        <c:spPr>
          <a:solidFill>
            <a:schemeClr val="accent3"/>
          </a:solidFill>
          <a:ln>
            <a:noFill/>
            <a:prstDash val="solid"/>
          </a:ln>
        </c:spPr>
      </c:pivotFmt>
      <c:pivotFmt>
        <c:idx val="5"/>
        <c:spPr>
          <a:solidFill>
            <a:schemeClr val="accent1"/>
          </a:solidFill>
          <a:ln>
            <a:noFill/>
            <a:prstDash val="solid"/>
          </a:ln>
        </c:spPr>
      </c:pivotFmt>
      <c:pivotFmt>
        <c:idx val="6"/>
        <c:spPr>
          <a:solidFill>
            <a:schemeClr val="accent2"/>
          </a:solidFill>
          <a:ln>
            <a:noFill/>
            <a:prstDash val="solid"/>
          </a:ln>
        </c:spPr>
      </c:pivotFmt>
      <c:pivotFmt>
        <c:idx val="7"/>
        <c:spPr>
          <a:solidFill>
            <a:schemeClr val="accent3"/>
          </a:solidFill>
          <a:ln>
            <a:noFill/>
            <a:prstDash val="solid"/>
          </a:ln>
        </c:spPr>
      </c:pivotFmt>
      <c:pivotFmt>
        <c:idx val="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prstDash val="solid"/>
          </a:ln>
        </c:spPr>
      </c:pivotFmt>
      <c:pivotFmt>
        <c:idx val="10"/>
        <c:spPr>
          <a:solidFill>
            <a:schemeClr val="accent2"/>
          </a:solidFill>
          <a:ln>
            <a:noFill/>
            <a:prstDash val="solid"/>
          </a:ln>
        </c:spPr>
      </c:pivotFmt>
      <c:pivotFmt>
        <c:idx val="11"/>
        <c:spPr>
          <a:solidFill>
            <a:schemeClr val="accent3"/>
          </a:solidFill>
          <a:ln>
            <a:noFill/>
            <a:prstDash val="solid"/>
          </a:ln>
        </c:spPr>
      </c:pivotFmt>
      <c:pivotFmt>
        <c:idx val="1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prstDash val="solid"/>
          </a:ln>
        </c:spPr>
      </c:pivotFmt>
      <c:pivotFmt>
        <c:idx val="14"/>
        <c:spPr>
          <a:solidFill>
            <a:schemeClr val="accent2"/>
          </a:solidFill>
          <a:ln>
            <a:noFill/>
            <a:prstDash val="solid"/>
          </a:ln>
        </c:spPr>
      </c:pivotFmt>
      <c:pivotFmt>
        <c:idx val="15"/>
        <c:spPr>
          <a:solidFill>
            <a:schemeClr val="accent3"/>
          </a:solidFill>
          <a:ln>
            <a:noFill/>
            <a:prstDash val="solid"/>
          </a:ln>
        </c:spPr>
      </c:pivotFmt>
      <c:pivotFmt>
        <c:idx val="1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prstDash val="solid"/>
          </a:ln>
        </c:spPr>
      </c:pivotFmt>
      <c:pivotFmt>
        <c:idx val="18"/>
        <c:spPr>
          <a:solidFill>
            <a:schemeClr val="accent2"/>
          </a:solidFill>
          <a:ln>
            <a:noFill/>
            <a:prstDash val="solid"/>
          </a:ln>
        </c:spPr>
      </c:pivotFmt>
      <c:pivotFmt>
        <c:idx val="19"/>
        <c:spPr>
          <a:solidFill>
            <a:schemeClr val="accent3"/>
          </a:solidFill>
          <a:ln>
            <a:noFill/>
            <a:prstDash val="solid"/>
          </a:ln>
        </c:spPr>
      </c:pivotFmt>
      <c:pivotFmt>
        <c:idx val="2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prstDash val="solid"/>
          </a:ln>
        </c:spPr>
      </c:pivotFmt>
      <c:pivotFmt>
        <c:idx val="22"/>
        <c:spPr>
          <a:solidFill>
            <a:schemeClr val="accent2"/>
          </a:solidFill>
          <a:ln>
            <a:noFill/>
            <a:prstDash val="solid"/>
          </a:ln>
        </c:spPr>
      </c:pivotFmt>
      <c:pivotFmt>
        <c:idx val="23"/>
        <c:spPr>
          <a:solidFill>
            <a:schemeClr val="accent3"/>
          </a:solidFill>
          <a:ln>
            <a:noFill/>
            <a:prstDash val="solid"/>
          </a:ln>
        </c:spPr>
      </c:pivotFmt>
      <c:pivotFmt>
        <c:idx val="2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prstDash val="solid"/>
          </a:ln>
        </c:spPr>
      </c:pivotFmt>
      <c:pivotFmt>
        <c:idx val="26"/>
        <c:spPr>
          <a:solidFill>
            <a:schemeClr val="accent2"/>
          </a:solidFill>
          <a:ln>
            <a:noFill/>
            <a:prstDash val="solid"/>
          </a:ln>
        </c:spPr>
      </c:pivotFmt>
      <c:pivotFmt>
        <c:idx val="27"/>
        <c:spPr>
          <a:solidFill>
            <a:schemeClr val="accent3"/>
          </a:solidFill>
          <a:ln>
            <a:noFill/>
            <a:prstDash val="solid"/>
          </a:ln>
        </c:spPr>
      </c:pivotFmt>
      <c:pivotFmt>
        <c:idx val="2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prstDash val="solid"/>
          </a:ln>
        </c:spPr>
      </c:pivotFmt>
      <c:pivotFmt>
        <c:idx val="30"/>
        <c:spPr>
          <a:solidFill>
            <a:schemeClr val="accent2"/>
          </a:solidFill>
          <a:ln>
            <a:noFill/>
            <a:prstDash val="solid"/>
          </a:ln>
        </c:spPr>
      </c:pivotFmt>
      <c:pivotFmt>
        <c:idx val="31"/>
        <c:spPr>
          <a:solidFill>
            <a:schemeClr val="accent3"/>
          </a:solidFill>
          <a:ln>
            <a:noFill/>
            <a:prstDash val="solid"/>
          </a:ln>
        </c:spPr>
      </c:pivotFmt>
      <c:pivotFmt>
        <c:idx val="3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prstDash val="solid"/>
          </a:ln>
        </c:spPr>
      </c:pivotFmt>
      <c:pivotFmt>
        <c:idx val="34"/>
        <c:spPr>
          <a:solidFill>
            <a:schemeClr val="accent2"/>
          </a:solidFill>
          <a:ln>
            <a:noFill/>
            <a:prstDash val="solid"/>
          </a:ln>
        </c:spPr>
      </c:pivotFmt>
      <c:pivotFmt>
        <c:idx val="35"/>
        <c:spPr>
          <a:solidFill>
            <a:schemeClr val="accent3"/>
          </a:solidFill>
          <a:ln>
            <a:noFill/>
            <a:prstDash val="solid"/>
          </a:ln>
        </c:spPr>
      </c:pivotFmt>
      <c:pivotFmt>
        <c:idx val="36"/>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prstDash val="solid"/>
          </a:ln>
        </c:spPr>
      </c:pivotFmt>
      <c:pivotFmt>
        <c:idx val="38"/>
        <c:spPr>
          <a:solidFill>
            <a:schemeClr val="accent2"/>
          </a:solidFill>
          <a:ln>
            <a:noFill/>
            <a:prstDash val="solid"/>
          </a:ln>
        </c:spPr>
      </c:pivotFmt>
      <c:pivotFmt>
        <c:idx val="39"/>
        <c:spPr>
          <a:solidFill>
            <a:schemeClr val="accent3"/>
          </a:solidFill>
          <a:ln>
            <a:noFill/>
            <a:prstDash val="solid"/>
          </a:ln>
        </c:spPr>
      </c:pivotFmt>
      <c:pivotFmt>
        <c:idx val="4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prstDash val="solid"/>
          </a:ln>
        </c:spPr>
      </c:pivotFmt>
      <c:pivotFmt>
        <c:idx val="42"/>
        <c:spPr>
          <a:solidFill>
            <a:schemeClr val="accent2"/>
          </a:solidFill>
          <a:ln>
            <a:noFill/>
            <a:prstDash val="solid"/>
          </a:ln>
        </c:spPr>
      </c:pivotFmt>
      <c:pivotFmt>
        <c:idx val="43"/>
        <c:spPr>
          <a:solidFill>
            <a:schemeClr val="accent3"/>
          </a:solidFill>
          <a:ln>
            <a:noFill/>
            <a:prstDash val="solid"/>
          </a:ln>
        </c:spPr>
      </c:pivotFmt>
      <c:pivotFmt>
        <c:idx val="44"/>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1"/>
          </a:solidFill>
          <a:ln>
            <a:noFill/>
            <a:prstDash val="solid"/>
          </a:ln>
        </c:spPr>
      </c:pivotFmt>
      <c:pivotFmt>
        <c:idx val="46"/>
        <c:spPr>
          <a:solidFill>
            <a:schemeClr val="accent2"/>
          </a:solidFill>
          <a:ln>
            <a:noFill/>
            <a:prstDash val="solid"/>
          </a:ln>
        </c:spPr>
      </c:pivotFmt>
      <c:pivotFmt>
        <c:idx val="47"/>
        <c:spPr>
          <a:solidFill>
            <a:schemeClr val="accent3"/>
          </a:solidFill>
          <a:ln>
            <a:noFill/>
            <a:prstDash val="solid"/>
          </a:ln>
        </c:spPr>
      </c:pivotFmt>
      <c:pivotFmt>
        <c:idx val="4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prstDash val="solid"/>
          </a:ln>
        </c:spPr>
      </c:pivotFmt>
      <c:pivotFmt>
        <c:idx val="50"/>
        <c:spPr>
          <a:solidFill>
            <a:schemeClr val="accent2"/>
          </a:solidFill>
          <a:ln>
            <a:noFill/>
            <a:prstDash val="solid"/>
          </a:ln>
        </c:spPr>
      </c:pivotFmt>
      <c:pivotFmt>
        <c:idx val="51"/>
        <c:spPr>
          <a:solidFill>
            <a:schemeClr val="accent3"/>
          </a:solidFill>
          <a:ln>
            <a:noFill/>
            <a:prstDash val="solid"/>
          </a:ln>
        </c:spPr>
      </c:pivotFmt>
      <c:pivotFmt>
        <c:idx val="5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noFill/>
            <a:prstDash val="solid"/>
          </a:ln>
        </c:spPr>
      </c:pivotFmt>
      <c:pivotFmt>
        <c:idx val="54"/>
        <c:spPr>
          <a:solidFill>
            <a:schemeClr val="accent2"/>
          </a:solidFill>
          <a:ln>
            <a:noFill/>
            <a:prstDash val="solid"/>
          </a:ln>
        </c:spPr>
      </c:pivotFmt>
      <c:pivotFmt>
        <c:idx val="55"/>
        <c:spPr>
          <a:solidFill>
            <a:schemeClr val="accent3"/>
          </a:solidFill>
          <a:ln>
            <a:noFill/>
            <a:prstDash val="solid"/>
          </a:ln>
        </c:spPr>
      </c:pivotFmt>
    </c:pivotFmts>
    <c:plotArea>
      <c:layout/>
      <c:pieChart>
        <c:varyColors val="1"/>
        <c:ser>
          <c:idx val="0"/>
          <c:order val="0"/>
          <c:tx>
            <c:strRef>
              <c:f>Tables_Atual_Ideal!$C$22</c:f>
              <c:strCache>
                <c:ptCount val="1"/>
                <c:pt idx="0">
                  <c:v>Total (R$)</c:v>
                </c:pt>
              </c:strCache>
            </c:strRef>
          </c:tx>
          <c:spPr>
            <a:ln>
              <a:prstDash val="solid"/>
            </a:ln>
          </c:spPr>
          <c:dPt>
            <c:idx val="0"/>
            <c:bubble3D val="0"/>
            <c:extLst>
              <c:ext xmlns:c16="http://schemas.microsoft.com/office/drawing/2014/chart" uri="{C3380CC4-5D6E-409C-BE32-E72D297353CC}">
                <c16:uniqueId val="{00000001-87CC-344E-89F1-C8B1AE574971}"/>
              </c:ext>
            </c:extLst>
          </c:dPt>
          <c:dPt>
            <c:idx val="1"/>
            <c:bubble3D val="0"/>
            <c:extLst>
              <c:ext xmlns:c16="http://schemas.microsoft.com/office/drawing/2014/chart" uri="{C3380CC4-5D6E-409C-BE32-E72D297353CC}">
                <c16:uniqueId val="{00000003-87CC-344E-89F1-C8B1AE574971}"/>
              </c:ext>
            </c:extLst>
          </c:dPt>
          <c:dPt>
            <c:idx val="2"/>
            <c:bubble3D val="0"/>
            <c:extLst>
              <c:ext xmlns:c16="http://schemas.microsoft.com/office/drawing/2014/chart" uri="{C3380CC4-5D6E-409C-BE32-E72D297353CC}">
                <c16:uniqueId val="{00000005-87CC-344E-89F1-C8B1AE574971}"/>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Tables_Atual_Ideal!$B$23:$B$26</c:f>
              <c:strCache>
                <c:ptCount val="3"/>
                <c:pt idx="0">
                  <c:v>BRL</c:v>
                </c:pt>
                <c:pt idx="1">
                  <c:v>BTC</c:v>
                </c:pt>
                <c:pt idx="2">
                  <c:v>USD</c:v>
                </c:pt>
              </c:strCache>
            </c:strRef>
          </c:cat>
          <c:val>
            <c:numRef>
              <c:f>Tables_Atual_Ideal!$C$23:$C$26</c:f>
              <c:numCache>
                <c:formatCode>_("R$"* #,##0.00_);_("R$"* \(#,##0.00\);_("R$"* "-"??_);_(@_)</c:formatCode>
                <c:ptCount val="3"/>
                <c:pt idx="0">
                  <c:v>78662.78</c:v>
                </c:pt>
                <c:pt idx="1">
                  <c:v>98278.773631079996</c:v>
                </c:pt>
                <c:pt idx="2">
                  <c:v>40131.17730694417</c:v>
                </c:pt>
              </c:numCache>
            </c:numRef>
          </c:val>
          <c:extLst>
            <c:ext xmlns:c16="http://schemas.microsoft.com/office/drawing/2014/chart" uri="{C3380CC4-5D6E-409C-BE32-E72D297353CC}">
              <c16:uniqueId val="{00000006-87CC-344E-89F1-C8B1AE574971}"/>
            </c:ext>
          </c:extLst>
        </c:ser>
        <c:ser>
          <c:idx val="1"/>
          <c:order val="1"/>
          <c:tx>
            <c:strRef>
              <c:f>Tables_Atual_Ideal!$D$22</c:f>
              <c:strCache>
                <c:ptCount val="1"/>
                <c:pt idx="0">
                  <c:v>Porcentagem</c:v>
                </c:pt>
              </c:strCache>
            </c:strRef>
          </c:tx>
          <c:spPr>
            <a:ln>
              <a:prstDash val="solid"/>
            </a:ln>
          </c:spPr>
          <c:dPt>
            <c:idx val="0"/>
            <c:bubble3D val="0"/>
            <c:extLst>
              <c:ext xmlns:c16="http://schemas.microsoft.com/office/drawing/2014/chart" uri="{C3380CC4-5D6E-409C-BE32-E72D297353CC}">
                <c16:uniqueId val="{00000008-87CC-344E-89F1-C8B1AE574971}"/>
              </c:ext>
            </c:extLst>
          </c:dPt>
          <c:dPt>
            <c:idx val="1"/>
            <c:bubble3D val="0"/>
            <c:extLst>
              <c:ext xmlns:c16="http://schemas.microsoft.com/office/drawing/2014/chart" uri="{C3380CC4-5D6E-409C-BE32-E72D297353CC}">
                <c16:uniqueId val="{0000000A-87CC-344E-89F1-C8B1AE574971}"/>
              </c:ext>
            </c:extLst>
          </c:dPt>
          <c:dPt>
            <c:idx val="2"/>
            <c:bubble3D val="0"/>
            <c:extLst>
              <c:ext xmlns:c16="http://schemas.microsoft.com/office/drawing/2014/chart" uri="{C3380CC4-5D6E-409C-BE32-E72D297353CC}">
                <c16:uniqueId val="{0000000C-87CC-344E-89F1-C8B1AE574971}"/>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Tables_Atual_Ideal!$B$23:$B$26</c:f>
              <c:strCache>
                <c:ptCount val="3"/>
                <c:pt idx="0">
                  <c:v>BRL</c:v>
                </c:pt>
                <c:pt idx="1">
                  <c:v>BTC</c:v>
                </c:pt>
                <c:pt idx="2">
                  <c:v>USD</c:v>
                </c:pt>
              </c:strCache>
            </c:strRef>
          </c:cat>
          <c:val>
            <c:numRef>
              <c:f>Tables_Atual_Ideal!$D$23:$D$26</c:f>
              <c:numCache>
                <c:formatCode>0%</c:formatCode>
                <c:ptCount val="3"/>
                <c:pt idx="0">
                  <c:v>0.36237983306368771</c:v>
                </c:pt>
                <c:pt idx="1">
                  <c:v>0.4527458295032889</c:v>
                </c:pt>
                <c:pt idx="2">
                  <c:v>0.18487433743302334</c:v>
                </c:pt>
              </c:numCache>
            </c:numRef>
          </c:val>
          <c:extLst>
            <c:ext xmlns:c16="http://schemas.microsoft.com/office/drawing/2014/chart" uri="{C3380CC4-5D6E-409C-BE32-E72D297353CC}">
              <c16:uniqueId val="{0000000D-87CC-344E-89F1-C8B1AE574971}"/>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US"/>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[NEW_01-Nando-Din.xlsx]Tables_Atual_Ideal!Pivot_Estrategia</c:name>
    <c:fmtId val="31"/>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sz="1800" b="1" i="0" strike="noStrike" kern="1200" baseline="0">
                <a:solidFill>
                  <a:schemeClr val="bg2"/>
                </a:solidFill>
              </a:rPr>
              <a:t>Estratégia</a:t>
            </a:r>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prstDash val="solid"/>
          </a:ln>
        </c:spP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prstDash val="solid"/>
          </a:ln>
        </c:spPr>
      </c:pivotFmt>
      <c:pivotFmt>
        <c:idx val="4"/>
        <c:spPr>
          <a:solidFill>
            <a:schemeClr val="accent2"/>
          </a:solidFill>
          <a:ln>
            <a:noFill/>
            <a:prstDash val="solid"/>
          </a:ln>
        </c:spPr>
      </c:pivotFmt>
      <c:pivotFmt>
        <c:idx val="5"/>
        <c:spPr>
          <a:solidFill>
            <a:schemeClr val="accent4"/>
          </a:solidFill>
          <a:ln>
            <a:noFill/>
            <a:prstDash val="solid"/>
          </a:ln>
        </c:spPr>
      </c:pivotFmt>
      <c:pivotFmt>
        <c:idx val="6"/>
        <c:spPr>
          <a:solidFill>
            <a:schemeClr val="accent1"/>
          </a:solidFill>
          <a:ln>
            <a:noFill/>
            <a:prstDash val="solid"/>
          </a:ln>
        </c:spPr>
      </c:pivotFmt>
      <c:pivotFmt>
        <c:idx val="7"/>
        <c:spPr>
          <a:solidFill>
            <a:schemeClr val="accent2"/>
          </a:solidFill>
          <a:ln>
            <a:noFill/>
            <a:prstDash val="solid"/>
          </a:ln>
        </c:spPr>
      </c:pivotFmt>
      <c:pivotFmt>
        <c:idx val="8"/>
        <c:spPr>
          <a:solidFill>
            <a:schemeClr val="accent3"/>
          </a:solidFill>
          <a:ln>
            <a:noFill/>
            <a:prstDash val="solid"/>
          </a:ln>
        </c:spPr>
      </c:pivotFmt>
      <c:pivotFmt>
        <c:idx val="9"/>
        <c:spPr>
          <a:solidFill>
            <a:schemeClr val="accent4"/>
          </a:solidFill>
          <a:ln>
            <a:noFill/>
            <a:prstDash val="solid"/>
          </a:ln>
        </c:spPr>
      </c:pivotFmt>
      <c:pivotFmt>
        <c:idx val="10"/>
        <c:spPr>
          <a:solidFill>
            <a:schemeClr val="accent1"/>
          </a:solidFill>
          <a:ln>
            <a:noFill/>
            <a:prstDash val="solid"/>
          </a:ln>
        </c:spPr>
      </c:pivotFmt>
      <c:pivotFmt>
        <c:idx val="11"/>
        <c:spPr>
          <a:solidFill>
            <a:schemeClr val="accent1"/>
          </a:solidFill>
          <a:ln>
            <a:noFill/>
            <a:prstDash val="solid"/>
          </a:ln>
        </c:spPr>
      </c:pivotFmt>
      <c:pivotFmt>
        <c:idx val="12"/>
      </c:pivotFmt>
      <c:pivotFmt>
        <c:idx val="13"/>
      </c:pivotFmt>
      <c:pivotFmt>
        <c:idx val="14"/>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s>
    <c:plotArea>
      <c:layout/>
      <c:pieChart>
        <c:varyColors val="1"/>
        <c:ser>
          <c:idx val="0"/>
          <c:order val="0"/>
          <c:tx>
            <c:strRef>
              <c:f>Tables_Atual_Ideal!$C$29</c:f>
              <c:strCache>
                <c:ptCount val="1"/>
                <c:pt idx="0">
                  <c:v>Total (R$)</c:v>
                </c:pt>
              </c:strCache>
            </c:strRef>
          </c:tx>
          <c:spPr>
            <a:ln>
              <a:prstDash val="solid"/>
            </a:ln>
          </c:spPr>
          <c:dLbls>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243-614D-9281-818E2C999110}"/>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243-614D-9281-818E2C999110}"/>
                </c:ext>
              </c:extLst>
            </c:dLbl>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Tables_Atual_Ideal!$B$30:$B$34</c:f>
              <c:strCache>
                <c:ptCount val="4"/>
                <c:pt idx="0">
                  <c:v>Core</c:v>
                </c:pt>
                <c:pt idx="1">
                  <c:v>Core-Satellite</c:v>
                </c:pt>
                <c:pt idx="2">
                  <c:v>Hedge</c:v>
                </c:pt>
                <c:pt idx="3">
                  <c:v>Satellite</c:v>
                </c:pt>
              </c:strCache>
            </c:strRef>
          </c:cat>
          <c:val>
            <c:numRef>
              <c:f>Tables_Atual_Ideal!$C$30:$C$34</c:f>
              <c:numCache>
                <c:formatCode>_("R$"* #,##0.00_);_("R$"* \(#,##0.00\);_("R$"* "-"??_);_(@_)</c:formatCode>
                <c:ptCount val="4"/>
                <c:pt idx="0">
                  <c:v>103716.46993166002</c:v>
                </c:pt>
                <c:pt idx="1">
                  <c:v>98278.773631079996</c:v>
                </c:pt>
                <c:pt idx="2">
                  <c:v>10460.439096829257</c:v>
                </c:pt>
                <c:pt idx="3">
                  <c:v>4617.0482784549158</c:v>
                </c:pt>
              </c:numCache>
            </c:numRef>
          </c:val>
          <c:extLst>
            <c:ext xmlns:c16="http://schemas.microsoft.com/office/drawing/2014/chart" uri="{C3380CC4-5D6E-409C-BE32-E72D297353CC}">
              <c16:uniqueId val="{00000002-E243-614D-9281-818E2C999110}"/>
            </c:ext>
          </c:extLst>
        </c:ser>
        <c:ser>
          <c:idx val="1"/>
          <c:order val="1"/>
          <c:tx>
            <c:strRef>
              <c:f>Tables_Atual_Ideal!$D$29</c:f>
              <c:strCache>
                <c:ptCount val="1"/>
                <c:pt idx="0">
                  <c:v>Porcentagem</c:v>
                </c:pt>
              </c:strCache>
            </c:strRef>
          </c:tx>
          <c:spPr>
            <a:ln>
              <a:prstDash val="solid"/>
            </a:ln>
          </c:spPr>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Tables_Atual_Ideal!$B$30:$B$34</c:f>
              <c:strCache>
                <c:ptCount val="4"/>
                <c:pt idx="0">
                  <c:v>Core</c:v>
                </c:pt>
                <c:pt idx="1">
                  <c:v>Core-Satellite</c:v>
                </c:pt>
                <c:pt idx="2">
                  <c:v>Hedge</c:v>
                </c:pt>
                <c:pt idx="3">
                  <c:v>Satellite</c:v>
                </c:pt>
              </c:strCache>
            </c:strRef>
          </c:cat>
          <c:val>
            <c:numRef>
              <c:f>Tables_Atual_Ideal!$D$30:$D$34</c:f>
              <c:numCache>
                <c:formatCode>0%</c:formatCode>
                <c:ptCount val="4"/>
                <c:pt idx="0">
                  <c:v>0.47779594186462698</c:v>
                </c:pt>
                <c:pt idx="1">
                  <c:v>0.4527458295032889</c:v>
                </c:pt>
                <c:pt idx="2">
                  <c:v>4.818863729049315E-2</c:v>
                </c:pt>
                <c:pt idx="3">
                  <c:v>2.1269591341591017E-2</c:v>
                </c:pt>
              </c:numCache>
            </c:numRef>
          </c:val>
          <c:extLst>
            <c:ext xmlns:c16="http://schemas.microsoft.com/office/drawing/2014/chart" uri="{C3380CC4-5D6E-409C-BE32-E72D297353CC}">
              <c16:uniqueId val="{00000003-E243-614D-9281-818E2C999110}"/>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[NEW_01-Nando-Din.xlsx]Tables_Atual_Ideal!Pivot_RendaFixaXDuration</c:name>
    <c:fmtId val="41"/>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strike="noStrike" kern="1200" baseline="0">
                <a:solidFill>
                  <a:schemeClr val="bg1"/>
                </a:solidFill>
              </a:rPr>
              <a:t>Renda Fixa x Duration</a:t>
            </a:r>
          </a:p>
        </c:rich>
      </c:tx>
      <c:overlay val="0"/>
      <c:spPr>
        <a:noFill/>
        <a:ln>
          <a:noFill/>
          <a:prstDash val="solid"/>
        </a:ln>
      </c:spPr>
    </c:title>
    <c:autoTitleDeleted val="0"/>
    <c:pivotFmts>
      <c:pivotFmt>
        <c:idx val="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61728395061728E-2"/>
          <c:y val="5.0925925925925923E-2"/>
          <c:w val="0.73481481481481492"/>
          <c:h val="0.87606811653045169"/>
        </c:manualLayout>
      </c:layout>
      <c:barChart>
        <c:barDir val="col"/>
        <c:grouping val="clustered"/>
        <c:varyColors val="0"/>
        <c:ser>
          <c:idx val="0"/>
          <c:order val="0"/>
          <c:tx>
            <c:strRef>
              <c:f>Tables_Atual_Ideal!$C$39:$C$40</c:f>
              <c:strCache>
                <c:ptCount val="1"/>
                <c:pt idx="0">
                  <c:v>Curto</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Tables_Atual_Ideal!$C$41:$C$43</c:f>
              <c:numCache>
                <c:formatCode>0%</c:formatCode>
                <c:ptCount val="2"/>
                <c:pt idx="0">
                  <c:v>6.4625615227493299E-2</c:v>
                </c:pt>
                <c:pt idx="1">
                  <c:v>0.21133272533980063</c:v>
                </c:pt>
              </c:numCache>
            </c:numRef>
          </c:val>
          <c:extLst>
            <c:ext xmlns:c16="http://schemas.microsoft.com/office/drawing/2014/chart" uri="{C3380CC4-5D6E-409C-BE32-E72D297353CC}">
              <c16:uniqueId val="{0000000E-75A4-C545-A68D-2F76736B3559}"/>
            </c:ext>
          </c:extLst>
        </c:ser>
        <c:ser>
          <c:idx val="1"/>
          <c:order val="1"/>
          <c:tx>
            <c:strRef>
              <c:f>Tables_Atual_Ideal!$D$39:$D$40</c:f>
              <c:strCache>
                <c:ptCount val="1"/>
                <c:pt idx="0">
                  <c:v>Médio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Tables_Atual_Ideal!$D$41:$D$43</c:f>
              <c:numCache>
                <c:formatCode>0%</c:formatCode>
                <c:ptCount val="2"/>
                <c:pt idx="0">
                  <c:v>0.10738180425973631</c:v>
                </c:pt>
                <c:pt idx="1">
                  <c:v>0.2580333665960976</c:v>
                </c:pt>
              </c:numCache>
            </c:numRef>
          </c:val>
          <c:extLst>
            <c:ext xmlns:c16="http://schemas.microsoft.com/office/drawing/2014/chart" uri="{C3380CC4-5D6E-409C-BE32-E72D297353CC}">
              <c16:uniqueId val="{00000003-C07F-754B-84EC-CFD81ED1741B}"/>
            </c:ext>
          </c:extLst>
        </c:ser>
        <c:ser>
          <c:idx val="2"/>
          <c:order val="2"/>
          <c:tx>
            <c:strRef>
              <c:f>Tables_Atual_Ideal!$E$39:$E$40</c:f>
              <c:strCache>
                <c:ptCount val="1"/>
                <c:pt idx="0">
                  <c:v>Longo</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Tables_Atual_Ideal!$B$41:$B$43</c:f>
              <c:strCache>
                <c:ptCount val="2"/>
                <c:pt idx="0">
                  <c:v>IPCA</c:v>
                </c:pt>
                <c:pt idx="1">
                  <c:v>Pós-fixado</c:v>
                </c:pt>
              </c:strCache>
            </c:strRef>
          </c:cat>
          <c:val>
            <c:numRef>
              <c:f>Tables_Atual_Ideal!$E$41:$E$43</c:f>
              <c:numCache>
                <c:formatCode>0%</c:formatCode>
                <c:ptCount val="2"/>
                <c:pt idx="0">
                  <c:v>0.25736919483408566</c:v>
                </c:pt>
                <c:pt idx="1">
                  <c:v>0.10125729374278646</c:v>
                </c:pt>
              </c:numCache>
            </c:numRef>
          </c:val>
          <c:extLst>
            <c:ext xmlns:c16="http://schemas.microsoft.com/office/drawing/2014/chart" uri="{C3380CC4-5D6E-409C-BE32-E72D297353CC}">
              <c16:uniqueId val="{00000004-C07F-754B-84EC-CFD81ED1741B}"/>
            </c:ext>
          </c:extLst>
        </c:ser>
        <c:dLbls>
          <c:dLblPos val="inEnd"/>
          <c:showLegendKey val="0"/>
          <c:showVal val="1"/>
          <c:showCatName val="0"/>
          <c:showSerName val="0"/>
          <c:showPercent val="0"/>
          <c:showBubbleSize val="0"/>
        </c:dLbls>
        <c:gapWidth val="65"/>
        <c:axId val="145675519"/>
        <c:axId val="145679551"/>
      </c:barChart>
      <c:catAx>
        <c:axId val="14567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145679551"/>
        <c:crosses val="autoZero"/>
        <c:auto val="1"/>
        <c:lblAlgn val="ctr"/>
        <c:lblOffset val="100"/>
        <c:noMultiLvlLbl val="0"/>
      </c:catAx>
      <c:valAx>
        <c:axId val="145679551"/>
        <c:scaling>
          <c:orientation val="minMax"/>
        </c:scaling>
        <c:delete val="1"/>
        <c:axPos val="l"/>
        <c:numFmt formatCode="0%" sourceLinked="1"/>
        <c:majorTickMark val="none"/>
        <c:minorTickMark val="none"/>
        <c:tickLblPos val="nextTo"/>
        <c:crossAx val="145675519"/>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[NEW_01-Nando-Din.xlsx]Tables_Atual_Ideal!Pivot_RendaVariavel</c:name>
    <c:fmtId val="204"/>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a:solidFill>
                  <a:schemeClr val="bg1"/>
                </a:solidFill>
              </a:rPr>
              <a:t>Renda Variável</a:t>
            </a:r>
          </a:p>
        </c:rich>
      </c:tx>
      <c:overlay val="0"/>
      <c:spPr>
        <a:noFill/>
        <a:ln>
          <a:noFill/>
          <a:prstDash val="solid"/>
        </a:ln>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prstDash val="solid"/>
          </a:ln>
        </c:spPr>
      </c:pivotFmt>
      <c:pivotFmt>
        <c:idx val="9"/>
        <c:spPr>
          <a:solidFill>
            <a:schemeClr val="accent2"/>
          </a:solidFill>
          <a:ln>
            <a:noFill/>
            <a:prstDash val="solid"/>
          </a:ln>
        </c:spPr>
      </c:pivotFmt>
      <c:pivotFmt>
        <c:idx val="10"/>
        <c:spPr>
          <a:solidFill>
            <a:schemeClr val="accent3"/>
          </a:solidFill>
          <a:ln>
            <a:noFill/>
            <a:prstDash val="solid"/>
          </a:ln>
        </c:spPr>
      </c:pivotFmt>
      <c:pivotFmt>
        <c:idx val="11"/>
        <c:spPr>
          <a:solidFill>
            <a:schemeClr val="accent4"/>
          </a:solidFill>
          <a:ln>
            <a:noFill/>
            <a:prstDash val="solid"/>
          </a:ln>
        </c:spPr>
      </c:pivotFmt>
      <c:pivotFmt>
        <c:idx val="12"/>
        <c:spPr>
          <a:solidFill>
            <a:schemeClr val="accent5"/>
          </a:solidFill>
          <a:ln>
            <a:noFill/>
            <a:prstDash val="solid"/>
          </a:ln>
        </c:spPr>
      </c:pivotFmt>
      <c:pivotFmt>
        <c:idx val="13"/>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prstDash val="solid"/>
          </a:ln>
        </c:spPr>
      </c:pivotFmt>
      <c:pivotFmt>
        <c:idx val="15"/>
        <c:spPr>
          <a:solidFill>
            <a:schemeClr val="accent2"/>
          </a:solidFill>
          <a:ln>
            <a:noFill/>
            <a:prstDash val="solid"/>
          </a:ln>
        </c:spPr>
      </c:pivotFmt>
      <c:pivotFmt>
        <c:idx val="16"/>
        <c:spPr>
          <a:solidFill>
            <a:schemeClr val="accent3"/>
          </a:solidFill>
          <a:ln>
            <a:noFill/>
            <a:prstDash val="solid"/>
          </a:ln>
        </c:spPr>
      </c:pivotFmt>
      <c:pivotFmt>
        <c:idx val="17"/>
        <c:spPr>
          <a:solidFill>
            <a:schemeClr val="accent4"/>
          </a:solidFill>
          <a:ln>
            <a:noFill/>
            <a:prstDash val="solid"/>
          </a:ln>
        </c:spPr>
      </c:pivotFmt>
      <c:pivotFmt>
        <c:idx val="18"/>
        <c:spPr>
          <a:solidFill>
            <a:schemeClr val="accent5"/>
          </a:solidFill>
          <a:ln>
            <a:noFill/>
            <a:prstDash val="solid"/>
          </a:ln>
        </c:spPr>
      </c:pivotFmt>
      <c:pivotFmt>
        <c:idx val="19"/>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prstDash val="solid"/>
          </a:ln>
        </c:spPr>
      </c:pivotFmt>
      <c:pivotFmt>
        <c:idx val="21"/>
        <c:spPr>
          <a:solidFill>
            <a:schemeClr val="accent2"/>
          </a:solidFill>
          <a:ln>
            <a:noFill/>
            <a:prstDash val="solid"/>
          </a:ln>
        </c:spPr>
      </c:pivotFmt>
      <c:pivotFmt>
        <c:idx val="22"/>
        <c:spPr>
          <a:solidFill>
            <a:schemeClr val="accent3"/>
          </a:solidFill>
          <a:ln>
            <a:noFill/>
            <a:prstDash val="solid"/>
          </a:ln>
        </c:spPr>
      </c:pivotFmt>
      <c:pivotFmt>
        <c:idx val="23"/>
        <c:spPr>
          <a:solidFill>
            <a:schemeClr val="accent4"/>
          </a:solidFill>
          <a:ln>
            <a:noFill/>
            <a:prstDash val="solid"/>
          </a:ln>
        </c:spPr>
      </c:pivotFmt>
      <c:pivotFmt>
        <c:idx val="24"/>
        <c:spPr>
          <a:solidFill>
            <a:schemeClr val="accent5"/>
          </a:solidFill>
          <a:ln>
            <a:noFill/>
            <a:prstDash val="solid"/>
          </a:ln>
        </c:spPr>
      </c:pivotFmt>
    </c:pivotFmts>
    <c:plotArea>
      <c:layout/>
      <c:pieChart>
        <c:varyColors val="1"/>
        <c:ser>
          <c:idx val="0"/>
          <c:order val="0"/>
          <c:tx>
            <c:strRef>
              <c:f>Tables_Atual_Ideal!$C$48</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6E96-2D4B-B574-505BCA1EB708}"/>
              </c:ext>
            </c:extLst>
          </c:dPt>
          <c:dPt>
            <c:idx val="1"/>
            <c:bubble3D val="0"/>
            <c:spPr>
              <a:solidFill>
                <a:schemeClr val="accent2"/>
              </a:solidFill>
              <a:ln>
                <a:noFill/>
                <a:prstDash val="solid"/>
              </a:ln>
            </c:spPr>
            <c:extLst>
              <c:ext xmlns:c16="http://schemas.microsoft.com/office/drawing/2014/chart" uri="{C3380CC4-5D6E-409C-BE32-E72D297353CC}">
                <c16:uniqueId val="{00000003-6E96-2D4B-B574-505BCA1EB708}"/>
              </c:ext>
            </c:extLst>
          </c:dPt>
          <c:dPt>
            <c:idx val="2"/>
            <c:bubble3D val="0"/>
            <c:spPr>
              <a:solidFill>
                <a:schemeClr val="accent3"/>
              </a:solidFill>
              <a:ln>
                <a:noFill/>
                <a:prstDash val="solid"/>
              </a:ln>
            </c:spPr>
            <c:extLst>
              <c:ext xmlns:c16="http://schemas.microsoft.com/office/drawing/2014/chart" uri="{C3380CC4-5D6E-409C-BE32-E72D297353CC}">
                <c16:uniqueId val="{00000005-6E96-2D4B-B574-505BCA1EB708}"/>
              </c:ext>
            </c:extLst>
          </c:dPt>
          <c:dPt>
            <c:idx val="3"/>
            <c:bubble3D val="0"/>
            <c:spPr>
              <a:solidFill>
                <a:schemeClr val="accent4"/>
              </a:solidFill>
              <a:ln>
                <a:noFill/>
                <a:prstDash val="solid"/>
              </a:ln>
            </c:spPr>
            <c:extLst>
              <c:ext xmlns:c16="http://schemas.microsoft.com/office/drawing/2014/chart" uri="{C3380CC4-5D6E-409C-BE32-E72D297353CC}">
                <c16:uniqueId val="{00000007-6E96-2D4B-B574-505BCA1EB708}"/>
              </c:ext>
            </c:extLst>
          </c:dPt>
          <c:dPt>
            <c:idx val="4"/>
            <c:bubble3D val="0"/>
            <c:spPr>
              <a:solidFill>
                <a:schemeClr val="accent5"/>
              </a:solidFill>
              <a:ln>
                <a:noFill/>
                <a:prstDash val="solid"/>
              </a:ln>
            </c:spPr>
            <c:extLst>
              <c:ext xmlns:c16="http://schemas.microsoft.com/office/drawing/2014/chart" uri="{C3380CC4-5D6E-409C-BE32-E72D297353CC}">
                <c16:uniqueId val="{00000009-6E96-2D4B-B574-505BCA1EB708}"/>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Tables_Atual_Ideal!$B$49:$B$54</c:f>
              <c:strCache>
                <c:ptCount val="5"/>
                <c:pt idx="0">
                  <c:v>Ações EUA</c:v>
                </c:pt>
                <c:pt idx="1">
                  <c:v>Ações - Ex: USA</c:v>
                </c:pt>
                <c:pt idx="2">
                  <c:v>Ações BR</c:v>
                </c:pt>
                <c:pt idx="3">
                  <c:v>Commoditie</c:v>
                </c:pt>
                <c:pt idx="4">
                  <c:v>Imobiliário BR</c:v>
                </c:pt>
              </c:strCache>
            </c:strRef>
          </c:cat>
          <c:val>
            <c:numRef>
              <c:f>Tables_Atual_Ideal!$C$49:$C$54</c:f>
              <c:numCache>
                <c:formatCode>0%</c:formatCode>
                <c:ptCount val="5"/>
                <c:pt idx="0">
                  <c:v>0.57913665605750508</c:v>
                </c:pt>
                <c:pt idx="1">
                  <c:v>7.4176991407201381E-2</c:v>
                </c:pt>
                <c:pt idx="2">
                  <c:v>0.24352540643848872</c:v>
                </c:pt>
                <c:pt idx="3">
                  <c:v>3.3582258542950855E-2</c:v>
                </c:pt>
                <c:pt idx="4">
                  <c:v>6.9578687553853921E-2</c:v>
                </c:pt>
              </c:numCache>
            </c:numRef>
          </c:val>
          <c:extLst>
            <c:ext xmlns:c16="http://schemas.microsoft.com/office/drawing/2014/chart" uri="{C3380CC4-5D6E-409C-BE32-E72D297353CC}">
              <c16:uniqueId val="{0000000A-6E96-2D4B-B574-505BCA1EB708}"/>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en-US" sz="1800" b="1" i="0" strike="noStrike" kern="1200" baseline="0">
                <a:solidFill>
                  <a:schemeClr val="bg2"/>
                </a:solidFill>
              </a:rPr>
              <a:t>Estratégia Ideal</a:t>
            </a:r>
          </a:p>
        </c:rich>
      </c:tx>
      <c:overlay val="0"/>
      <c:spPr>
        <a:noFill/>
        <a:ln>
          <a:noFill/>
          <a:prstDash val="solid"/>
        </a:ln>
      </c:spPr>
    </c:title>
    <c:autoTitleDeleted val="0"/>
    <c:plotArea>
      <c:layout/>
      <c:pieChart>
        <c:varyColors val="1"/>
        <c:ser>
          <c:idx val="0"/>
          <c:order val="0"/>
          <c:tx>
            <c:strRef>
              <c:f>Tables_Atual_Ideal!$K$29</c:f>
              <c:strCache>
                <c:ptCount val="1"/>
                <c:pt idx="0">
                  <c:v>Total Ideal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6514-9F4B-94EB-86F98813C68D}"/>
              </c:ext>
            </c:extLst>
          </c:dPt>
          <c:dPt>
            <c:idx val="1"/>
            <c:bubble3D val="0"/>
            <c:spPr>
              <a:solidFill>
                <a:schemeClr val="accent2"/>
              </a:solidFill>
              <a:ln>
                <a:noFill/>
                <a:prstDash val="solid"/>
              </a:ln>
            </c:spPr>
            <c:extLst>
              <c:ext xmlns:c16="http://schemas.microsoft.com/office/drawing/2014/chart" uri="{C3380CC4-5D6E-409C-BE32-E72D297353CC}">
                <c16:uniqueId val="{00000003-6514-9F4B-94EB-86F98813C68D}"/>
              </c:ext>
            </c:extLst>
          </c:dPt>
          <c:dPt>
            <c:idx val="2"/>
            <c:bubble3D val="0"/>
            <c:spPr>
              <a:solidFill>
                <a:schemeClr val="accent3"/>
              </a:solidFill>
              <a:ln>
                <a:noFill/>
                <a:prstDash val="solid"/>
              </a:ln>
            </c:spPr>
            <c:extLst>
              <c:ext xmlns:c16="http://schemas.microsoft.com/office/drawing/2014/chart" uri="{C3380CC4-5D6E-409C-BE32-E72D297353CC}">
                <c16:uniqueId val="{00000005-6514-9F4B-94EB-86F98813C68D}"/>
              </c:ext>
            </c:extLst>
          </c:dPt>
          <c:dPt>
            <c:idx val="3"/>
            <c:bubble3D val="0"/>
            <c:spPr>
              <a:solidFill>
                <a:schemeClr val="accent4"/>
              </a:solidFill>
              <a:ln>
                <a:noFill/>
                <a:prstDash val="solid"/>
              </a:ln>
            </c:spPr>
            <c:extLst>
              <c:ext xmlns:c16="http://schemas.microsoft.com/office/drawing/2014/chart" uri="{C3380CC4-5D6E-409C-BE32-E72D297353CC}">
                <c16:uniqueId val="{00000007-6514-9F4B-94EB-86F98813C68D}"/>
              </c:ext>
            </c:extLst>
          </c:dPt>
          <c:dLbls>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14-9F4B-94EB-86F98813C68D}"/>
                </c:ext>
              </c:extLst>
            </c:dLbl>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14-9F4B-94EB-86F98813C68D}"/>
                </c:ext>
              </c:extLst>
            </c:dLbl>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Tables_Atual_Ideal!$J$30:$J$33</c:f>
              <c:strCache>
                <c:ptCount val="4"/>
                <c:pt idx="0">
                  <c:v>Core</c:v>
                </c:pt>
                <c:pt idx="1">
                  <c:v>Core-Satellite</c:v>
                </c:pt>
                <c:pt idx="2">
                  <c:v>Hedge</c:v>
                </c:pt>
                <c:pt idx="3">
                  <c:v>Satellite</c:v>
                </c:pt>
              </c:strCache>
            </c:strRef>
          </c:cat>
          <c:val>
            <c:numRef>
              <c:f>Tables_Atual_Ideal!$K$30:$K$33</c:f>
              <c:numCache>
                <c:formatCode>_("R$"* #,##0.00_);_("R$"* \(#,##0.00\);_("R$"* "-"??_);_(@_)</c:formatCode>
                <c:ptCount val="4"/>
                <c:pt idx="0">
                  <c:v>119390.00201591331</c:v>
                </c:pt>
                <c:pt idx="1">
                  <c:v>75975.455828308463</c:v>
                </c:pt>
                <c:pt idx="2">
                  <c:v>10853.636546901209</c:v>
                </c:pt>
                <c:pt idx="3">
                  <c:v>10853.636546901209</c:v>
                </c:pt>
              </c:numCache>
            </c:numRef>
          </c:val>
          <c:extLst>
            <c:ext xmlns:c16="http://schemas.microsoft.com/office/drawing/2014/chart" uri="{C3380CC4-5D6E-409C-BE32-E72D297353CC}">
              <c16:uniqueId val="{00000008-6514-9F4B-94EB-86F98813C68D}"/>
            </c:ext>
          </c:extLst>
        </c:ser>
        <c:ser>
          <c:idx val="1"/>
          <c:order val="1"/>
          <c:tx>
            <c:strRef>
              <c:f>Tables_Atual_Ideal!$L$29</c:f>
              <c:strCache>
                <c:ptCount val="1"/>
                <c:pt idx="0">
                  <c:v>Porcentagem</c:v>
                </c:pt>
              </c:strCache>
            </c:strRef>
          </c:tx>
          <c:spPr>
            <a:ln>
              <a:prstDash val="solid"/>
            </a:ln>
          </c:spPr>
          <c:dLbls>
            <c:spPr>
              <a:noFill/>
              <a:ln>
                <a:noFill/>
                <a:prstDash val="solid"/>
              </a:ln>
            </c:sp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Tables_Atual_Ideal!$J$30:$J$33</c:f>
              <c:strCache>
                <c:ptCount val="4"/>
                <c:pt idx="0">
                  <c:v>Core</c:v>
                </c:pt>
                <c:pt idx="1">
                  <c:v>Core-Satellite</c:v>
                </c:pt>
                <c:pt idx="2">
                  <c:v>Hedge</c:v>
                </c:pt>
                <c:pt idx="3">
                  <c:v>Satellite</c:v>
                </c:pt>
              </c:strCache>
            </c:strRef>
          </c:cat>
          <c:val>
            <c:numRef>
              <c:f>Tables_Atual_Ideal!$L$30:$L$33</c:f>
              <c:numCache>
                <c:formatCode>0%</c:formatCode>
                <c:ptCount val="4"/>
                <c:pt idx="0">
                  <c:v>0.55000000000000004</c:v>
                </c:pt>
                <c:pt idx="1">
                  <c:v>0.35</c:v>
                </c:pt>
                <c:pt idx="2">
                  <c:v>0.05</c:v>
                </c:pt>
                <c:pt idx="3">
                  <c:v>0.05</c:v>
                </c:pt>
              </c:numCache>
            </c:numRef>
          </c:val>
          <c:extLst>
            <c:ext xmlns:c16="http://schemas.microsoft.com/office/drawing/2014/chart" uri="{C3380CC4-5D6E-409C-BE32-E72D297353CC}">
              <c16:uniqueId val="{00000009-6514-9F4B-94EB-86F98813C68D}"/>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strike="noStrike" kern="1200" baseline="0">
                <a:solidFill>
                  <a:schemeClr val="bg2"/>
                </a:solidFill>
              </a:rPr>
              <a:t> Moeda Ideal</a:t>
            </a:r>
          </a:p>
        </c:rich>
      </c:tx>
      <c:overlay val="0"/>
      <c:spPr>
        <a:noFill/>
        <a:ln>
          <a:noFill/>
          <a:prstDash val="solid"/>
        </a:ln>
      </c:spPr>
    </c:title>
    <c:autoTitleDeleted val="0"/>
    <c:plotArea>
      <c:layout/>
      <c:pieChart>
        <c:varyColors val="1"/>
        <c:ser>
          <c:idx val="0"/>
          <c:order val="0"/>
          <c:tx>
            <c:strRef>
              <c:f>Tables_Atual_Ideal!$K$22</c:f>
              <c:strCache>
                <c:ptCount val="1"/>
                <c:pt idx="0">
                  <c:v>Total Ideal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CCFA-AB46-B3CB-2F34365C4E03}"/>
              </c:ext>
            </c:extLst>
          </c:dPt>
          <c:dPt>
            <c:idx val="1"/>
            <c:bubble3D val="0"/>
            <c:spPr>
              <a:solidFill>
                <a:schemeClr val="accent2"/>
              </a:solidFill>
              <a:ln>
                <a:noFill/>
                <a:prstDash val="solid"/>
              </a:ln>
            </c:spPr>
            <c:extLst>
              <c:ext xmlns:c16="http://schemas.microsoft.com/office/drawing/2014/chart" uri="{C3380CC4-5D6E-409C-BE32-E72D297353CC}">
                <c16:uniqueId val="{00000003-CCFA-AB46-B3CB-2F34365C4E03}"/>
              </c:ext>
            </c:extLst>
          </c:dPt>
          <c:dPt>
            <c:idx val="2"/>
            <c:bubble3D val="0"/>
            <c:spPr>
              <a:solidFill>
                <a:schemeClr val="accent3"/>
              </a:solidFill>
              <a:ln>
                <a:noFill/>
                <a:prstDash val="solid"/>
              </a:ln>
            </c:spPr>
            <c:extLst>
              <c:ext xmlns:c16="http://schemas.microsoft.com/office/drawing/2014/chart" uri="{C3380CC4-5D6E-409C-BE32-E72D297353CC}">
                <c16:uniqueId val="{00000005-CCFA-AB46-B3CB-2F34365C4E03}"/>
              </c:ext>
            </c:extLst>
          </c:dPt>
          <c:dPt>
            <c:idx val="3"/>
            <c:bubble3D val="0"/>
            <c:spPr>
              <a:solidFill>
                <a:schemeClr val="accent4"/>
              </a:solidFill>
              <a:ln>
                <a:noFill/>
                <a:prstDash val="solid"/>
              </a:ln>
            </c:spPr>
            <c:extLst>
              <c:ext xmlns:c16="http://schemas.microsoft.com/office/drawing/2014/chart" uri="{C3380CC4-5D6E-409C-BE32-E72D297353CC}">
                <c16:uniqueId val="{00000007-CCFA-AB46-B3CB-2F34365C4E03}"/>
              </c:ext>
            </c:extLst>
          </c:dPt>
          <c:dPt>
            <c:idx val="4"/>
            <c:bubble3D val="0"/>
            <c:spPr>
              <a:solidFill>
                <a:schemeClr val="accent5"/>
              </a:solidFill>
              <a:ln>
                <a:noFill/>
                <a:prstDash val="solid"/>
              </a:ln>
            </c:spPr>
            <c:extLst>
              <c:ext xmlns:c16="http://schemas.microsoft.com/office/drawing/2014/chart" uri="{C3380CC4-5D6E-409C-BE32-E72D297353CC}">
                <c16:uniqueId val="{00000009-CCFA-AB46-B3CB-2F34365C4E03}"/>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Tables_Atual_Ideal!$J$23:$J$25</c:f>
              <c:strCache>
                <c:ptCount val="3"/>
                <c:pt idx="0">
                  <c:v>BRL</c:v>
                </c:pt>
                <c:pt idx="1">
                  <c:v>BTC</c:v>
                </c:pt>
                <c:pt idx="2">
                  <c:v>USD</c:v>
                </c:pt>
              </c:strCache>
            </c:strRef>
          </c:cat>
          <c:val>
            <c:numRef>
              <c:f>Tables_Atual_Ideal!$K$23:$K$25</c:f>
              <c:numCache>
                <c:formatCode>_("R$"* #,##0.00_);_("R$"* \(#,##0.00\);_("R$"* "-"??_);_(@_)</c:formatCode>
                <c:ptCount val="3"/>
                <c:pt idx="0">
                  <c:v>84658.365065829435</c:v>
                </c:pt>
                <c:pt idx="1">
                  <c:v>70548.637554857865</c:v>
                </c:pt>
                <c:pt idx="2">
                  <c:v>61865.728317336885</c:v>
                </c:pt>
              </c:numCache>
            </c:numRef>
          </c:val>
          <c:extLst>
            <c:ext xmlns:c16="http://schemas.microsoft.com/office/drawing/2014/chart" uri="{C3380CC4-5D6E-409C-BE32-E72D297353CC}">
              <c16:uniqueId val="{0000000A-CCFA-AB46-B3CB-2F34365C4E03}"/>
            </c:ext>
          </c:extLst>
        </c:ser>
        <c:ser>
          <c:idx val="1"/>
          <c:order val="1"/>
          <c:tx>
            <c:strRef>
              <c:f>Tables_Atual_Ideal!$L$22</c:f>
              <c:strCache>
                <c:ptCount val="1"/>
                <c:pt idx="0">
                  <c:v>Porcentagem</c:v>
                </c:pt>
              </c:strCache>
            </c:strRef>
          </c:tx>
          <c:spPr>
            <a:ln>
              <a:prstDash val="solid"/>
            </a:ln>
          </c:spPr>
          <c:dLbls>
            <c:spPr>
              <a:noFill/>
              <a:ln>
                <a:noFill/>
                <a:prstDash val="solid"/>
              </a:ln>
            </c:sp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Tables_Atual_Ideal!$J$23:$J$25</c:f>
              <c:strCache>
                <c:ptCount val="3"/>
                <c:pt idx="0">
                  <c:v>BRL</c:v>
                </c:pt>
                <c:pt idx="1">
                  <c:v>BTC</c:v>
                </c:pt>
                <c:pt idx="2">
                  <c:v>USD</c:v>
                </c:pt>
              </c:strCache>
            </c:strRef>
          </c:cat>
          <c:val>
            <c:numRef>
              <c:f>Tables_Atual_Ideal!$L$23:$L$25</c:f>
              <c:numCache>
                <c:formatCode>0.0%</c:formatCode>
                <c:ptCount val="3"/>
                <c:pt idx="0">
                  <c:v>0.39</c:v>
                </c:pt>
                <c:pt idx="1">
                  <c:v>0.32500000000000001</c:v>
                </c:pt>
                <c:pt idx="2">
                  <c:v>0.28499999999999998</c:v>
                </c:pt>
              </c:numCache>
            </c:numRef>
          </c:val>
          <c:extLst>
            <c:ext xmlns:c16="http://schemas.microsoft.com/office/drawing/2014/chart" uri="{C3380CC4-5D6E-409C-BE32-E72D297353CC}">
              <c16:uniqueId val="{0000000B-CCFA-AB46-B3CB-2F34365C4E03}"/>
            </c:ext>
          </c:extLst>
        </c:ser>
        <c:dLbls>
          <c:dLblPos val="ctr"/>
          <c:showLegendKey val="0"/>
          <c:showVal val="0"/>
          <c:showCatName val="0"/>
          <c:showSerName val="0"/>
          <c:showPercent val="1"/>
          <c:showBubbleSize val="0"/>
          <c:showLeaderLines val="1"/>
        </c:dLbls>
        <c:firstSliceAng val="0"/>
      </c:pieChart>
    </c:plotArea>
    <c:legend>
      <c:legendPos val="r"/>
      <c:legendEntry>
        <c:idx val="2"/>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Entry>
      <c:overlay val="0"/>
      <c:spPr>
        <a:noFill/>
        <a:ln>
          <a:noFill/>
          <a:prstDash val="solid"/>
        </a:ln>
      </c:spPr>
      <c:txPr>
        <a:bodyPr rot="0" spcFirstLastPara="1" vertOverflow="ellipsis" vert="horz" wrap="square" anchor="ctr" anchorCtr="1"/>
        <a:lstStyle/>
        <a:p>
          <a:pPr>
            <a:defRPr sz="1400" b="0" i="0" strike="noStrike" kern="1200" baseline="0">
              <a:solidFill>
                <a:schemeClr val="bg2"/>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 lastClr="FFFFFF"/>
                </a:solidFill>
                <a:latin typeface="+mn-lt"/>
                <a:ea typeface="+mn-ea"/>
                <a:cs typeface="+mn-cs"/>
              </a:defRPr>
            </a:pPr>
            <a:r>
              <a:rPr lang="en-US" sz="1800" b="1" i="0" u="none" strike="noStrike" kern="1200" baseline="0">
                <a:solidFill>
                  <a:schemeClr val="bg1"/>
                </a:solidFill>
              </a:rPr>
              <a:t>Renda Variável Ideal</a:t>
            </a:r>
          </a:p>
        </c:rich>
      </c:tx>
      <c:overlay val="0"/>
      <c:spPr>
        <a:noFill/>
        <a:ln>
          <a:noFill/>
          <a:prstDash val="solid"/>
        </a:ln>
      </c:spPr>
    </c:title>
    <c:autoTitleDeleted val="0"/>
    <c:plotArea>
      <c:layout/>
      <c:pieChart>
        <c:varyColors val="1"/>
        <c:ser>
          <c:idx val="0"/>
          <c:order val="0"/>
          <c:tx>
            <c:strRef>
              <c:f>Tables_Atual_Ideal!$K$48</c:f>
              <c:strCache>
                <c:ptCount val="1"/>
                <c:pt idx="0">
                  <c:v>Porcentagem</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9937-734E-96C6-ED531ADE0952}"/>
              </c:ext>
            </c:extLst>
          </c:dPt>
          <c:dPt>
            <c:idx val="1"/>
            <c:bubble3D val="0"/>
            <c:spPr>
              <a:solidFill>
                <a:schemeClr val="accent2"/>
              </a:solidFill>
              <a:ln>
                <a:noFill/>
                <a:prstDash val="solid"/>
              </a:ln>
            </c:spPr>
            <c:extLst>
              <c:ext xmlns:c16="http://schemas.microsoft.com/office/drawing/2014/chart" uri="{C3380CC4-5D6E-409C-BE32-E72D297353CC}">
                <c16:uniqueId val="{00000003-9937-734E-96C6-ED531ADE0952}"/>
              </c:ext>
            </c:extLst>
          </c:dPt>
          <c:dPt>
            <c:idx val="2"/>
            <c:bubble3D val="0"/>
            <c:spPr>
              <a:solidFill>
                <a:schemeClr val="accent3"/>
              </a:solidFill>
              <a:ln>
                <a:noFill/>
                <a:prstDash val="solid"/>
              </a:ln>
            </c:spPr>
            <c:extLst>
              <c:ext xmlns:c16="http://schemas.microsoft.com/office/drawing/2014/chart" uri="{C3380CC4-5D6E-409C-BE32-E72D297353CC}">
                <c16:uniqueId val="{00000005-9937-734E-96C6-ED531ADE0952}"/>
              </c:ext>
            </c:extLst>
          </c:dPt>
          <c:dPt>
            <c:idx val="3"/>
            <c:bubble3D val="0"/>
            <c:spPr>
              <a:solidFill>
                <a:schemeClr val="accent4"/>
              </a:solidFill>
              <a:ln>
                <a:noFill/>
                <a:prstDash val="solid"/>
              </a:ln>
            </c:spPr>
            <c:extLst>
              <c:ext xmlns:c16="http://schemas.microsoft.com/office/drawing/2014/chart" uri="{C3380CC4-5D6E-409C-BE32-E72D297353CC}">
                <c16:uniqueId val="{00000007-9937-734E-96C6-ED531ADE0952}"/>
              </c:ext>
            </c:extLst>
          </c:dPt>
          <c:dPt>
            <c:idx val="4"/>
            <c:bubble3D val="0"/>
            <c:spPr>
              <a:solidFill>
                <a:schemeClr val="accent5"/>
              </a:solidFill>
              <a:ln>
                <a:noFill/>
                <a:prstDash val="solid"/>
              </a:ln>
            </c:spPr>
            <c:extLst>
              <c:ext xmlns:c16="http://schemas.microsoft.com/office/drawing/2014/chart" uri="{C3380CC4-5D6E-409C-BE32-E72D297353CC}">
                <c16:uniqueId val="{00000009-9937-734E-96C6-ED531ADE0952}"/>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Tables_Atual_Ideal!$J$49:$J$53</c:f>
              <c:strCache>
                <c:ptCount val="5"/>
                <c:pt idx="0">
                  <c:v>Ações EUA</c:v>
                </c:pt>
                <c:pt idx="1">
                  <c:v>Ações - Ex: USA</c:v>
                </c:pt>
                <c:pt idx="2">
                  <c:v>Ações BR</c:v>
                </c:pt>
                <c:pt idx="3">
                  <c:v>Commoditie</c:v>
                </c:pt>
                <c:pt idx="4">
                  <c:v>Imobiliário BR</c:v>
                </c:pt>
              </c:strCache>
            </c:strRef>
          </c:cat>
          <c:val>
            <c:numRef>
              <c:f>Tables_Atual_Ideal!$K$49:$K$53</c:f>
              <c:numCache>
                <c:formatCode>0%</c:formatCode>
                <c:ptCount val="5"/>
                <c:pt idx="0">
                  <c:v>0.5</c:v>
                </c:pt>
                <c:pt idx="1">
                  <c:v>0.2</c:v>
                </c:pt>
                <c:pt idx="2">
                  <c:v>0.2</c:v>
                </c:pt>
                <c:pt idx="3">
                  <c:v>4.4999999999999998E-2</c:v>
                </c:pt>
                <c:pt idx="4">
                  <c:v>0.05</c:v>
                </c:pt>
              </c:numCache>
            </c:numRef>
          </c:val>
          <c:extLst>
            <c:ext xmlns:c16="http://schemas.microsoft.com/office/drawing/2014/chart" uri="{C3380CC4-5D6E-409C-BE32-E72D297353CC}">
              <c16:uniqueId val="{0000000A-9937-734E-96C6-ED531ADE0952}"/>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1"/>
                </a:solidFill>
              </a:rPr>
              <a:t>Renda Fixa Ideal x Duration</a:t>
            </a:r>
          </a:p>
        </c:rich>
      </c:tx>
      <c:overlay val="0"/>
      <c:spPr>
        <a:noFill/>
        <a:ln>
          <a:noFill/>
          <a:prstDash val="solid"/>
        </a:ln>
      </c:spPr>
    </c:title>
    <c:autoTitleDeleted val="0"/>
    <c:plotArea>
      <c:layout>
        <c:manualLayout>
          <c:layoutTarget val="inner"/>
          <c:xMode val="edge"/>
          <c:yMode val="edge"/>
          <c:x val="7.5061728395061728E-2"/>
          <c:y val="5.0925925925925923E-2"/>
          <c:w val="0.73481481481481492"/>
          <c:h val="0.87606811653045169"/>
        </c:manualLayout>
      </c:layout>
      <c:barChart>
        <c:barDir val="col"/>
        <c:grouping val="clustered"/>
        <c:varyColors val="0"/>
        <c:ser>
          <c:idx val="0"/>
          <c:order val="0"/>
          <c:tx>
            <c:v>Curto</c:v>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Tables_Atual_Ideal!$K$41:$K$42</c:f>
              <c:numCache>
                <c:formatCode>0%</c:formatCode>
                <c:ptCount val="2"/>
                <c:pt idx="0">
                  <c:v>0.15</c:v>
                </c:pt>
                <c:pt idx="1">
                  <c:v>0.1</c:v>
                </c:pt>
              </c:numCache>
            </c:numRef>
          </c:val>
          <c:extLst>
            <c:ext xmlns:c16="http://schemas.microsoft.com/office/drawing/2014/chart" uri="{C3380CC4-5D6E-409C-BE32-E72D297353CC}">
              <c16:uniqueId val="{00000000-A953-8A4E-9008-3ACA8D50A80C}"/>
            </c:ext>
          </c:extLst>
        </c:ser>
        <c:ser>
          <c:idx val="1"/>
          <c:order val="1"/>
          <c:tx>
            <c:strRef>
              <c:f>Tables_Atual_Ideal!$L$40</c:f>
              <c:strCache>
                <c:ptCount val="1"/>
                <c:pt idx="0">
                  <c:v>Médio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Tables_Atual_Ideal!$L$41:$L$42</c:f>
              <c:numCache>
                <c:formatCode>0%</c:formatCode>
                <c:ptCount val="2"/>
                <c:pt idx="0">
                  <c:v>0.25</c:v>
                </c:pt>
                <c:pt idx="1">
                  <c:v>0.25</c:v>
                </c:pt>
              </c:numCache>
            </c:numRef>
          </c:val>
          <c:extLst>
            <c:ext xmlns:c16="http://schemas.microsoft.com/office/drawing/2014/chart" uri="{C3380CC4-5D6E-409C-BE32-E72D297353CC}">
              <c16:uniqueId val="{00000001-A953-8A4E-9008-3ACA8D50A80C}"/>
            </c:ext>
          </c:extLst>
        </c:ser>
        <c:ser>
          <c:idx val="2"/>
          <c:order val="2"/>
          <c:tx>
            <c:strRef>
              <c:f>Tables_Atual_Ideal!$M$40</c:f>
              <c:strCache>
                <c:ptCount val="1"/>
                <c:pt idx="0">
                  <c:v>Longo</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Tables_Atual_Ideal!$J$41:$J$42</c:f>
              <c:strCache>
                <c:ptCount val="2"/>
                <c:pt idx="0">
                  <c:v>IPCA</c:v>
                </c:pt>
                <c:pt idx="1">
                  <c:v>Pós-fixado</c:v>
                </c:pt>
              </c:strCache>
            </c:strRef>
          </c:cat>
          <c:val>
            <c:numRef>
              <c:f>Tables_Atual_Ideal!$M$41:$M$42</c:f>
              <c:numCache>
                <c:formatCode>0%</c:formatCode>
                <c:ptCount val="2"/>
                <c:pt idx="0">
                  <c:v>0.15</c:v>
                </c:pt>
                <c:pt idx="1">
                  <c:v>0.1</c:v>
                </c:pt>
              </c:numCache>
            </c:numRef>
          </c:val>
          <c:extLst>
            <c:ext xmlns:c16="http://schemas.microsoft.com/office/drawing/2014/chart" uri="{C3380CC4-5D6E-409C-BE32-E72D297353CC}">
              <c16:uniqueId val="{00000002-A953-8A4E-9008-3ACA8D50A80C}"/>
            </c:ext>
          </c:extLst>
        </c:ser>
        <c:dLbls>
          <c:dLblPos val="inEnd"/>
          <c:showLegendKey val="0"/>
          <c:showVal val="1"/>
          <c:showCatName val="0"/>
          <c:showSerName val="0"/>
          <c:showPercent val="0"/>
          <c:showBubbleSize val="0"/>
        </c:dLbls>
        <c:gapWidth val="65"/>
        <c:axId val="145675519"/>
        <c:axId val="145679551"/>
      </c:barChart>
      <c:catAx>
        <c:axId val="145675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145679551"/>
        <c:crosses val="autoZero"/>
        <c:auto val="1"/>
        <c:lblAlgn val="ctr"/>
        <c:lblOffset val="100"/>
        <c:noMultiLvlLbl val="0"/>
      </c:catAx>
      <c:valAx>
        <c:axId val="145679551"/>
        <c:scaling>
          <c:orientation val="minMax"/>
        </c:scaling>
        <c:delete val="1"/>
        <c:axPos val="l"/>
        <c:numFmt formatCode="0%" sourceLinked="1"/>
        <c:majorTickMark val="none"/>
        <c:minorTickMark val="none"/>
        <c:tickLblPos val="nextTo"/>
        <c:crossAx val="145675519"/>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2"/>
                </a:solidFill>
              </a:rPr>
              <a:t>Classe de Ativos Ideal</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884F-984D-A3E3-6A7AF4C1D32E}"/>
              </c:ext>
            </c:extLst>
          </c:dPt>
          <c:dPt>
            <c:idx val="1"/>
            <c:bubble3D val="0"/>
            <c:spPr>
              <a:solidFill>
                <a:schemeClr val="accent2"/>
              </a:solidFill>
              <a:ln>
                <a:noFill/>
                <a:prstDash val="solid"/>
              </a:ln>
            </c:spPr>
            <c:extLst>
              <c:ext xmlns:c16="http://schemas.microsoft.com/office/drawing/2014/chart" uri="{C3380CC4-5D6E-409C-BE32-E72D297353CC}">
                <c16:uniqueId val="{00000003-884F-984D-A3E3-6A7AF4C1D32E}"/>
              </c:ext>
            </c:extLst>
          </c:dPt>
          <c:dPt>
            <c:idx val="2"/>
            <c:bubble3D val="0"/>
            <c:spPr>
              <a:solidFill>
                <a:schemeClr val="accent3"/>
              </a:solidFill>
              <a:ln>
                <a:noFill/>
                <a:prstDash val="solid"/>
              </a:ln>
            </c:spPr>
            <c:extLst>
              <c:ext xmlns:c16="http://schemas.microsoft.com/office/drawing/2014/chart" uri="{C3380CC4-5D6E-409C-BE32-E72D297353CC}">
                <c16:uniqueId val="{00000005-884F-984D-A3E3-6A7AF4C1D32E}"/>
              </c:ext>
            </c:extLst>
          </c:dPt>
          <c:dPt>
            <c:idx val="3"/>
            <c:bubble3D val="0"/>
            <c:spPr>
              <a:solidFill>
                <a:schemeClr val="accent4"/>
              </a:solidFill>
              <a:ln>
                <a:noFill/>
                <a:prstDash val="solid"/>
              </a:ln>
            </c:spPr>
            <c:extLst>
              <c:ext xmlns:c16="http://schemas.microsoft.com/office/drawing/2014/chart" uri="{C3380CC4-5D6E-409C-BE32-E72D297353CC}">
                <c16:uniqueId val="{00000007-884F-984D-A3E3-6A7AF4C1D32E}"/>
              </c:ext>
            </c:extLst>
          </c:dPt>
          <c:dPt>
            <c:idx val="4"/>
            <c:bubble3D val="0"/>
            <c:spPr>
              <a:solidFill>
                <a:schemeClr val="accent5"/>
              </a:solidFill>
              <a:ln>
                <a:noFill/>
                <a:prstDash val="solid"/>
              </a:ln>
            </c:spPr>
            <c:extLst>
              <c:ext xmlns:c16="http://schemas.microsoft.com/office/drawing/2014/chart" uri="{C3380CC4-5D6E-409C-BE32-E72D297353CC}">
                <c16:uniqueId val="{00000009-884F-984D-A3E3-6A7AF4C1D32E}"/>
              </c:ext>
            </c:extLst>
          </c:dPt>
          <c:dLbls>
            <c:spPr>
              <a:pattFill prst="pct75">
                <a:fgClr>
                  <a:schemeClr val="dk1">
                    <a:lumMod val="75000"/>
                    <a:lumOff val="25000"/>
                  </a:schemeClr>
                </a:fgClr>
                <a:bgClr>
                  <a:schemeClr val="dk1">
                    <a:lumMod val="65000"/>
                    <a:lumOff val="35000"/>
                  </a:scheme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BR"/>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Tables_Atual_Ideal!$J$6:$J$10</c:f>
              <c:strCache>
                <c:ptCount val="5"/>
                <c:pt idx="0">
                  <c:v>Caixa</c:v>
                </c:pt>
                <c:pt idx="1">
                  <c:v>Cripto</c:v>
                </c:pt>
                <c:pt idx="2">
                  <c:v>Renda Fixa</c:v>
                </c:pt>
                <c:pt idx="3">
                  <c:v>Renda Variável</c:v>
                </c:pt>
                <c:pt idx="4">
                  <c:v>Reserva</c:v>
                </c:pt>
              </c:strCache>
            </c:strRef>
          </c:cat>
          <c:val>
            <c:numRef>
              <c:f>Tables_Atual_Ideal!$K$6:$K$10</c:f>
              <c:numCache>
                <c:formatCode>_("R$"* #,##0.00_);_("R$"* \(#,##0.00\);_("R$"* "-"??_);_(@_)</c:formatCode>
                <c:ptCount val="5"/>
                <c:pt idx="0">
                  <c:v>32560.909640703627</c:v>
                </c:pt>
                <c:pt idx="1">
                  <c:v>75975.455828308463</c:v>
                </c:pt>
                <c:pt idx="2">
                  <c:v>54268.182734506045</c:v>
                </c:pt>
                <c:pt idx="3">
                  <c:v>43414.546187604836</c:v>
                </c:pt>
                <c:pt idx="4">
                  <c:v>10853.636546901209</c:v>
                </c:pt>
              </c:numCache>
            </c:numRef>
          </c:val>
          <c:extLst>
            <c:ext xmlns:c16="http://schemas.microsoft.com/office/drawing/2014/chart" uri="{C3380CC4-5D6E-409C-BE32-E72D297353CC}">
              <c16:uniqueId val="{0000000A-884F-984D-A3E3-6A7AF4C1D32E}"/>
            </c:ext>
          </c:extLst>
        </c:ser>
        <c:dLbls>
          <c:dLblPos val="ctr"/>
          <c:showLegendKey val="0"/>
          <c:showVal val="0"/>
          <c:showCatName val="0"/>
          <c:showSerName val="0"/>
          <c:showPercent val="1"/>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[NEW_01-Nando-Din.xlsx]Tables_Atual_Ideal!Pivot_RendaVariavelXMoeda</c:name>
    <c:fmtId val="2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chemeClr val="bg1"/>
                </a:solidFill>
              </a:rPr>
              <a:t>Renda Variável </a:t>
            </a:r>
            <a:r>
              <a:rPr lang="en-US" sz="1800" b="1" i="0" strike="noStrike" kern="1200" baseline="0">
                <a:solidFill>
                  <a:schemeClr val="bg1"/>
                </a:solidFill>
              </a:rPr>
              <a:t>x Moeda</a:t>
            </a:r>
          </a:p>
        </c:rich>
      </c:tx>
      <c:overlay val="0"/>
      <c:spPr>
        <a:noFill/>
        <a:ln>
          <a:noFill/>
          <a:prstDash val="solid"/>
        </a:ln>
      </c:spPr>
    </c:title>
    <c:autoTitleDeleted val="0"/>
    <c:pivotFmts>
      <c:pivotFmt>
        <c:idx val="0"/>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prstDash val="solid"/>
            <a:round/>
          </a:ln>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dLbl>
          <c:idx val="0"/>
          <c:spPr>
            <a:noFill/>
            <a:ln>
              <a:noFill/>
            </a:ln>
            <a:effectLst/>
          </c:spPr>
          <c:txPr>
            <a:bodyPr wrap="square" lIns="38100" tIns="19050" rIns="38100" bIns="19050" anchor="ctr">
              <a:spAutoFit/>
            </a:bodyPr>
            <a:lstStyle/>
            <a:p>
              <a:pPr>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marker>
          <c:symbol val="none"/>
        </c:marker>
        <c:dLbl>
          <c:idx val="0"/>
          <c:spPr>
            <a:noFill/>
            <a:ln>
              <a:noFill/>
            </a:ln>
            <a:effectLst/>
          </c:spPr>
          <c:txPr>
            <a:bodyPr wrap="square" lIns="38100" tIns="19050" rIns="38100" bIns="19050" anchor="ctr">
              <a:spAutoFit/>
            </a:bodyPr>
            <a:lstStyle/>
            <a:p>
              <a:pPr>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Tables_Atual_Ideal!$C$60:$C$61</c:f>
              <c:strCache>
                <c:ptCount val="1"/>
                <c:pt idx="0">
                  <c:v>Ações - Ex: USA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Tables_Atual_Ideal!$C$62:$C$64</c:f>
              <c:numCache>
                <c:formatCode>0%</c:formatCode>
                <c:ptCount val="2"/>
                <c:pt idx="0">
                  <c:v>0</c:v>
                </c:pt>
                <c:pt idx="1">
                  <c:v>7.4176991407201381E-2</c:v>
                </c:pt>
              </c:numCache>
            </c:numRef>
          </c:val>
          <c:extLst>
            <c:ext xmlns:c16="http://schemas.microsoft.com/office/drawing/2014/chart" uri="{C3380CC4-5D6E-409C-BE32-E72D297353CC}">
              <c16:uniqueId val="{0000000B-C057-9042-B7F9-5111DC2E03DA}"/>
            </c:ext>
          </c:extLst>
        </c:ser>
        <c:ser>
          <c:idx val="1"/>
          <c:order val="1"/>
          <c:tx>
            <c:strRef>
              <c:f>Tables_Atual_Ideal!$D$60:$D$61</c:f>
              <c:strCache>
                <c:ptCount val="1"/>
                <c:pt idx="0">
                  <c:v>Ações BR</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Tables_Atual_Ideal!$D$62:$D$64</c:f>
              <c:numCache>
                <c:formatCode>0%</c:formatCode>
                <c:ptCount val="2"/>
                <c:pt idx="0">
                  <c:v>0.24352540643848875</c:v>
                </c:pt>
                <c:pt idx="1">
                  <c:v>0</c:v>
                </c:pt>
              </c:numCache>
            </c:numRef>
          </c:val>
          <c:extLst>
            <c:ext xmlns:c16="http://schemas.microsoft.com/office/drawing/2014/chart" uri="{C3380CC4-5D6E-409C-BE32-E72D297353CC}">
              <c16:uniqueId val="{00000004-41ED-EF4B-8156-863C1F5F8522}"/>
            </c:ext>
          </c:extLst>
        </c:ser>
        <c:ser>
          <c:idx val="2"/>
          <c:order val="2"/>
          <c:tx>
            <c:strRef>
              <c:f>Tables_Atual_Ideal!$E$60:$E$61</c:f>
              <c:strCache>
                <c:ptCount val="1"/>
                <c:pt idx="0">
                  <c:v>Ações EUA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Tables_Atual_Ideal!$E$62:$E$64</c:f>
              <c:numCache>
                <c:formatCode>0%</c:formatCode>
                <c:ptCount val="2"/>
                <c:pt idx="0">
                  <c:v>0.16524938294040306</c:v>
                </c:pt>
                <c:pt idx="1">
                  <c:v>0.41388727311710216</c:v>
                </c:pt>
              </c:numCache>
            </c:numRef>
          </c:val>
          <c:extLst>
            <c:ext xmlns:c16="http://schemas.microsoft.com/office/drawing/2014/chart" uri="{C3380CC4-5D6E-409C-BE32-E72D297353CC}">
              <c16:uniqueId val="{00000005-41ED-EF4B-8156-863C1F5F8522}"/>
            </c:ext>
          </c:extLst>
        </c:ser>
        <c:ser>
          <c:idx val="3"/>
          <c:order val="3"/>
          <c:tx>
            <c:strRef>
              <c:f>Tables_Atual_Ideal!$F$60:$F$61</c:f>
              <c:strCache>
                <c:ptCount val="1"/>
                <c:pt idx="0">
                  <c:v>Commoditie</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Tables_Atual_Ideal!$F$62:$F$64</c:f>
              <c:numCache>
                <c:formatCode>0%</c:formatCode>
                <c:ptCount val="2"/>
                <c:pt idx="0">
                  <c:v>0</c:v>
                </c:pt>
                <c:pt idx="1">
                  <c:v>3.3582258542950855E-2</c:v>
                </c:pt>
              </c:numCache>
            </c:numRef>
          </c:val>
          <c:extLst>
            <c:ext xmlns:c16="http://schemas.microsoft.com/office/drawing/2014/chart" uri="{C3380CC4-5D6E-409C-BE32-E72D297353CC}">
              <c16:uniqueId val="{00000006-41ED-EF4B-8156-863C1F5F8522}"/>
            </c:ext>
          </c:extLst>
        </c:ser>
        <c:ser>
          <c:idx val="4"/>
          <c:order val="4"/>
          <c:tx>
            <c:strRef>
              <c:f>Tables_Atual_Ideal!$G$60:$G$61</c:f>
              <c:strCache>
                <c:ptCount val="1"/>
                <c:pt idx="0">
                  <c:v>Imobiliário BR</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Tables_Atual_Ideal!$B$62:$B$64</c:f>
              <c:strCache>
                <c:ptCount val="2"/>
                <c:pt idx="0">
                  <c:v>BRL</c:v>
                </c:pt>
                <c:pt idx="1">
                  <c:v>USD</c:v>
                </c:pt>
              </c:strCache>
            </c:strRef>
          </c:cat>
          <c:val>
            <c:numRef>
              <c:f>Tables_Atual_Ideal!$G$62:$G$64</c:f>
              <c:numCache>
                <c:formatCode>0%</c:formatCode>
                <c:ptCount val="2"/>
                <c:pt idx="0">
                  <c:v>6.9578687553853921E-2</c:v>
                </c:pt>
                <c:pt idx="1">
                  <c:v>0</c:v>
                </c:pt>
              </c:numCache>
            </c:numRef>
          </c:val>
          <c:extLst>
            <c:ext xmlns:c16="http://schemas.microsoft.com/office/drawing/2014/chart" uri="{C3380CC4-5D6E-409C-BE32-E72D297353CC}">
              <c16:uniqueId val="{00000007-41ED-EF4B-8156-863C1F5F8522}"/>
            </c:ext>
          </c:extLst>
        </c:ser>
        <c:dLbls>
          <c:dLblPos val="inEnd"/>
          <c:showLegendKey val="0"/>
          <c:showVal val="1"/>
          <c:showCatName val="0"/>
          <c:showSerName val="0"/>
          <c:showPercent val="0"/>
          <c:showBubbleSize val="0"/>
        </c:dLbls>
        <c:gapWidth val="65"/>
        <c:axId val="794291583"/>
        <c:axId val="794284863"/>
      </c:barChart>
      <c:catAx>
        <c:axId val="79429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400" b="0" i="0" strike="noStrike" kern="1200" cap="all" baseline="0">
                <a:solidFill>
                  <a:schemeClr val="bg1"/>
                </a:solidFill>
                <a:latin typeface="+mn-lt"/>
                <a:ea typeface="+mn-ea"/>
                <a:cs typeface="+mn-cs"/>
              </a:defRPr>
            </a:pPr>
            <a:endParaRPr lang="en-BR"/>
          </a:p>
        </c:txPr>
        <c:crossAx val="794284863"/>
        <c:crosses val="autoZero"/>
        <c:auto val="1"/>
        <c:lblAlgn val="ctr"/>
        <c:lblOffset val="100"/>
        <c:noMultiLvlLbl val="0"/>
      </c:catAx>
      <c:valAx>
        <c:axId val="794284863"/>
        <c:scaling>
          <c:orientation val="minMax"/>
        </c:scaling>
        <c:delete val="1"/>
        <c:axPos val="l"/>
        <c:numFmt formatCode="0%" sourceLinked="1"/>
        <c:majorTickMark val="none"/>
        <c:minorTickMark val="none"/>
        <c:tickLblPos val="nextTo"/>
        <c:crossAx val="794291583"/>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[NEW_01-Nando-Din.xlsx]Tables_Atual_Ideal!Pivot_ClasseAtivosXMoeda</c:name>
    <c:fmtId val="203"/>
  </c:pivotSource>
  <c:chart>
    <c:title>
      <c:tx>
        <c:rich>
          <a:bodyPr rot="0" spcFirstLastPara="1" vertOverflow="ellipsis" vert="horz" wrap="square" anchor="ctr" anchorCtr="1"/>
          <a:lstStyle/>
          <a:p>
            <a:pPr>
              <a:defRPr sz="1800" b="1" i="0" strike="noStrike" kern="1200" baseline="0">
                <a:solidFill>
                  <a:schemeClr val="bg1"/>
                </a:solidFill>
                <a:latin typeface="+mn-lt"/>
                <a:ea typeface="+mn-ea"/>
                <a:cs typeface="+mn-cs"/>
              </a:defRPr>
            </a:pPr>
            <a:r>
              <a:rPr lang="en-US" baseline="0">
                <a:solidFill>
                  <a:schemeClr val="bg1"/>
                </a:solidFill>
              </a:rPr>
              <a:t>Classe Ativos x Moeda</a:t>
            </a:r>
            <a:endParaRPr lang="en-US">
              <a:solidFill>
                <a:schemeClr val="bg1"/>
              </a:solidFill>
            </a:endParaRPr>
          </a:p>
        </c:rich>
      </c:tx>
      <c:overlay val="0"/>
      <c:spPr>
        <a:noFill/>
        <a:ln>
          <a:noFill/>
          <a:prstDash val="solid"/>
        </a:ln>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Tables_Atual_Ideal!$C$14:$C$15</c:f>
              <c:strCache>
                <c:ptCount val="1"/>
                <c:pt idx="0">
                  <c:v>Caixa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Tables_Atual_Ideal!$C$16:$C$19</c:f>
              <c:numCache>
                <c:formatCode>0.00%</c:formatCode>
                <c:ptCount val="3"/>
                <c:pt idx="0">
                  <c:v>8.8791207982281795E-2</c:v>
                </c:pt>
                <c:pt idx="1">
                  <c:v>0</c:v>
                </c:pt>
                <c:pt idx="2">
                  <c:v>6.0484738323712289E-2</c:v>
                </c:pt>
              </c:numCache>
            </c:numRef>
          </c:val>
          <c:extLst>
            <c:ext xmlns:c16="http://schemas.microsoft.com/office/drawing/2014/chart" uri="{C3380CC4-5D6E-409C-BE32-E72D297353CC}">
              <c16:uniqueId val="{00000005-05CD-2847-BCD1-64DFE174D5EF}"/>
            </c:ext>
          </c:extLst>
        </c:ser>
        <c:ser>
          <c:idx val="1"/>
          <c:order val="1"/>
          <c:tx>
            <c:strRef>
              <c:f>Tables_Atual_Ideal!$D$14:$D$15</c:f>
              <c:strCache>
                <c:ptCount val="1"/>
                <c:pt idx="0">
                  <c:v>Cripto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Tables_Atual_Ideal!$D$16:$D$19</c:f>
              <c:numCache>
                <c:formatCode>0.00%</c:formatCode>
                <c:ptCount val="3"/>
                <c:pt idx="0">
                  <c:v>0</c:v>
                </c:pt>
                <c:pt idx="1">
                  <c:v>0.4527458295032889</c:v>
                </c:pt>
                <c:pt idx="2">
                  <c:v>1.1218207692311468E-2</c:v>
                </c:pt>
              </c:numCache>
            </c:numRef>
          </c:val>
          <c:extLst>
            <c:ext xmlns:c16="http://schemas.microsoft.com/office/drawing/2014/chart" uri="{C3380CC4-5D6E-409C-BE32-E72D297353CC}">
              <c16:uniqueId val="{00000006-05CD-2847-BCD1-64DFE174D5EF}"/>
            </c:ext>
          </c:extLst>
        </c:ser>
        <c:ser>
          <c:idx val="2"/>
          <c:order val="2"/>
          <c:tx>
            <c:strRef>
              <c:f>Tables_Atual_Ideal!$E$14:$E$15</c:f>
              <c:strCache>
                <c:ptCount val="1"/>
                <c:pt idx="0">
                  <c:v>Renda Fixa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Tables_Atual_Ideal!$E$16:$E$19</c:f>
              <c:numCache>
                <c:formatCode>0.00%</c:formatCode>
                <c:ptCount val="3"/>
                <c:pt idx="0">
                  <c:v>0.21399898918332014</c:v>
                </c:pt>
                <c:pt idx="1">
                  <c:v>0</c:v>
                </c:pt>
                <c:pt idx="2">
                  <c:v>0</c:v>
                </c:pt>
              </c:numCache>
            </c:numRef>
          </c:val>
          <c:extLst>
            <c:ext xmlns:c16="http://schemas.microsoft.com/office/drawing/2014/chart" uri="{C3380CC4-5D6E-409C-BE32-E72D297353CC}">
              <c16:uniqueId val="{00000007-05CD-2847-BCD1-64DFE174D5EF}"/>
            </c:ext>
          </c:extLst>
        </c:ser>
        <c:ser>
          <c:idx val="3"/>
          <c:order val="3"/>
          <c:tx>
            <c:strRef>
              <c:f>Tables_Atual_Ideal!$F$14:$F$15</c:f>
              <c:strCache>
                <c:ptCount val="1"/>
                <c:pt idx="0">
                  <c:v>Renda Variável</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Tables_Atual_Ideal!$F$16:$F$19</c:f>
              <c:numCache>
                <c:formatCode>0.00%</c:formatCode>
                <c:ptCount val="3"/>
                <c:pt idx="0">
                  <c:v>5.9589635898085774E-2</c:v>
                </c:pt>
                <c:pt idx="1">
                  <c:v>0</c:v>
                </c:pt>
                <c:pt idx="2">
                  <c:v>6.4982754126506448E-2</c:v>
                </c:pt>
              </c:numCache>
            </c:numRef>
          </c:val>
          <c:extLst>
            <c:ext xmlns:c16="http://schemas.microsoft.com/office/drawing/2014/chart" uri="{C3380CC4-5D6E-409C-BE32-E72D297353CC}">
              <c16:uniqueId val="{00000008-05CD-2847-BCD1-64DFE174D5EF}"/>
            </c:ext>
          </c:extLst>
        </c:ser>
        <c:ser>
          <c:idx val="4"/>
          <c:order val="4"/>
          <c:tx>
            <c:strRef>
              <c:f>Tables_Atual_Ideal!$G$14:$G$15</c:f>
              <c:strCache>
                <c:ptCount val="1"/>
                <c:pt idx="0">
                  <c:v>Reserva</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Tables_Atual_Ideal!$B$16:$B$19</c:f>
              <c:strCache>
                <c:ptCount val="3"/>
                <c:pt idx="0">
                  <c:v>BRL</c:v>
                </c:pt>
                <c:pt idx="1">
                  <c:v>BTC</c:v>
                </c:pt>
                <c:pt idx="2">
                  <c:v>USD</c:v>
                </c:pt>
              </c:strCache>
            </c:strRef>
          </c:cat>
          <c:val>
            <c:numRef>
              <c:f>Tables_Atual_Ideal!$G$16:$G$19</c:f>
              <c:numCache>
                <c:formatCode>0.00%</c:formatCode>
                <c:ptCount val="3"/>
                <c:pt idx="0">
                  <c:v>0</c:v>
                </c:pt>
                <c:pt idx="1">
                  <c:v>0</c:v>
                </c:pt>
                <c:pt idx="2">
                  <c:v>4.818863729049315E-2</c:v>
                </c:pt>
              </c:numCache>
            </c:numRef>
          </c:val>
          <c:extLst>
            <c:ext xmlns:c16="http://schemas.microsoft.com/office/drawing/2014/chart" uri="{C3380CC4-5D6E-409C-BE32-E72D297353CC}">
              <c16:uniqueId val="{00000009-05CD-2847-BCD1-64DFE174D5EF}"/>
            </c:ext>
          </c:extLst>
        </c:ser>
        <c:dLbls>
          <c:dLblPos val="inEnd"/>
          <c:showLegendKey val="0"/>
          <c:showVal val="1"/>
          <c:showCatName val="0"/>
          <c:showSerName val="0"/>
          <c:showPercent val="0"/>
          <c:showBubbleSize val="0"/>
        </c:dLbls>
        <c:gapWidth val="65"/>
        <c:axId val="914824191"/>
        <c:axId val="914832703"/>
      </c:barChart>
      <c:catAx>
        <c:axId val="914824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914832703"/>
        <c:crosses val="autoZero"/>
        <c:auto val="1"/>
        <c:lblAlgn val="ctr"/>
        <c:lblOffset val="100"/>
        <c:noMultiLvlLbl val="0"/>
      </c:catAx>
      <c:valAx>
        <c:axId val="914832703"/>
        <c:scaling>
          <c:orientation val="minMax"/>
        </c:scaling>
        <c:delete val="1"/>
        <c:axPos val="l"/>
        <c:numFmt formatCode="0.00%" sourceLinked="1"/>
        <c:majorTickMark val="none"/>
        <c:minorTickMark val="none"/>
        <c:tickLblPos val="nextTo"/>
        <c:crossAx val="914824191"/>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zero"/>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sz="1800" b="1" i="0" u="none" strike="noStrike" kern="1200" baseline="0">
                <a:solidFill>
                  <a:schemeClr val="bg1"/>
                </a:solidFill>
              </a:rPr>
              <a:t>Classe Ativos Ideal x Moeda</a:t>
            </a:r>
          </a:p>
        </c:rich>
      </c:tx>
      <c:overlay val="0"/>
      <c:spPr>
        <a:noFill/>
        <a:ln>
          <a:noFill/>
          <a:prstDash val="solid"/>
        </a:ln>
      </c:spPr>
    </c:title>
    <c:autoTitleDeleted val="0"/>
    <c:plotArea>
      <c:layout/>
      <c:barChart>
        <c:barDir val="col"/>
        <c:grouping val="clustered"/>
        <c:varyColors val="0"/>
        <c:ser>
          <c:idx val="0"/>
          <c:order val="0"/>
          <c:tx>
            <c:strRef>
              <c:f>Tables_Atual_Ideal!$K$15</c:f>
              <c:strCache>
                <c:ptCount val="1"/>
                <c:pt idx="0">
                  <c:v>Caixa</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Tables_Atual_Ideal!$K$16:$K$18</c:f>
              <c:numCache>
                <c:formatCode>0%</c:formatCode>
                <c:ptCount val="3"/>
                <c:pt idx="0">
                  <c:v>0.1</c:v>
                </c:pt>
                <c:pt idx="1">
                  <c:v>0</c:v>
                </c:pt>
                <c:pt idx="2">
                  <c:v>0.05</c:v>
                </c:pt>
              </c:numCache>
            </c:numRef>
          </c:val>
          <c:extLst>
            <c:ext xmlns:c16="http://schemas.microsoft.com/office/drawing/2014/chart" uri="{C3380CC4-5D6E-409C-BE32-E72D297353CC}">
              <c16:uniqueId val="{00000000-FD4C-D04E-9B36-10A3B011CCDE}"/>
            </c:ext>
          </c:extLst>
        </c:ser>
        <c:ser>
          <c:idx val="1"/>
          <c:order val="1"/>
          <c:tx>
            <c:strRef>
              <c:f>Tables_Atual_Ideal!$L$15</c:f>
              <c:strCache>
                <c:ptCount val="1"/>
                <c:pt idx="0">
                  <c:v>Cripto</c:v>
                </c:pt>
              </c:strCache>
            </c:strRef>
          </c:tx>
          <c:spPr>
            <a:solidFill>
              <a:schemeClr val="accent2">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Tables_Atual_Ideal!$L$16:$L$18</c:f>
              <c:numCache>
                <c:formatCode>0%</c:formatCode>
                <c:ptCount val="3"/>
                <c:pt idx="0">
                  <c:v>0</c:v>
                </c:pt>
                <c:pt idx="1">
                  <c:v>0.32500000000000001</c:v>
                </c:pt>
                <c:pt idx="2">
                  <c:v>2.5000000000000001E-2</c:v>
                </c:pt>
              </c:numCache>
            </c:numRef>
          </c:val>
          <c:extLst>
            <c:ext xmlns:c16="http://schemas.microsoft.com/office/drawing/2014/chart" uri="{C3380CC4-5D6E-409C-BE32-E72D297353CC}">
              <c16:uniqueId val="{00000001-FD4C-D04E-9B36-10A3B011CCDE}"/>
            </c:ext>
          </c:extLst>
        </c:ser>
        <c:ser>
          <c:idx val="2"/>
          <c:order val="2"/>
          <c:tx>
            <c:strRef>
              <c:f>Tables_Atual_Ideal!$M$15</c:f>
              <c:strCache>
                <c:ptCount val="1"/>
                <c:pt idx="0">
                  <c:v>Renda Fixa</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Tables_Atual_Ideal!$M$16:$M$18</c:f>
              <c:numCache>
                <c:formatCode>0%</c:formatCode>
                <c:ptCount val="3"/>
                <c:pt idx="0">
                  <c:v>0.25</c:v>
                </c:pt>
                <c:pt idx="1">
                  <c:v>0</c:v>
                </c:pt>
                <c:pt idx="2">
                  <c:v>0</c:v>
                </c:pt>
              </c:numCache>
            </c:numRef>
          </c:val>
          <c:extLst>
            <c:ext xmlns:c16="http://schemas.microsoft.com/office/drawing/2014/chart" uri="{C3380CC4-5D6E-409C-BE32-E72D297353CC}">
              <c16:uniqueId val="{00000002-FD4C-D04E-9B36-10A3B011CCDE}"/>
            </c:ext>
          </c:extLst>
        </c:ser>
        <c:ser>
          <c:idx val="3"/>
          <c:order val="3"/>
          <c:tx>
            <c:strRef>
              <c:f>Tables_Atual_Ideal!$N$15</c:f>
              <c:strCache>
                <c:ptCount val="1"/>
                <c:pt idx="0">
                  <c:v>Renda Variável</c:v>
                </c:pt>
              </c:strCache>
            </c:strRef>
          </c:tx>
          <c:spPr>
            <a:solidFill>
              <a:schemeClr val="accent4">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Tables_Atual_Ideal!$N$16:$N$18</c:f>
              <c:numCache>
                <c:formatCode>0%</c:formatCode>
                <c:ptCount val="3"/>
                <c:pt idx="0">
                  <c:v>0.04</c:v>
                </c:pt>
                <c:pt idx="1">
                  <c:v>0</c:v>
                </c:pt>
                <c:pt idx="2">
                  <c:v>0.16</c:v>
                </c:pt>
              </c:numCache>
            </c:numRef>
          </c:val>
          <c:extLst>
            <c:ext xmlns:c16="http://schemas.microsoft.com/office/drawing/2014/chart" uri="{C3380CC4-5D6E-409C-BE32-E72D297353CC}">
              <c16:uniqueId val="{00000003-FD4C-D04E-9B36-10A3B011CCDE}"/>
            </c:ext>
          </c:extLst>
        </c:ser>
        <c:ser>
          <c:idx val="4"/>
          <c:order val="4"/>
          <c:tx>
            <c:strRef>
              <c:f>Tables_Atual_Ideal!$O$15</c:f>
              <c:strCache>
                <c:ptCount val="1"/>
                <c:pt idx="0">
                  <c:v>Reserva</c:v>
                </c:pt>
              </c:strCache>
            </c:strRef>
          </c:tx>
          <c:spPr>
            <a:solidFill>
              <a:schemeClr val="accent5">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Tables_Atual_Ideal!$J$16:$J$18</c:f>
              <c:strCache>
                <c:ptCount val="3"/>
                <c:pt idx="0">
                  <c:v>BRL</c:v>
                </c:pt>
                <c:pt idx="1">
                  <c:v>BTC</c:v>
                </c:pt>
                <c:pt idx="2">
                  <c:v>USD</c:v>
                </c:pt>
              </c:strCache>
            </c:strRef>
          </c:cat>
          <c:val>
            <c:numRef>
              <c:f>Tables_Atual_Ideal!$O$16:$O$18</c:f>
              <c:numCache>
                <c:formatCode>0%</c:formatCode>
                <c:ptCount val="3"/>
                <c:pt idx="0">
                  <c:v>0</c:v>
                </c:pt>
                <c:pt idx="1">
                  <c:v>0</c:v>
                </c:pt>
                <c:pt idx="2">
                  <c:v>0.05</c:v>
                </c:pt>
              </c:numCache>
            </c:numRef>
          </c:val>
          <c:extLst>
            <c:ext xmlns:c16="http://schemas.microsoft.com/office/drawing/2014/chart" uri="{C3380CC4-5D6E-409C-BE32-E72D297353CC}">
              <c16:uniqueId val="{00000004-FD4C-D04E-9B36-10A3B011CCDE}"/>
            </c:ext>
          </c:extLst>
        </c:ser>
        <c:dLbls>
          <c:dLblPos val="inEnd"/>
          <c:showLegendKey val="0"/>
          <c:showVal val="1"/>
          <c:showCatName val="0"/>
          <c:showSerName val="0"/>
          <c:showPercent val="0"/>
          <c:showBubbleSize val="0"/>
        </c:dLbls>
        <c:gapWidth val="65"/>
        <c:axId val="892909567"/>
        <c:axId val="922548223"/>
      </c:barChart>
      <c:catAx>
        <c:axId val="892909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1200" b="0" i="0" strike="noStrike" kern="1200" cap="all" baseline="0">
                <a:solidFill>
                  <a:schemeClr val="bg1"/>
                </a:solidFill>
                <a:latin typeface="+mn-lt"/>
                <a:ea typeface="+mn-ea"/>
                <a:cs typeface="+mn-cs"/>
              </a:defRPr>
            </a:pPr>
            <a:endParaRPr lang="en-BR"/>
          </a:p>
        </c:txPr>
        <c:crossAx val="922548223"/>
        <c:crosses val="autoZero"/>
        <c:auto val="1"/>
        <c:lblAlgn val="ctr"/>
        <c:lblOffset val="100"/>
        <c:noMultiLvlLbl val="0"/>
      </c:catAx>
      <c:valAx>
        <c:axId val="922548223"/>
        <c:scaling>
          <c:orientation val="minMax"/>
        </c:scaling>
        <c:delete val="1"/>
        <c:axPos val="l"/>
        <c:numFmt formatCode="0%" sourceLinked="1"/>
        <c:majorTickMark val="none"/>
        <c:minorTickMark val="none"/>
        <c:tickLblPos val="nextTo"/>
        <c:crossAx val="892909567"/>
        <c:crosses val="autoZero"/>
        <c:crossBetween val="between"/>
      </c:valAx>
      <c:spPr>
        <a:noFill/>
        <a:ln w="25400">
          <a:noFill/>
        </a:ln>
      </c:spPr>
    </c:plotArea>
    <c:legend>
      <c:legendPos val="r"/>
      <c:overlay val="0"/>
      <c:spPr>
        <a:noFill/>
        <a:ln>
          <a:noFill/>
          <a:prstDash val="solid"/>
        </a:ln>
      </c:spPr>
      <c:txPr>
        <a:bodyPr rot="0" spcFirstLastPara="1" vertOverflow="ellipsis" vert="horz" wrap="square" anchor="ctr" anchorCtr="1"/>
        <a:lstStyle/>
        <a:p>
          <a:pPr>
            <a:defRPr sz="1400" b="0" i="0" strike="noStrike" kern="1200" baseline="0">
              <a:solidFill>
                <a:schemeClr val="bg1"/>
              </a:solidFill>
              <a:latin typeface="+mn-lt"/>
              <a:ea typeface="+mn-ea"/>
              <a:cs typeface="+mn-cs"/>
            </a:defRPr>
          </a:pPr>
          <a:endParaRPr lang="en-BR"/>
        </a:p>
      </c:txPr>
    </c:legend>
    <c:plotVisOnly val="1"/>
    <c:dispBlanksAs val="gap"/>
    <c:showDLblsOverMax val="1"/>
  </c:chart>
  <c:spPr>
    <a:solidFill>
      <a:schemeClr val="tx1">
        <a:lumMod val="65000"/>
        <a:lumOff val="35000"/>
      </a:schemeClr>
    </a:soli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Balanço Mensal</a:t>
            </a:r>
          </a:p>
        </c:rich>
      </c:tx>
      <c:overlay val="0"/>
      <c:spPr>
        <a:noFill/>
        <a:ln>
          <a:noFill/>
          <a:prstDash val="solid"/>
        </a:ln>
      </c:spPr>
    </c:title>
    <c:autoTitleDeleted val="0"/>
    <c:plotArea>
      <c:layout/>
      <c:barChart>
        <c:barDir val="col"/>
        <c:grouping val="clustered"/>
        <c:varyColors val="0"/>
        <c:ser>
          <c:idx val="0"/>
          <c:order val="0"/>
          <c:tx>
            <c:v>Gasto</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Gastos_Mensais!$B$5:$B$10</c:f>
              <c:numCache>
                <c:formatCode>mmm\-yy</c:formatCode>
                <c:ptCount val="6"/>
                <c:pt idx="0">
                  <c:v>46023</c:v>
                </c:pt>
                <c:pt idx="1">
                  <c:v>46054</c:v>
                </c:pt>
                <c:pt idx="2">
                  <c:v>46082</c:v>
                </c:pt>
                <c:pt idx="3">
                  <c:v>46113</c:v>
                </c:pt>
                <c:pt idx="4">
                  <c:v>46143</c:v>
                </c:pt>
                <c:pt idx="5">
                  <c:v>46174</c:v>
                </c:pt>
              </c:numCache>
            </c:numRef>
          </c:cat>
          <c:val>
            <c:numRef>
              <c:f>Gastos_Mensais!$I$5:$I$10</c:f>
              <c:numCache>
                <c:formatCode>_("R$"* #,##0.00_);_("R$"* \(#,##0.00\);_("R$"* "-"??_);_(@_)</c:formatCode>
                <c:ptCount val="6"/>
                <c:pt idx="0">
                  <c:v>3272.21</c:v>
                </c:pt>
                <c:pt idx="1">
                  <c:v>3676.94</c:v>
                </c:pt>
                <c:pt idx="2">
                  <c:v>4893.71</c:v>
                </c:pt>
                <c:pt idx="3">
                  <c:v>3353.5200000000004</c:v>
                </c:pt>
                <c:pt idx="4">
                  <c:v>4929.1499999999996</c:v>
                </c:pt>
                <c:pt idx="5">
                  <c:v>4635.42</c:v>
                </c:pt>
              </c:numCache>
            </c:numRef>
          </c:val>
          <c:extLst>
            <c:ext xmlns:c16="http://schemas.microsoft.com/office/drawing/2014/chart" uri="{C3380CC4-5D6E-409C-BE32-E72D297353CC}">
              <c16:uniqueId val="{00000000-9022-1345-8717-11597711730C}"/>
            </c:ext>
          </c:extLst>
        </c:ser>
        <c:ser>
          <c:idx val="1"/>
          <c:order val="1"/>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Gastos_Mensais!$B$5:$B$10</c:f>
              <c:numCache>
                <c:formatCode>mmm\-yy</c:formatCode>
                <c:ptCount val="6"/>
                <c:pt idx="0">
                  <c:v>46023</c:v>
                </c:pt>
                <c:pt idx="1">
                  <c:v>46054</c:v>
                </c:pt>
                <c:pt idx="2">
                  <c:v>46082</c:v>
                </c:pt>
                <c:pt idx="3">
                  <c:v>46113</c:v>
                </c:pt>
                <c:pt idx="4">
                  <c:v>46143</c:v>
                </c:pt>
                <c:pt idx="5">
                  <c:v>46174</c:v>
                </c:pt>
              </c:numCache>
            </c:numRef>
          </c:cat>
          <c:val>
            <c:numRef>
              <c:f>Gastos_Mensais!$J$5:$J$10</c:f>
              <c:numCache>
                <c:formatCode>_("R$"* #,##0.00_);_("R$"* \(#,##0.00\);_("R$"* "-"??_);_(@_)</c:formatCode>
                <c:ptCount val="6"/>
                <c:pt idx="0">
                  <c:v>5157.670000000001</c:v>
                </c:pt>
                <c:pt idx="1">
                  <c:v>5669.4499999999989</c:v>
                </c:pt>
                <c:pt idx="2">
                  <c:v>5415.28</c:v>
                </c:pt>
                <c:pt idx="3">
                  <c:v>5754.6100000000006</c:v>
                </c:pt>
                <c:pt idx="4">
                  <c:v>4772.59</c:v>
                </c:pt>
                <c:pt idx="5">
                  <c:v>16962.28</c:v>
                </c:pt>
              </c:numCache>
            </c:numRef>
          </c:val>
          <c:extLst>
            <c:ext xmlns:c16="http://schemas.microsoft.com/office/drawing/2014/chart" uri="{C3380CC4-5D6E-409C-BE32-E72D297353CC}">
              <c16:uniqueId val="{00000001-9022-1345-8717-11597711730C}"/>
            </c:ext>
          </c:extLst>
        </c:ser>
        <c:dLbls>
          <c:showLegendKey val="0"/>
          <c:showVal val="1"/>
          <c:showCatName val="0"/>
          <c:showSerName val="0"/>
          <c:showPercent val="0"/>
          <c:showBubbleSize val="0"/>
        </c:dLbls>
        <c:gapWidth val="100"/>
        <c:overlap val="-24"/>
        <c:axId val="876095087"/>
        <c:axId val="781068960"/>
      </c:barChart>
      <c:dateAx>
        <c:axId val="876095087"/>
        <c:scaling>
          <c:orientation val="minMax"/>
        </c:scaling>
        <c:delete val="0"/>
        <c:axPos val="b"/>
        <c:numFmt formatCode="mmm\-yy"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crossAx val="781068960"/>
        <c:crosses val="autoZero"/>
        <c:auto val="1"/>
        <c:lblOffset val="100"/>
        <c:baseTimeUnit val="months"/>
      </c:dateAx>
      <c:valAx>
        <c:axId val="781068960"/>
        <c:scaling>
          <c:orientation val="minMax"/>
        </c:scaling>
        <c:delete val="1"/>
        <c:axPos val="l"/>
        <c:majorGridlines>
          <c:spPr>
            <a:ln w="9525" cap="flat" cmpd="sng" algn="ctr">
              <a:noFill/>
              <a:prstDash val="solid"/>
              <a:round/>
            </a:ln>
          </c:spPr>
        </c:majorGridlines>
        <c:numFmt formatCode="_(&quot;R$&quot;* #,##0.00_);_(&quot;R$&quot;* \(#,##0.00\);_(&quot;R$&quot;* &quot;-&quot;??_);_(@_)" sourceLinked="1"/>
        <c:majorTickMark val="none"/>
        <c:minorTickMark val="none"/>
        <c:tickLblPos val="nextTo"/>
        <c:crossAx val="876095087"/>
        <c:crosses val="autoZero"/>
        <c:crossBetween val="between"/>
      </c:valAx>
      <c:spPr>
        <a:noFill/>
        <a:ln w="25400">
          <a:noFill/>
        </a:ln>
      </c:spPr>
    </c:plotArea>
    <c:legend>
      <c:legendPos val="b"/>
      <c:legendEntry>
        <c:idx val="0"/>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Entry>
      <c:legendEntry>
        <c:idx val="1"/>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Entry>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BR"/>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11</xdr:col>
      <xdr:colOff>292100</xdr:colOff>
      <xdr:row>1</xdr:row>
      <xdr:rowOff>190500</xdr:rowOff>
    </xdr:from>
    <xdr:to>
      <xdr:col>14</xdr:col>
      <xdr:colOff>88900</xdr:colOff>
      <xdr:row>9</xdr:row>
      <xdr:rowOff>76200</xdr:rowOff>
    </xdr:to>
    <mc:AlternateContent xmlns:mc="http://schemas.openxmlformats.org/markup-compatibility/2006" xmlns:sle15="http://schemas.microsoft.com/office/drawing/2012/slicer">
      <mc:Choice Requires="sle15">
        <xdr:graphicFrame macro="">
          <xdr:nvGraphicFramePr>
            <xdr:cNvPr id="2" name="Data 1">
              <a:extLst>
                <a:ext uri="{FF2B5EF4-FFF2-40B4-BE49-F238E27FC236}">
                  <a16:creationId xmlns:a16="http://schemas.microsoft.com/office/drawing/2014/main" id="{70675EAE-058B-1B3C-683A-2846EFB05CFB}"/>
                </a:ext>
              </a:extLst>
            </xdr:cNvPr>
            <xdr:cNvGraphicFramePr/>
          </xdr:nvGraphicFramePr>
          <xdr:xfrm>
            <a:off x="0" y="0"/>
            <a:ext cx="0" cy="0"/>
          </xdr:xfrm>
          <a:graphic>
            <a:graphicData uri="http://schemas.microsoft.com/office/drawing/2010/slicer">
              <sle:slicer xmlns:sle="http://schemas.microsoft.com/office/drawing/2010/slicer" name="Data 1"/>
            </a:graphicData>
          </a:graphic>
        </xdr:graphicFrame>
      </mc:Choice>
      <mc:Fallback xmlns="">
        <xdr:sp macro="" textlink="">
          <xdr:nvSpPr>
            <xdr:cNvPr id="0" name=""/>
            <xdr:cNvSpPr>
              <a:spLocks noTextEdit="1"/>
            </xdr:cNvSpPr>
          </xdr:nvSpPr>
          <xdr:spPr>
            <a:xfrm>
              <a:off x="9245600" y="393700"/>
              <a:ext cx="2273300" cy="1511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482600</xdr:colOff>
      <xdr:row>1</xdr:row>
      <xdr:rowOff>190500</xdr:rowOff>
    </xdr:from>
    <xdr:to>
      <xdr:col>16</xdr:col>
      <xdr:colOff>508000</xdr:colOff>
      <xdr:row>10</xdr:row>
      <xdr:rowOff>127000</xdr:rowOff>
    </xdr:to>
    <mc:AlternateContent xmlns:mc="http://schemas.openxmlformats.org/markup-compatibility/2006" xmlns:sle15="http://schemas.microsoft.com/office/drawing/2012/slicer">
      <mc:Choice Requires="sle15">
        <xdr:graphicFrame macro="">
          <xdr:nvGraphicFramePr>
            <xdr:cNvPr id="3" name="Instituição">
              <a:extLst>
                <a:ext uri="{FF2B5EF4-FFF2-40B4-BE49-F238E27FC236}">
                  <a16:creationId xmlns:a16="http://schemas.microsoft.com/office/drawing/2014/main" id="{D486D3DE-AF79-2701-907D-5518FD17DD9D}"/>
                </a:ext>
              </a:extLst>
            </xdr:cNvPr>
            <xdr:cNvGraphicFramePr/>
          </xdr:nvGraphicFramePr>
          <xdr:xfrm>
            <a:off x="0" y="0"/>
            <a:ext cx="0" cy="0"/>
          </xdr:xfrm>
          <a:graphic>
            <a:graphicData uri="http://schemas.microsoft.com/office/drawing/2010/slicer">
              <sle:slicer xmlns:sle="http://schemas.microsoft.com/office/drawing/2010/slicer" name="Instituição"/>
            </a:graphicData>
          </a:graphic>
        </xdr:graphicFrame>
      </mc:Choice>
      <mc:Fallback xmlns="">
        <xdr:sp macro="" textlink="">
          <xdr:nvSpPr>
            <xdr:cNvPr id="0" name=""/>
            <xdr:cNvSpPr>
              <a:spLocks noTextEdit="1"/>
            </xdr:cNvSpPr>
          </xdr:nvSpPr>
          <xdr:spPr>
            <a:xfrm>
              <a:off x="11912600" y="393700"/>
              <a:ext cx="1676400" cy="1765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461433</xdr:colOff>
      <xdr:row>3</xdr:row>
      <xdr:rowOff>1</xdr:rowOff>
    </xdr:from>
    <xdr:to>
      <xdr:col>13</xdr:col>
      <xdr:colOff>745067</xdr:colOff>
      <xdr:row>12</xdr:row>
      <xdr:rowOff>33868</xdr:rowOff>
    </xdr:to>
    <mc:AlternateContent xmlns:mc="http://schemas.openxmlformats.org/markup-compatibility/2006" xmlns:sle15="http://schemas.microsoft.com/office/drawing/2012/slicer">
      <mc:Choice Requires="sle15">
        <xdr:graphicFrame macro="">
          <xdr:nvGraphicFramePr>
            <xdr:cNvPr id="2" name="Data">
              <a:extLst>
                <a:ext uri="{FF2B5EF4-FFF2-40B4-BE49-F238E27FC236}">
                  <a16:creationId xmlns:a16="http://schemas.microsoft.com/office/drawing/2014/main" id="{A772568A-6257-B493-67FC-0EE05F3C708D}"/>
                </a:ext>
              </a:extLst>
            </xdr:cNvPr>
            <xdr:cNvGraphicFramePr/>
          </xdr:nvGraphicFramePr>
          <xdr:xfrm>
            <a:off x="0" y="0"/>
            <a:ext cx="0" cy="0"/>
          </xdr:xfrm>
          <a:graphic>
            <a:graphicData uri="http://schemas.microsoft.com/office/drawing/2010/slicer">
              <sle:slicer xmlns:sle="http://schemas.microsoft.com/office/drawing/2010/slicer" name="Data"/>
            </a:graphicData>
          </a:graphic>
        </xdr:graphicFrame>
      </mc:Choice>
      <mc:Fallback xmlns="">
        <xdr:sp macro="" textlink="">
          <xdr:nvSpPr>
            <xdr:cNvPr id="0" name=""/>
            <xdr:cNvSpPr>
              <a:spLocks noTextEdit="1"/>
            </xdr:cNvSpPr>
          </xdr:nvSpPr>
          <xdr:spPr>
            <a:xfrm>
              <a:off x="14228233" y="609601"/>
              <a:ext cx="2874434" cy="18626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11670</xdr:colOff>
      <xdr:row>2</xdr:row>
      <xdr:rowOff>3089</xdr:rowOff>
    </xdr:from>
    <xdr:to>
      <xdr:col>11</xdr:col>
      <xdr:colOff>17162</xdr:colOff>
      <xdr:row>134</xdr:row>
      <xdr:rowOff>51487</xdr:rowOff>
    </xdr:to>
    <mc:AlternateContent xmlns:mc="http://schemas.openxmlformats.org/markup-compatibility/2006" xmlns:sle15="http://schemas.microsoft.com/office/drawing/2012/slicer">
      <mc:Choice Requires="sle15">
        <xdr:graphicFrame macro="">
          <xdr:nvGraphicFramePr>
            <xdr:cNvPr id="2" name="Data 2">
              <a:extLst>
                <a:ext uri="{FF2B5EF4-FFF2-40B4-BE49-F238E27FC236}">
                  <a16:creationId xmlns:a16="http://schemas.microsoft.com/office/drawing/2014/main" id="{48DB8E0F-4F79-C42B-B1F6-8BE82A5F9AFC}"/>
                </a:ext>
              </a:extLst>
            </xdr:cNvPr>
            <xdr:cNvGraphicFramePr/>
          </xdr:nvGraphicFramePr>
          <xdr:xfrm>
            <a:off x="0" y="0"/>
            <a:ext cx="0" cy="0"/>
          </xdr:xfrm>
          <a:graphic>
            <a:graphicData uri="http://schemas.microsoft.com/office/drawing/2010/slicer">
              <sle:slicer xmlns:sle="http://schemas.microsoft.com/office/drawing/2010/slicer" name="Data 2"/>
            </a:graphicData>
          </a:graphic>
        </xdr:graphicFrame>
      </mc:Choice>
      <mc:Fallback xmlns="">
        <xdr:sp macro="" textlink="">
          <xdr:nvSpPr>
            <xdr:cNvPr id="0" name=""/>
            <xdr:cNvSpPr>
              <a:spLocks noTextEdit="1"/>
            </xdr:cNvSpPr>
          </xdr:nvSpPr>
          <xdr:spPr>
            <a:xfrm>
              <a:off x="8695724" y="397819"/>
              <a:ext cx="2528330" cy="23309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259426</xdr:colOff>
      <xdr:row>2</xdr:row>
      <xdr:rowOff>19691</xdr:rowOff>
    </xdr:from>
    <xdr:to>
      <xdr:col>12</xdr:col>
      <xdr:colOff>443492</xdr:colOff>
      <xdr:row>25</xdr:row>
      <xdr:rowOff>60545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259426</xdr:colOff>
      <xdr:row>26</xdr:row>
      <xdr:rowOff>32953</xdr:rowOff>
    </xdr:from>
    <xdr:to>
      <xdr:col>25</xdr:col>
      <xdr:colOff>1135522</xdr:colOff>
      <xdr:row>64</xdr:row>
      <xdr:rowOff>9572</xdr:rowOff>
    </xdr:to>
    <xdr:grpSp>
      <xdr:nvGrpSpPr>
        <xdr:cNvPr id="21" name="Group 20">
          <a:extLst>
            <a:ext uri="{FF2B5EF4-FFF2-40B4-BE49-F238E27FC236}">
              <a16:creationId xmlns:a16="http://schemas.microsoft.com/office/drawing/2014/main" id="{38D58124-E448-8F14-3A73-11AAE190A952}"/>
            </a:ext>
          </a:extLst>
        </xdr:cNvPr>
        <xdr:cNvGrpSpPr/>
      </xdr:nvGrpSpPr>
      <xdr:grpSpPr>
        <a:xfrm>
          <a:off x="259426" y="5446068"/>
          <a:ext cx="26463473" cy="7888094"/>
          <a:chOff x="259426" y="5316153"/>
          <a:chExt cx="26657096" cy="8003019"/>
        </a:xfrm>
      </xdr:grpSpPr>
      <xdr:graphicFrame macro="">
        <xdr:nvGraphicFramePr>
          <xdr:cNvPr id="3" name="Graph_ClasseAtivos">
            <a:extLst>
              <a:ext uri="{FF2B5EF4-FFF2-40B4-BE49-F238E27FC236}">
                <a16:creationId xmlns:a16="http://schemas.microsoft.com/office/drawing/2014/main" id="{00000000-0008-0000-0100-000003000000}"/>
              </a:ext>
            </a:extLst>
          </xdr:cNvPr>
          <xdr:cNvGraphicFramePr>
            <a:graphicFrameLocks/>
          </xdr:cNvGraphicFramePr>
        </xdr:nvGraphicFramePr>
        <xdr:xfrm>
          <a:off x="259426" y="5316153"/>
          <a:ext cx="4645152" cy="39776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Graph_Moeda">
            <a:extLst>
              <a:ext uri="{FF2B5EF4-FFF2-40B4-BE49-F238E27FC236}">
                <a16:creationId xmlns:a16="http://schemas.microsoft.com/office/drawing/2014/main" id="{00000000-0008-0000-0100-000004000000}"/>
              </a:ext>
            </a:extLst>
          </xdr:cNvPr>
          <xdr:cNvGraphicFramePr>
            <a:graphicFrameLocks/>
          </xdr:cNvGraphicFramePr>
        </xdr:nvGraphicFramePr>
        <xdr:xfrm>
          <a:off x="4937505" y="5316154"/>
          <a:ext cx="4645152" cy="39776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9647992" y="5316154"/>
          <a:ext cx="4646785" cy="39776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Graph_RendaFixaXDuration">
            <a:extLst>
              <a:ext uri="{FF2B5EF4-FFF2-40B4-BE49-F238E27FC236}">
                <a16:creationId xmlns:a16="http://schemas.microsoft.com/office/drawing/2014/main" id="{00000000-0008-0000-0100-000006000000}"/>
              </a:ext>
            </a:extLst>
          </xdr:cNvPr>
          <xdr:cNvGraphicFramePr>
            <a:graphicFrameLocks/>
          </xdr:cNvGraphicFramePr>
        </xdr:nvGraphicFramePr>
        <xdr:xfrm>
          <a:off x="19052682" y="5316154"/>
          <a:ext cx="7863840" cy="397393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8" name="Pivot_RendaVariavel">
            <a:extLst>
              <a:ext uri="{FF2B5EF4-FFF2-40B4-BE49-F238E27FC236}">
                <a16:creationId xmlns:a16="http://schemas.microsoft.com/office/drawing/2014/main" id="{6AC0E596-4737-A140-A738-57810F170184}"/>
              </a:ext>
            </a:extLst>
          </xdr:cNvPr>
          <xdr:cNvGraphicFramePr>
            <a:graphicFrameLocks/>
          </xdr:cNvGraphicFramePr>
        </xdr:nvGraphicFramePr>
        <xdr:xfrm>
          <a:off x="14351023" y="5316154"/>
          <a:ext cx="4645152" cy="397393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9647992" y="9341532"/>
          <a:ext cx="4645152" cy="397764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4937505" y="9341532"/>
          <a:ext cx="4645152" cy="397764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9" name="Chart 18">
            <a:extLst>
              <a:ext uri="{FF2B5EF4-FFF2-40B4-BE49-F238E27FC236}">
                <a16:creationId xmlns:a16="http://schemas.microsoft.com/office/drawing/2014/main" id="{ABCEA34F-06DF-3940-B8C1-A26D8B96CD4C}"/>
              </a:ext>
            </a:extLst>
          </xdr:cNvPr>
          <xdr:cNvGraphicFramePr>
            <a:graphicFrameLocks/>
          </xdr:cNvGraphicFramePr>
        </xdr:nvGraphicFramePr>
        <xdr:xfrm>
          <a:off x="14351024" y="9341532"/>
          <a:ext cx="4645152" cy="397764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19052682" y="9341532"/>
          <a:ext cx="7863840" cy="397764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259426" y="9341532"/>
          <a:ext cx="4645152" cy="397764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33</xdr:col>
      <xdr:colOff>85417</xdr:colOff>
      <xdr:row>22</xdr:row>
      <xdr:rowOff>49426</xdr:rowOff>
    </xdr:from>
    <xdr:to>
      <xdr:col>40</xdr:col>
      <xdr:colOff>318326</xdr:colOff>
      <xdr:row>82</xdr:row>
      <xdr:rowOff>104610</xdr:rowOff>
    </xdr:to>
    <xdr:grpSp>
      <xdr:nvGrpSpPr>
        <xdr:cNvPr id="16" name="Group 15">
          <a:extLst>
            <a:ext uri="{FF2B5EF4-FFF2-40B4-BE49-F238E27FC236}">
              <a16:creationId xmlns:a16="http://schemas.microsoft.com/office/drawing/2014/main" id="{6BFF61F8-1412-A3FF-2074-7ADC848D0BBA}"/>
            </a:ext>
          </a:extLst>
        </xdr:cNvPr>
        <xdr:cNvGrpSpPr/>
      </xdr:nvGrpSpPr>
      <xdr:grpSpPr>
        <a:xfrm>
          <a:off x="33771647" y="4629754"/>
          <a:ext cx="7852909" cy="12546987"/>
          <a:chOff x="22361904" y="7085913"/>
          <a:chExt cx="7852909" cy="12411941"/>
        </a:xfrm>
      </xdr:grpSpPr>
      <xdr:graphicFrame macro="">
        <xdr:nvGraphicFramePr>
          <xdr:cNvPr id="20" name="Graph_RendaVariavelXMoeda">
            <a:extLst>
              <a:ext uri="{FF2B5EF4-FFF2-40B4-BE49-F238E27FC236}">
                <a16:creationId xmlns:a16="http://schemas.microsoft.com/office/drawing/2014/main" id="{5D24A05E-7A0D-E34F-863A-0C630D97BA3C}"/>
              </a:ext>
            </a:extLst>
          </xdr:cNvPr>
          <xdr:cNvGraphicFramePr>
            <a:graphicFrameLocks/>
          </xdr:cNvGraphicFramePr>
        </xdr:nvGraphicFramePr>
        <xdr:xfrm>
          <a:off x="22361904" y="15351185"/>
          <a:ext cx="7852909" cy="414666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4" name="Graph_ClasseAtivosXMoeda">
            <a:extLst>
              <a:ext uri="{FF2B5EF4-FFF2-40B4-BE49-F238E27FC236}">
                <a16:creationId xmlns:a16="http://schemas.microsoft.com/office/drawing/2014/main" id="{00000000-0008-0000-0100-00000E000000}"/>
              </a:ext>
            </a:extLst>
          </xdr:cNvPr>
          <xdr:cNvGraphicFramePr>
            <a:graphicFrameLocks noChangeAspect="1"/>
          </xdr:cNvGraphicFramePr>
        </xdr:nvGraphicFramePr>
        <xdr:xfrm>
          <a:off x="22390171" y="7085913"/>
          <a:ext cx="7794226" cy="392822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22364771" y="11112665"/>
          <a:ext cx="7797299" cy="40739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absolute">
    <xdr:from>
      <xdr:col>19</xdr:col>
      <xdr:colOff>451520</xdr:colOff>
      <xdr:row>14</xdr:row>
      <xdr:rowOff>76918</xdr:rowOff>
    </xdr:from>
    <xdr:to>
      <xdr:col>24</xdr:col>
      <xdr:colOff>874854</xdr:colOff>
      <xdr:row>21</xdr:row>
      <xdr:rowOff>26118</xdr:rowOff>
    </xdr:to>
    <mc:AlternateContent xmlns:mc="http://schemas.openxmlformats.org/markup-compatibility/2006" xmlns:a14="http://schemas.microsoft.com/office/drawing/2010/main">
      <mc:Choice Requires="a14">
        <xdr:graphicFrame macro="">
          <xdr:nvGraphicFramePr>
            <xdr:cNvPr id="17" name="Data Ativos">
              <a:extLst>
                <a:ext uri="{FF2B5EF4-FFF2-40B4-BE49-F238E27FC236}">
                  <a16:creationId xmlns:a16="http://schemas.microsoft.com/office/drawing/2014/main" id="{E32D85E3-19E3-85BA-1611-76A9C1574409}"/>
                </a:ext>
              </a:extLst>
            </xdr:cNvPr>
            <xdr:cNvGraphicFramePr/>
          </xdr:nvGraphicFramePr>
          <xdr:xfrm>
            <a:off x="0" y="0"/>
            <a:ext cx="0" cy="0"/>
          </xdr:xfrm>
          <a:graphic>
            <a:graphicData uri="http://schemas.microsoft.com/office/drawing/2010/slicer">
              <sle:slicer xmlns:sle="http://schemas.microsoft.com/office/drawing/2010/slicer" name="Data Ativos"/>
            </a:graphicData>
          </a:graphic>
        </xdr:graphicFrame>
      </mc:Choice>
      <mc:Fallback xmlns="">
        <xdr:sp macro="" textlink="">
          <xdr:nvSpPr>
            <xdr:cNvPr id="0" name=""/>
            <xdr:cNvSpPr>
              <a:spLocks noTextEdit="1"/>
            </xdr:cNvSpPr>
          </xdr:nvSpPr>
          <xdr:spPr>
            <a:xfrm>
              <a:off x="19857120" y="2921718"/>
              <a:ext cx="5520267"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451519</xdr:colOff>
      <xdr:row>2</xdr:row>
      <xdr:rowOff>26618</xdr:rowOff>
    </xdr:from>
    <xdr:to>
      <xdr:col>24</xdr:col>
      <xdr:colOff>874853</xdr:colOff>
      <xdr:row>13</xdr:row>
      <xdr:rowOff>61450</xdr:rowOff>
    </xdr:to>
    <mc:AlternateContent xmlns:mc="http://schemas.openxmlformats.org/markup-compatibility/2006" xmlns:a14="http://schemas.microsoft.com/office/drawing/2010/main">
      <mc:Choice Requires="a14">
        <xdr:graphicFrame macro="">
          <xdr:nvGraphicFramePr>
            <xdr:cNvPr id="24" name="Patrimônio">
              <a:extLst>
                <a:ext uri="{FF2B5EF4-FFF2-40B4-BE49-F238E27FC236}">
                  <a16:creationId xmlns:a16="http://schemas.microsoft.com/office/drawing/2014/main" id="{9242BDE1-2646-9333-4DDB-331AD2844833}"/>
                </a:ext>
              </a:extLst>
            </xdr:cNvPr>
            <xdr:cNvGraphicFramePr/>
          </xdr:nvGraphicFramePr>
          <xdr:xfrm>
            <a:off x="0" y="0"/>
            <a:ext cx="0" cy="0"/>
          </xdr:xfrm>
          <a:graphic>
            <a:graphicData uri="http://schemas.microsoft.com/office/drawing/2010/slicer">
              <sle:slicer xmlns:sle="http://schemas.microsoft.com/office/drawing/2010/slicer" name="Patrimônio"/>
            </a:graphicData>
          </a:graphic>
        </xdr:graphicFrame>
      </mc:Choice>
      <mc:Fallback xmlns="">
        <xdr:sp macro="" textlink="">
          <xdr:nvSpPr>
            <xdr:cNvPr id="0" name=""/>
            <xdr:cNvSpPr>
              <a:spLocks noTextEdit="1"/>
            </xdr:cNvSpPr>
          </xdr:nvSpPr>
          <xdr:spPr>
            <a:xfrm>
              <a:off x="19857119" y="433018"/>
              <a:ext cx="5520267" cy="2270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110066</xdr:colOff>
      <xdr:row>0</xdr:row>
      <xdr:rowOff>148167</xdr:rowOff>
    </xdr:from>
    <xdr:to>
      <xdr:col>18</xdr:col>
      <xdr:colOff>795866</xdr:colOff>
      <xdr:row>5</xdr:row>
      <xdr:rowOff>67734</xdr:rowOff>
    </xdr:to>
    <mc:AlternateContent xmlns:mc="http://schemas.openxmlformats.org/markup-compatibility/2006" xmlns:a14="http://schemas.microsoft.com/office/drawing/2010/main">
      <mc:Choice Requires="a14">
        <xdr:graphicFrame macro="">
          <xdr:nvGraphicFramePr>
            <xdr:cNvPr id="8" name="Classificação">
              <a:extLst>
                <a:ext uri="{FF2B5EF4-FFF2-40B4-BE49-F238E27FC236}">
                  <a16:creationId xmlns:a16="http://schemas.microsoft.com/office/drawing/2014/main" id="{823FF4E0-D1FB-3059-D642-0D010B98DFFC}"/>
                </a:ext>
              </a:extLst>
            </xdr:cNvPr>
            <xdr:cNvGraphicFramePr/>
          </xdr:nvGraphicFramePr>
          <xdr:xfrm>
            <a:off x="0" y="0"/>
            <a:ext cx="0" cy="0"/>
          </xdr:xfrm>
          <a:graphic>
            <a:graphicData uri="http://schemas.microsoft.com/office/drawing/2010/slicer">
              <sle:slicer xmlns:sle="http://schemas.microsoft.com/office/drawing/2010/slicer" name="Classificação"/>
            </a:graphicData>
          </a:graphic>
        </xdr:graphicFrame>
      </mc:Choice>
      <mc:Fallback xmlns="">
        <xdr:sp macro="" textlink="">
          <xdr:nvSpPr>
            <xdr:cNvPr id="0" name=""/>
            <xdr:cNvSpPr>
              <a:spLocks noTextEdit="1"/>
            </xdr:cNvSpPr>
          </xdr:nvSpPr>
          <xdr:spPr>
            <a:xfrm>
              <a:off x="13165666" y="148167"/>
              <a:ext cx="5952067" cy="93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101599</xdr:colOff>
      <xdr:row>5</xdr:row>
      <xdr:rowOff>122767</xdr:rowOff>
    </xdr:from>
    <xdr:to>
      <xdr:col>18</xdr:col>
      <xdr:colOff>795866</xdr:colOff>
      <xdr:row>10</xdr:row>
      <xdr:rowOff>152401</xdr:rowOff>
    </xdr:to>
    <mc:AlternateContent xmlns:mc="http://schemas.openxmlformats.org/markup-compatibility/2006" xmlns:a14="http://schemas.microsoft.com/office/drawing/2010/main">
      <mc:Choice Requires="a14">
        <xdr:graphicFrame macro="">
          <xdr:nvGraphicFramePr>
            <xdr:cNvPr id="13" name="Subclassificação">
              <a:extLst>
                <a:ext uri="{FF2B5EF4-FFF2-40B4-BE49-F238E27FC236}">
                  <a16:creationId xmlns:a16="http://schemas.microsoft.com/office/drawing/2014/main" id="{34B8F56F-3969-61A6-EBF3-4FFA08AB5294}"/>
                </a:ext>
              </a:extLst>
            </xdr:cNvPr>
            <xdr:cNvGraphicFramePr/>
          </xdr:nvGraphicFramePr>
          <xdr:xfrm>
            <a:off x="0" y="0"/>
            <a:ext cx="0" cy="0"/>
          </xdr:xfrm>
          <a:graphic>
            <a:graphicData uri="http://schemas.microsoft.com/office/drawing/2010/slicer">
              <sle:slicer xmlns:sle="http://schemas.microsoft.com/office/drawing/2010/slicer" name="Subclassificação"/>
            </a:graphicData>
          </a:graphic>
        </xdr:graphicFrame>
      </mc:Choice>
      <mc:Fallback xmlns="">
        <xdr:sp macro="" textlink="">
          <xdr:nvSpPr>
            <xdr:cNvPr id="0" name=""/>
            <xdr:cNvSpPr>
              <a:spLocks noTextEdit="1"/>
            </xdr:cNvSpPr>
          </xdr:nvSpPr>
          <xdr:spPr>
            <a:xfrm>
              <a:off x="13157199" y="1138767"/>
              <a:ext cx="5960534" cy="1045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38100</xdr:colOff>
      <xdr:row>15</xdr:row>
      <xdr:rowOff>6350</xdr:rowOff>
    </xdr:from>
    <xdr:to>
      <xdr:col>10</xdr:col>
      <xdr:colOff>38100</xdr:colOff>
      <xdr:row>33</xdr:row>
      <xdr:rowOff>190500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o Henriques" refreshedDate="46213.794066087961" createdVersion="8" refreshedVersion="8" minRefreshableVersion="3" recordCount="27" xr:uid="{00000000-000A-0000-FFFF-FFFF01000000}">
  <cacheSource type="worksheet">
    <worksheetSource name="Table17"/>
  </cacheSource>
  <cacheFields count="9">
    <cacheField name="Tipo" numFmtId="0">
      <sharedItems containsMixedTypes="1" containsNumber="1" containsInteger="1" minValue="0" maxValue="0" count="28">
        <s v="Reserva"/>
        <s v="Caixa"/>
        <s v="Renda Variável"/>
        <s v="Renda Fixa"/>
        <s v="Cripto"/>
        <s v="USD"/>
        <s v="BTC"/>
        <s v="BRL"/>
        <s v="Hedge"/>
        <s v="Satellite"/>
        <s v="Core-Satellite"/>
        <s v="Core"/>
        <s v="Caixa (USD)"/>
        <s v="Caixa (R$)"/>
        <s v="Pós-fixado - Curto"/>
        <s v="Pós-fixado - Longo"/>
        <s v="IPCA - Curto"/>
        <s v="IPCA - Longo"/>
        <s v="IPCA - Médio"/>
        <s v="Pós-fixado - Médio"/>
        <s v="Renda Variável (R$)"/>
        <s v="Renda Variável (USD)"/>
        <s v="Commoditie"/>
        <s v="Imobiliário BR"/>
        <s v="Ações - Ex: USA"/>
        <s v="Ações BR"/>
        <s v="Ações EUA"/>
        <n v="0" u="1"/>
      </sharedItems>
    </cacheField>
    <cacheField name="Classificação" numFmtId="0">
      <sharedItems count="7">
        <s v="1- Geral"/>
        <s v="2- Caixa"/>
        <s v="2- Renda Fixa"/>
        <s v="3- Renda Variável"/>
        <s v="2 - Caixa" u="1"/>
        <s v="2 - Renda Fixa" u="1"/>
        <s v="3 - Renda Variável" u="1"/>
      </sharedItems>
    </cacheField>
    <cacheField name="Subclassificação" numFmtId="0">
      <sharedItems count="12">
        <s v="1- Classe"/>
        <s v="2- Moeda"/>
        <s v="3- Estratégia"/>
        <s v="1- Moeda"/>
        <s v="1- Subclasse"/>
        <s v="2- Subclasse"/>
        <s v="1 - Classe" u="1"/>
        <s v="2 - Moeda" u="1"/>
        <s v="3 - Estratégia" u="1"/>
        <s v="1 - Subclasse" u="1"/>
        <s v="2 - Subclasse" u="1"/>
        <s v="1 - Moeda" u="1"/>
      </sharedItems>
    </cacheField>
    <cacheField name="Percentual Atual" numFmtId="9">
      <sharedItems containsSemiMixedTypes="0" containsString="0" containsNumber="1" minValue="2.1269591341591017E-2" maxValue="0.57913665605750508"/>
    </cacheField>
    <cacheField name="Total Atual" numFmtId="44">
      <sharedItems containsSemiMixedTypes="0" containsString="0" containsNumber="1" minValue="908.10688360027996" maxValue="103716.46993166002"/>
    </cacheField>
    <cacheField name="Percentual Ideal" numFmtId="9">
      <sharedItems containsSemiMixedTypes="0" containsString="0" containsNumber="1" minValue="0.04" maxValue="0.55000000000000004"/>
    </cacheField>
    <cacheField name="Total Ideal" numFmtId="44">
      <sharedItems containsSemiMixedTypes="0" containsString="0" containsNumber="1" minValue="1953.6545784422176" maxValue="119390.00201591331"/>
    </cacheField>
    <cacheField name="Diferenca" numFmtId="44">
      <sharedItems containsSemiMixedTypes="0" containsString="0" containsNumber="1" minValue="-21734.551010392715" maxValue="27730.13607622213"/>
    </cacheField>
    <cacheField name="Acao" numFmtId="0">
      <sharedItems count="4">
        <s v="COMPRAR"/>
        <s v="VENDER"/>
        <e v="#REF!" u="1"/>
        <e v="#VALUE!" u="1"/>
      </sharedItems>
    </cacheField>
  </cacheFields>
  <extLst>
    <ext xmlns:x14="http://schemas.microsoft.com/office/spreadsheetml/2009/9/main" uri="{725AE2AE-9491-48be-B2B4-4EB974FC3084}">
      <x14:pivotCacheDefinition pivotCacheId="20888549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ernando Henriques" refreshedDate="46214.117450347221" createdVersion="8" refreshedVersion="8" minRefreshableVersion="3" recordCount="355" xr:uid="{00000000-000A-0000-FFFF-FFFF0A000000}">
  <cacheSource type="worksheet">
    <worksheetSource name="Table_Investimentos_Porcent"/>
  </cacheSource>
  <cacheFields count="13">
    <cacheField name="Data" numFmtId="17">
      <sharedItems containsSemiMixedTypes="0" containsNonDate="0" containsDate="1" containsString="0" minDate="2023-06-01T00:00:00" maxDate="2026-08-02T00:00:00" count="30">
        <d v="2026-07-01T00:00:00"/>
        <d v="2023-06-01T00:00:00"/>
        <d v="2023-07-01T00:00:00"/>
        <d v="2023-10-01T00:00:00"/>
        <d v="2023-12-01T00:00:00"/>
        <d v="2024-01-01T00:00:00"/>
        <d v="2024-02-01T00:00:00"/>
        <d v="2024-03-01T00:00:00"/>
        <d v="2024-04-01T00:00:00"/>
        <d v="2024-05-01T00:00:00"/>
        <d v="2024-06-01T00:00:00"/>
        <d v="2024-08-01T00:00:00"/>
        <d v="2024-09-01T00:00:00"/>
        <d v="2024-10-01T00:00:00"/>
        <d v="2024-11-01T00:00:00"/>
        <d v="2024-12-01T00:00:00"/>
        <d v="2025-01-01T00:00:00"/>
        <d v="2025-07-01T00:00:00"/>
        <d v="2025-08-01T00:00:00"/>
        <d v="2025-09-01T00:00:00"/>
        <d v="2025-10-01T00:00:00"/>
        <d v="2025-11-01T00:00:00"/>
        <d v="2025-12-01T00:00:00"/>
        <d v="2026-01-01T00:00:00"/>
        <d v="2026-02-01T00:00:00"/>
        <d v="2026-03-01T00:00:00"/>
        <d v="2026-04-01T00:00:00"/>
        <d v="2026-05-01T00:00:00"/>
        <d v="2026-06-01T00:00:00"/>
        <d v="2026-08-01T00:00:00"/>
      </sharedItems>
      <fieldGroup par="11"/>
    </cacheField>
    <cacheField name="Nome" numFmtId="0">
      <sharedItems/>
    </cacheField>
    <cacheField name="Classe" numFmtId="0">
      <sharedItems count="5">
        <s v="Caixa"/>
        <s v="Cripto"/>
        <s v="Reserva"/>
        <s v="Renda Fixa"/>
        <s v="Renda Variável"/>
      </sharedItems>
    </cacheField>
    <cacheField name="Subclasse" numFmtId="0">
      <sharedItems containsBlank="1" count="14">
        <s v="Stablecoin"/>
        <s v="BTC"/>
        <s v="Altcoin"/>
        <s v="Pós-fixado"/>
        <s v="Curto"/>
        <s v="Commoditie"/>
        <s v="IPCA"/>
        <s v="Ações EUA"/>
        <s v="Ações - Ex: USA"/>
        <s v="Ações BR"/>
        <s v="Imobiliário BR"/>
        <m/>
        <s v="Energia" u="1"/>
        <s v="USD" u="1"/>
      </sharedItems>
    </cacheField>
    <cacheField name="Duração" numFmtId="0">
      <sharedItems containsBlank="1" count="7">
        <s v="D+0"/>
        <s v="-"/>
        <s v="Curto"/>
        <s v="Médio"/>
        <s v="D+1"/>
        <s v="Longo"/>
        <m/>
      </sharedItems>
    </cacheField>
    <cacheField name="Estratégia" numFmtId="0">
      <sharedItems containsMixedTypes="1" containsNumber="1" containsInteger="1" minValue="0" maxValue="0" count="5">
        <s v="Core"/>
        <s v="Core-Satellite"/>
        <s v="Satellite"/>
        <s v="Hedge"/>
        <n v="0"/>
      </sharedItems>
    </cacheField>
    <cacheField name="Moeda Base" numFmtId="0">
      <sharedItems count="3">
        <s v="USD"/>
        <s v="BTC"/>
        <s v="BRL"/>
      </sharedItems>
    </cacheField>
    <cacheField name="Porcentagem" numFmtId="9">
      <sharedItems containsSemiMixedTypes="0" containsString="0" containsNumber="1" minValue="0.08" maxValue="1"/>
    </cacheField>
    <cacheField name="Total (R$)" numFmtId="44">
      <sharedItems containsSemiMixedTypes="0" containsString="0" containsNumber="1" minValue="30.62" maxValue="179484.80616143998"/>
    </cacheField>
    <cacheField name="Total ($)" numFmtId="165">
      <sharedItems containsSemiMixedTypes="0" containsString="0" containsNumber="1" minValue="6.0633663366336634" maxValue="32397.979451523461"/>
    </cacheField>
    <cacheField name="Days (Data)" numFmtId="0" databaseField="0">
      <fieldGroup base="0">
        <rangePr groupBy="days" startDate="2023-06-01T00:00:00" endDate="2026-08-02T00:00:00"/>
        <groupItems count="368">
          <s v="&lt;01/06/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8/26"/>
        </groupItems>
      </fieldGroup>
    </cacheField>
    <cacheField name="Months (Data)" numFmtId="0" databaseField="0">
      <fieldGroup base="0">
        <rangePr groupBy="months" startDate="2023-06-01T00:00:00" endDate="2026-08-02T00:00:00"/>
        <groupItems count="14">
          <s v="&lt;01/06/23"/>
          <s v="Jan"/>
          <s v="Feb"/>
          <s v="Mar"/>
          <s v="Apr"/>
          <s v="May"/>
          <s v="Jun"/>
          <s v="Jul"/>
          <s v="Aug"/>
          <s v="Sep"/>
          <s v="Oct"/>
          <s v="Nov"/>
          <s v="Dec"/>
          <s v="&gt;02/08/26"/>
        </groupItems>
      </fieldGroup>
    </cacheField>
    <cacheField name="TESTE" numFmtId="0" formula=" IF(#NAME?= &quot;USD&quot;, &quot;SIM&quot;, &quot;NÃO&quot; )" databaseField="0"/>
  </cacheFields>
  <extLst>
    <ext xmlns:x14="http://schemas.microsoft.com/office/spreadsheetml/2009/9/main" uri="{725AE2AE-9491-48be-B2B4-4EB974FC3084}">
      <x14:pivotCacheDefinition pivotCacheId="12673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n v="4.818863729049315E-2"/>
    <n v="10460.439096829257"/>
    <n v="0.05"/>
    <n v="10853.636546901209"/>
    <n v="-393.19745007195161"/>
    <x v="0"/>
  </r>
  <r>
    <x v="1"/>
    <x v="0"/>
    <x v="0"/>
    <n v="0.14927594630599408"/>
    <n v="32403.737327999996"/>
    <n v="0.15"/>
    <n v="32560.909640703627"/>
    <n v="-157.17231270363118"/>
    <x v="0"/>
  </r>
  <r>
    <x v="2"/>
    <x v="0"/>
    <x v="0"/>
    <n v="0.12457239002459224"/>
    <n v="27041.268902114916"/>
    <n v="0.2"/>
    <n v="43414.546187604836"/>
    <n v="-16373.277285489919"/>
    <x v="0"/>
  </r>
  <r>
    <x v="3"/>
    <x v="0"/>
    <x v="0"/>
    <n v="0.21399898918332014"/>
    <n v="46453.345000000001"/>
    <n v="0.25"/>
    <n v="54268.182734506045"/>
    <n v="-7814.8377345060435"/>
    <x v="0"/>
  </r>
  <r>
    <x v="4"/>
    <x v="0"/>
    <x v="0"/>
    <n v="0.46396403719560037"/>
    <n v="100713.94061108"/>
    <n v="0.35"/>
    <n v="75975.455828308463"/>
    <n v="24738.484782771542"/>
    <x v="1"/>
  </r>
  <r>
    <x v="5"/>
    <x v="0"/>
    <x v="1"/>
    <n v="0.18487433743302334"/>
    <n v="40131.17730694417"/>
    <n v="0.28499999999999998"/>
    <n v="61865.728317336885"/>
    <n v="-21734.551010392715"/>
    <x v="0"/>
  </r>
  <r>
    <x v="6"/>
    <x v="0"/>
    <x v="1"/>
    <n v="0.4527458295032889"/>
    <n v="98278.773631079996"/>
    <n v="0.32500000000000001"/>
    <n v="70548.637554857865"/>
    <n v="27730.13607622213"/>
    <x v="1"/>
  </r>
  <r>
    <x v="7"/>
    <x v="0"/>
    <x v="1"/>
    <n v="0.36237983306368771"/>
    <n v="78662.78"/>
    <n v="0.39"/>
    <n v="84658.365065829435"/>
    <n v="-5995.5850658294366"/>
    <x v="0"/>
  </r>
  <r>
    <x v="8"/>
    <x v="0"/>
    <x v="2"/>
    <n v="4.818863729049315E-2"/>
    <n v="10460.439096829257"/>
    <n v="0.05"/>
    <n v="10853.636546901209"/>
    <n v="-393.19745007195161"/>
    <x v="0"/>
  </r>
  <r>
    <x v="9"/>
    <x v="0"/>
    <x v="2"/>
    <n v="2.1269591341591017E-2"/>
    <n v="4617.0482784549158"/>
    <n v="0.05"/>
    <n v="10853.636546901209"/>
    <n v="-6236.5882684462931"/>
    <x v="0"/>
  </r>
  <r>
    <x v="10"/>
    <x v="0"/>
    <x v="2"/>
    <n v="0.4527458295032889"/>
    <n v="98278.773631079996"/>
    <n v="0.35"/>
    <n v="75975.455828308463"/>
    <n v="22303.317802771533"/>
    <x v="1"/>
  </r>
  <r>
    <x v="11"/>
    <x v="0"/>
    <x v="2"/>
    <n v="0.47779594186462698"/>
    <n v="103716.46993166002"/>
    <n v="0.55000000000000004"/>
    <n v="119390.00201591331"/>
    <n v="-15673.532084253296"/>
    <x v="0"/>
  </r>
  <r>
    <x v="12"/>
    <x v="1"/>
    <x v="3"/>
    <n v="6.0484738323712289E-2"/>
    <n v="13129.587327999998"/>
    <n v="0.05"/>
    <n v="10853.636546901209"/>
    <n v="2275.9507810987889"/>
    <x v="1"/>
  </r>
  <r>
    <x v="13"/>
    <x v="1"/>
    <x v="3"/>
    <n v="8.8791207982281795E-2"/>
    <n v="19274.150000000001"/>
    <n v="0.1"/>
    <n v="21707.273093802418"/>
    <n v="-2433.1230938024164"/>
    <x v="0"/>
  </r>
  <r>
    <x v="14"/>
    <x v="2"/>
    <x v="4"/>
    <n v="0.21133272533980063"/>
    <n v="9817.112000000001"/>
    <n v="0.1"/>
    <n v="5426.8182734506045"/>
    <n v="4390.2937265493965"/>
    <x v="1"/>
  </r>
  <r>
    <x v="15"/>
    <x v="2"/>
    <x v="4"/>
    <n v="0.10125729374278646"/>
    <n v="4703.7400000000007"/>
    <n v="0.1"/>
    <n v="5426.8182734506045"/>
    <n v="-723.07827345060377"/>
    <x v="0"/>
  </r>
  <r>
    <x v="16"/>
    <x v="2"/>
    <x v="4"/>
    <n v="6.4625615227493299E-2"/>
    <n v="3002.076"/>
    <n v="0.15"/>
    <n v="8140.2274101759067"/>
    <n v="-5138.1514101759067"/>
    <x v="0"/>
  </r>
  <r>
    <x v="17"/>
    <x v="2"/>
    <x v="4"/>
    <n v="0.25736919483408566"/>
    <n v="11955.66"/>
    <n v="0.15"/>
    <n v="8140.2274101759067"/>
    <n v="3815.4325898240932"/>
    <x v="1"/>
  </r>
  <r>
    <x v="18"/>
    <x v="2"/>
    <x v="4"/>
    <n v="0.10738180425973631"/>
    <n v="4988.2440000000006"/>
    <n v="0.25"/>
    <n v="13567.045683626511"/>
    <n v="-8578.8016836265106"/>
    <x v="0"/>
  </r>
  <r>
    <x v="19"/>
    <x v="2"/>
    <x v="4"/>
    <n v="0.2580333665960976"/>
    <n v="11986.512999999997"/>
    <n v="0.25"/>
    <n v="13567.045683626511"/>
    <n v="-1580.532683626514"/>
    <x v="0"/>
  </r>
  <r>
    <x v="20"/>
    <x v="3"/>
    <x v="3"/>
    <n v="5.9589635898085774E-2"/>
    <n v="12935.285"/>
    <n v="0.04"/>
    <n v="8682.9092375209675"/>
    <n v="4252.3757624790323"/>
    <x v="1"/>
  </r>
  <r>
    <x v="21"/>
    <x v="3"/>
    <x v="3"/>
    <n v="6.4982754126506448E-2"/>
    <n v="14105.983902114915"/>
    <n v="0.16"/>
    <n v="34731.63695008387"/>
    <n v="-20625.653047968954"/>
    <x v="0"/>
  </r>
  <r>
    <x v="22"/>
    <x v="3"/>
    <x v="5"/>
    <n v="3.3582258542950855E-2"/>
    <n v="908.10688360027996"/>
    <n v="4.4999999999999998E-2"/>
    <n v="1953.6545784422176"/>
    <n v="-1045.5476948419378"/>
    <x v="0"/>
  </r>
  <r>
    <x v="23"/>
    <x v="3"/>
    <x v="5"/>
    <n v="6.9578687553853921E-2"/>
    <n v="1881.4960000000003"/>
    <n v="0.05"/>
    <n v="2170.7273093802419"/>
    <n v="-289.23130938024156"/>
    <x v="0"/>
  </r>
  <r>
    <x v="24"/>
    <x v="3"/>
    <x v="5"/>
    <n v="7.4176991407201381E-2"/>
    <n v="2005.8399709920002"/>
    <n v="0.2"/>
    <n v="8682.9092375209675"/>
    <n v="-6677.0692665289671"/>
    <x v="0"/>
  </r>
  <r>
    <x v="25"/>
    <x v="3"/>
    <x v="5"/>
    <n v="0.24352540643848872"/>
    <n v="6585.2360000000008"/>
    <n v="0.2"/>
    <n v="8682.9092375209675"/>
    <n v="-2097.6732375209667"/>
    <x v="0"/>
  </r>
  <r>
    <x v="26"/>
    <x v="3"/>
    <x v="5"/>
    <n v="0.57913665605750508"/>
    <n v="15660.590047522634"/>
    <n v="0.5"/>
    <n v="21707.273093802418"/>
    <n v="-6046.683046279784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5">
  <r>
    <x v="0"/>
    <s v="USDC"/>
    <x v="0"/>
    <x v="0"/>
    <x v="0"/>
    <x v="0"/>
    <x v="0"/>
    <n v="1"/>
    <n v="8807.1311119999991"/>
    <n v="1704.7599999999998"/>
  </r>
  <r>
    <x v="0"/>
    <s v="Bitcoin 02"/>
    <x v="1"/>
    <x v="1"/>
    <x v="1"/>
    <x v="1"/>
    <x v="1"/>
    <n v="1"/>
    <n v="1957.8315254400002"/>
    <n v="378.96936344702107"/>
  </r>
  <r>
    <x v="0"/>
    <s v="Solana"/>
    <x v="1"/>
    <x v="2"/>
    <x v="1"/>
    <x v="2"/>
    <x v="0"/>
    <n v="1"/>
    <n v="2435.1669800000004"/>
    <n v="471.36521621307742"/>
  </r>
  <r>
    <x v="0"/>
    <s v="Time Deposit"/>
    <x v="0"/>
    <x v="3"/>
    <x v="2"/>
    <x v="0"/>
    <x v="0"/>
    <n v="1"/>
    <n v="1331.1747540000001"/>
    <n v="257.67"/>
  </r>
  <r>
    <x v="0"/>
    <s v="Flexible Account"/>
    <x v="0"/>
    <x v="4"/>
    <x v="0"/>
    <x v="0"/>
    <x v="0"/>
    <n v="1"/>
    <n v="2991.2814619999999"/>
    <n v="579.01"/>
  </r>
  <r>
    <x v="0"/>
    <s v="ETF - GLDM"/>
    <x v="2"/>
    <x v="5"/>
    <x v="1"/>
    <x v="3"/>
    <x v="0"/>
    <n v="1"/>
    <n v="5764.7617658352583"/>
    <n v="1115.8611292313999"/>
  </r>
  <r>
    <x v="0"/>
    <s v="ETF - GPCA11"/>
    <x v="3"/>
    <x v="6"/>
    <x v="2"/>
    <x v="0"/>
    <x v="2"/>
    <n v="0.6"/>
    <n v="3002.076"/>
    <n v="581.09945414424533"/>
  </r>
  <r>
    <x v="0"/>
    <s v="Tesouro IPCA+ 2032"/>
    <x v="3"/>
    <x v="6"/>
    <x v="3"/>
    <x v="0"/>
    <x v="2"/>
    <n v="1"/>
    <n v="2986.86"/>
    <n v="578.15415585923893"/>
  </r>
  <r>
    <x v="0"/>
    <s v="ETF - GPCA11"/>
    <x v="3"/>
    <x v="6"/>
    <x v="3"/>
    <x v="0"/>
    <x v="2"/>
    <n v="0.4"/>
    <n v="2001.384"/>
    <n v="387.39963609616353"/>
  </r>
  <r>
    <x v="0"/>
    <s v="ETF - IAUM"/>
    <x v="2"/>
    <x v="5"/>
    <x v="1"/>
    <x v="3"/>
    <x v="0"/>
    <n v="1"/>
    <n v="4695.6773309939999"/>
    <n v="908.92286999999999"/>
  </r>
  <r>
    <x v="0"/>
    <s v="ETF - SIVR"/>
    <x v="4"/>
    <x v="5"/>
    <x v="1"/>
    <x v="2"/>
    <x v="0"/>
    <n v="1"/>
    <n v="908.10688360027984"/>
    <n v="175.77849939999999"/>
  </r>
  <r>
    <x v="0"/>
    <s v="ETF - VOO"/>
    <x v="4"/>
    <x v="7"/>
    <x v="1"/>
    <x v="0"/>
    <x v="0"/>
    <n v="1"/>
    <n v="9918.2626326680002"/>
    <n v="1919.8371400000001"/>
  </r>
  <r>
    <x v="0"/>
    <s v="ETF - VXUS"/>
    <x v="4"/>
    <x v="8"/>
    <x v="1"/>
    <x v="0"/>
    <x v="0"/>
    <n v="1"/>
    <n v="2005.839970992"/>
    <n v="388.26215999999999"/>
  </r>
  <r>
    <x v="0"/>
    <s v="ETF - XLE"/>
    <x v="4"/>
    <x v="7"/>
    <x v="1"/>
    <x v="2"/>
    <x v="0"/>
    <n v="1"/>
    <n v="1273.7744148546356"/>
    <n v="246.55925338830002"/>
  </r>
  <r>
    <x v="0"/>
    <s v="LCD BNDES LIQUIDEZ"/>
    <x v="0"/>
    <x v="3"/>
    <x v="4"/>
    <x v="0"/>
    <x v="2"/>
    <n v="1"/>
    <n v="12174.15"/>
    <n v="2356.4999419302389"/>
  </r>
  <r>
    <x v="0"/>
    <s v="LCI BRB - Jun/27"/>
    <x v="3"/>
    <x v="3"/>
    <x v="2"/>
    <x v="0"/>
    <x v="2"/>
    <n v="1"/>
    <n v="6054.12"/>
    <n v="1171.8710077039216"/>
  </r>
  <r>
    <x v="0"/>
    <s v="LCI BRB - Set/26"/>
    <x v="3"/>
    <x v="3"/>
    <x v="3"/>
    <x v="0"/>
    <x v="2"/>
    <n v="1"/>
    <n v="9869.83"/>
    <n v="1910.4622352986721"/>
  </r>
  <r>
    <x v="0"/>
    <s v="Porquinho"/>
    <x v="0"/>
    <x v="3"/>
    <x v="0"/>
    <x v="0"/>
    <x v="2"/>
    <n v="1"/>
    <n v="7100"/>
    <n v="1374.3176803066083"/>
  </r>
  <r>
    <x v="0"/>
    <s v="Previdência - Grão FIM"/>
    <x v="3"/>
    <x v="3"/>
    <x v="2"/>
    <x v="0"/>
    <x v="2"/>
    <n v="0.16"/>
    <n v="3762.9920000000002"/>
    <n v="728.38682203553878"/>
  </r>
  <r>
    <x v="0"/>
    <s v="Previdência - Grão FIM"/>
    <x v="3"/>
    <x v="3"/>
    <x v="5"/>
    <x v="0"/>
    <x v="2"/>
    <n v="0.2"/>
    <n v="4703.7400000000007"/>
    <n v="910.48352754442351"/>
  </r>
  <r>
    <x v="0"/>
    <s v="Bitcoin 01"/>
    <x v="1"/>
    <x v="1"/>
    <x v="1"/>
    <x v="1"/>
    <x v="1"/>
    <n v="1"/>
    <n v="96320.942105640002"/>
    <n v="18644.44700275638"/>
  </r>
  <r>
    <x v="0"/>
    <s v="Previdência - Grão FIM"/>
    <x v="3"/>
    <x v="3"/>
    <x v="3"/>
    <x v="0"/>
    <x v="2"/>
    <n v="0.09"/>
    <n v="2116.683"/>
    <n v="409.71758739499052"/>
  </r>
  <r>
    <x v="0"/>
    <s v="Previdência - Grão FIM"/>
    <x v="4"/>
    <x v="7"/>
    <x v="1"/>
    <x v="0"/>
    <x v="2"/>
    <n v="0.19"/>
    <n v="4468.5529999999999"/>
    <n v="864.95935116720216"/>
  </r>
  <r>
    <x v="0"/>
    <s v="Previdência - Grão FIM"/>
    <x v="4"/>
    <x v="9"/>
    <x v="1"/>
    <x v="0"/>
    <x v="2"/>
    <n v="0.28000000000000003"/>
    <n v="6585.2360000000008"/>
    <n v="1274.6769385621928"/>
  </r>
  <r>
    <x v="0"/>
    <s v="Previdência - Grão FIM"/>
    <x v="4"/>
    <x v="10"/>
    <x v="1"/>
    <x v="0"/>
    <x v="2"/>
    <n v="0.08"/>
    <n v="1881.4960000000001"/>
    <n v="364.19341101776939"/>
  </r>
  <r>
    <x v="0"/>
    <s v="Tesouro IPCA Renda+ 2065"/>
    <x v="3"/>
    <x v="6"/>
    <x v="5"/>
    <x v="0"/>
    <x v="2"/>
    <n v="1"/>
    <n v="11955.66"/>
    <n v="2314.2077348921839"/>
  </r>
  <r>
    <x v="1"/>
    <s v="Bitcoin"/>
    <x v="1"/>
    <x v="11"/>
    <x v="6"/>
    <x v="4"/>
    <x v="1"/>
    <n v="1"/>
    <n v="24200.64314"/>
    <n v="4833.3619213101665"/>
  </r>
  <r>
    <x v="1"/>
    <s v="Liquidez Diaria"/>
    <x v="0"/>
    <x v="11"/>
    <x v="6"/>
    <x v="4"/>
    <x v="2"/>
    <n v="1"/>
    <n v="3698.14"/>
    <n v="738.59396844417813"/>
  </r>
  <r>
    <x v="1"/>
    <s v="CDB -  110%"/>
    <x v="3"/>
    <x v="11"/>
    <x v="6"/>
    <x v="4"/>
    <x v="2"/>
    <n v="1"/>
    <n v="20017.71"/>
    <n v="3997.9448771719594"/>
  </r>
  <r>
    <x v="1"/>
    <s v="USDT"/>
    <x v="2"/>
    <x v="11"/>
    <x v="6"/>
    <x v="4"/>
    <x v="0"/>
    <n v="1"/>
    <n v="5017.0140000000001"/>
    <n v="1002.0000000000001"/>
  </r>
  <r>
    <x v="1"/>
    <s v="BUSD"/>
    <x v="2"/>
    <x v="11"/>
    <x v="6"/>
    <x v="4"/>
    <x v="0"/>
    <n v="1"/>
    <n v="12652.688999999998"/>
    <n v="2527"/>
  </r>
  <r>
    <x v="1"/>
    <s v="Dolar"/>
    <x v="2"/>
    <x v="11"/>
    <x v="6"/>
    <x v="4"/>
    <x v="0"/>
    <n v="1"/>
    <n v="499.64852999999999"/>
    <n v="99.79"/>
  </r>
  <r>
    <x v="2"/>
    <s v="Bitcoin"/>
    <x v="1"/>
    <x v="11"/>
    <x v="6"/>
    <x v="4"/>
    <x v="1"/>
    <n v="1"/>
    <n v="27125.324157899999"/>
    <n v="5547.1010547852766"/>
  </r>
  <r>
    <x v="2"/>
    <s v="Liquidez Diaria"/>
    <x v="0"/>
    <x v="11"/>
    <x v="6"/>
    <x v="4"/>
    <x v="2"/>
    <n v="1"/>
    <n v="4238.83"/>
    <n v="866.83640081799592"/>
  </r>
  <r>
    <x v="2"/>
    <s v="CDB -  110%"/>
    <x v="3"/>
    <x v="11"/>
    <x v="6"/>
    <x v="4"/>
    <x v="2"/>
    <n v="1"/>
    <n v="20277.349999999999"/>
    <n v="4146.6973415132925"/>
  </r>
  <r>
    <x v="2"/>
    <s v="USDT"/>
    <x v="0"/>
    <x v="11"/>
    <x v="6"/>
    <x v="4"/>
    <x v="0"/>
    <n v="1"/>
    <n v="4934.0099999999993"/>
    <n v="1008.9999999999999"/>
  </r>
  <r>
    <x v="2"/>
    <s v="BUSD"/>
    <x v="0"/>
    <x v="11"/>
    <x v="6"/>
    <x v="4"/>
    <x v="0"/>
    <n v="1"/>
    <n v="12366.81"/>
    <n v="2529"/>
  </r>
  <r>
    <x v="2"/>
    <s v="Dolar"/>
    <x v="0"/>
    <x v="11"/>
    <x v="6"/>
    <x v="4"/>
    <x v="0"/>
    <n v="1"/>
    <n v="487.97309999999999"/>
    <n v="99.79"/>
  </r>
  <r>
    <x v="3"/>
    <s v="Bitcoin"/>
    <x v="1"/>
    <x v="11"/>
    <x v="6"/>
    <x v="4"/>
    <x v="1"/>
    <n v="1"/>
    <n v="3042.2597491791998"/>
    <n v="602.42767310479212"/>
  </r>
  <r>
    <x v="3"/>
    <s v="Bitcoin"/>
    <x v="1"/>
    <x v="11"/>
    <x v="6"/>
    <x v="4"/>
    <x v="1"/>
    <n v="1"/>
    <n v="3042.2597491791998"/>
    <n v="602.42767310479212"/>
  </r>
  <r>
    <x v="3"/>
    <s v="Inter"/>
    <x v="0"/>
    <x v="11"/>
    <x v="6"/>
    <x v="4"/>
    <x v="2"/>
    <n v="1"/>
    <n v="5573.41"/>
    <n v="1103.6455445544555"/>
  </r>
  <r>
    <x v="3"/>
    <s v="C6 - CDB Diario 105%"/>
    <x v="0"/>
    <x v="11"/>
    <x v="6"/>
    <x v="4"/>
    <x v="2"/>
    <n v="1"/>
    <n v="975"/>
    <n v="193.06930693069307"/>
  </r>
  <r>
    <x v="3"/>
    <s v="C6 - CDB Cartao 100%"/>
    <x v="0"/>
    <x v="11"/>
    <x v="6"/>
    <x v="4"/>
    <x v="2"/>
    <n v="1"/>
    <n v="2500"/>
    <n v="495.04950495049508"/>
  </r>
  <r>
    <x v="3"/>
    <s v="LCI DI 180"/>
    <x v="3"/>
    <x v="11"/>
    <x v="6"/>
    <x v="4"/>
    <x v="2"/>
    <n v="1"/>
    <n v="15748.75"/>
    <n v="3118.5643564356437"/>
  </r>
  <r>
    <x v="3"/>
    <s v="USDT"/>
    <x v="0"/>
    <x v="11"/>
    <x v="6"/>
    <x v="4"/>
    <x v="0"/>
    <n v="1"/>
    <n v="5140.1424999999999"/>
    <n v="1017.85"/>
  </r>
  <r>
    <x v="3"/>
    <s v="BUSD"/>
    <x v="0"/>
    <x v="11"/>
    <x v="6"/>
    <x v="4"/>
    <x v="0"/>
    <n v="1"/>
    <n v="12783.368"/>
    <n v="2531.36"/>
  </r>
  <r>
    <x v="3"/>
    <s v="C6- Parado"/>
    <x v="0"/>
    <x v="11"/>
    <x v="6"/>
    <x v="4"/>
    <x v="2"/>
    <n v="1"/>
    <n v="30.62"/>
    <n v="6.0633663366336634"/>
  </r>
  <r>
    <x v="3"/>
    <s v="Dolar"/>
    <x v="0"/>
    <x v="11"/>
    <x v="6"/>
    <x v="4"/>
    <x v="0"/>
    <n v="1"/>
    <n v="201.69699999999997"/>
    <n v="39.94"/>
  </r>
  <r>
    <x v="4"/>
    <s v="USDT"/>
    <x v="2"/>
    <x v="11"/>
    <x v="6"/>
    <x v="4"/>
    <x v="0"/>
    <n v="1"/>
    <n v="5078.0069999999996"/>
    <n v="1025.8599999999999"/>
  </r>
  <r>
    <x v="4"/>
    <s v="BUSD"/>
    <x v="2"/>
    <x v="11"/>
    <x v="6"/>
    <x v="4"/>
    <x v="0"/>
    <n v="1"/>
    <n v="12572.703000000001"/>
    <n v="2539.94"/>
  </r>
  <r>
    <x v="4"/>
    <s v="Conta Bancária"/>
    <x v="3"/>
    <x v="11"/>
    <x v="6"/>
    <x v="4"/>
    <x v="2"/>
    <n v="1"/>
    <n v="471.12"/>
    <n v="95.175757575757572"/>
  </r>
  <r>
    <x v="4"/>
    <s v="Dólar"/>
    <x v="2"/>
    <x v="11"/>
    <x v="6"/>
    <x v="4"/>
    <x v="0"/>
    <n v="1"/>
    <n v="197.703"/>
    <n v="39.94"/>
  </r>
  <r>
    <x v="4"/>
    <s v="Bitcoin"/>
    <x v="1"/>
    <x v="11"/>
    <x v="6"/>
    <x v="4"/>
    <x v="1"/>
    <n v="1"/>
    <n v="3626.7137829251997"/>
    <n v="732.66945109599988"/>
  </r>
  <r>
    <x v="4"/>
    <s v="Bitcoin"/>
    <x v="1"/>
    <x v="11"/>
    <x v="6"/>
    <x v="4"/>
    <x v="1"/>
    <n v="1"/>
    <n v="3626.7137829251997"/>
    <n v="732.66945109599988"/>
  </r>
  <r>
    <x v="4"/>
    <s v="CDB Diario 105%"/>
    <x v="3"/>
    <x v="11"/>
    <x v="6"/>
    <x v="4"/>
    <x v="2"/>
    <n v="1"/>
    <n v="11887.95"/>
    <n v="2401.6060606060605"/>
  </r>
  <r>
    <x v="4"/>
    <s v="CDB Cartao 100%"/>
    <x v="3"/>
    <x v="11"/>
    <x v="6"/>
    <x v="4"/>
    <x v="2"/>
    <n v="1"/>
    <n v="2567.31"/>
    <n v="518.64848484848483"/>
  </r>
  <r>
    <x v="4"/>
    <s v="LCI DI 180"/>
    <x v="3"/>
    <x v="11"/>
    <x v="6"/>
    <x v="4"/>
    <x v="2"/>
    <n v="1"/>
    <n v="15900.21"/>
    <n v="3212.1636363636362"/>
  </r>
  <r>
    <x v="5"/>
    <s v="USDT"/>
    <x v="2"/>
    <x v="11"/>
    <x v="6"/>
    <x v="4"/>
    <x v="0"/>
    <n v="1"/>
    <n v="5202.6060000000007"/>
    <n v="1044.7"/>
  </r>
  <r>
    <x v="5"/>
    <s v="BUSD"/>
    <x v="2"/>
    <x v="11"/>
    <x v="6"/>
    <x v="4"/>
    <x v="0"/>
    <n v="1"/>
    <n v="12789.536400000001"/>
    <n v="2568.1799999999998"/>
  </r>
  <r>
    <x v="5"/>
    <s v="Conta Bancária"/>
    <x v="3"/>
    <x v="11"/>
    <x v="6"/>
    <x v="4"/>
    <x v="2"/>
    <n v="1"/>
    <n v="366.73"/>
    <n v="73.640562248995977"/>
  </r>
  <r>
    <x v="5"/>
    <s v="Dólar"/>
    <x v="2"/>
    <x v="11"/>
    <x v="6"/>
    <x v="4"/>
    <x v="0"/>
    <n v="1"/>
    <n v="198.90120000000002"/>
    <n v="39.94"/>
  </r>
  <r>
    <x v="5"/>
    <s v="Bitcoin"/>
    <x v="4"/>
    <x v="11"/>
    <x v="6"/>
    <x v="4"/>
    <x v="1"/>
    <n v="1"/>
    <n v="4265.6000000000004"/>
    <n v="856.54618473895584"/>
  </r>
  <r>
    <x v="5"/>
    <s v="Bitcoin"/>
    <x v="4"/>
    <x v="11"/>
    <x v="6"/>
    <x v="4"/>
    <x v="1"/>
    <n v="1"/>
    <n v="4265.6000000000004"/>
    <n v="856.54618473895584"/>
  </r>
  <r>
    <x v="5"/>
    <s v="CDB Diario 105%"/>
    <x v="0"/>
    <x v="11"/>
    <x v="6"/>
    <x v="4"/>
    <x v="2"/>
    <n v="1"/>
    <n v="29644.52"/>
    <n v="5952.7148594377504"/>
  </r>
  <r>
    <x v="5"/>
    <s v="CDB Cartao 100%"/>
    <x v="0"/>
    <x v="11"/>
    <x v="6"/>
    <x v="4"/>
    <x v="2"/>
    <n v="1"/>
    <n v="2910.35"/>
    <n v="584.40763052208831"/>
  </r>
  <r>
    <x v="6"/>
    <s v="CDB Cartao 100%"/>
    <x v="0"/>
    <x v="11"/>
    <x v="6"/>
    <x v="4"/>
    <x v="2"/>
    <n v="1"/>
    <n v="2916.4"/>
    <n v="586.80080482897392"/>
  </r>
  <r>
    <x v="6"/>
    <s v="CDB Diario 105%"/>
    <x v="0"/>
    <x v="11"/>
    <x v="6"/>
    <x v="4"/>
    <x v="2"/>
    <n v="1"/>
    <n v="19156.669999999998"/>
    <n v="3854.4607645875249"/>
  </r>
  <r>
    <x v="6"/>
    <s v="Conta Bancária"/>
    <x v="0"/>
    <x v="11"/>
    <x v="6"/>
    <x v="4"/>
    <x v="2"/>
    <n v="1"/>
    <n v="470.37"/>
    <n v="94.641851106639848"/>
  </r>
  <r>
    <x v="6"/>
    <s v="Extra XP"/>
    <x v="3"/>
    <x v="11"/>
    <x v="6"/>
    <x v="4"/>
    <x v="2"/>
    <n v="1"/>
    <n v="148.0799999999999"/>
    <n v="29.794768611670001"/>
  </r>
  <r>
    <x v="6"/>
    <s v="LCI XP"/>
    <x v="3"/>
    <x v="11"/>
    <x v="6"/>
    <x v="4"/>
    <x v="2"/>
    <n v="1"/>
    <n v="9851.92"/>
    <n v="1982.2776659959759"/>
  </r>
  <r>
    <x v="6"/>
    <s v="Bitcoin 01"/>
    <x v="1"/>
    <x v="11"/>
    <x v="6"/>
    <x v="4"/>
    <x v="1"/>
    <n v="1"/>
    <n v="46288.756425"/>
    <n v="9313.6330835010067"/>
  </r>
  <r>
    <x v="6"/>
    <s v="Bitcoin 02"/>
    <x v="1"/>
    <x v="11"/>
    <x v="6"/>
    <x v="4"/>
    <x v="1"/>
    <n v="1"/>
    <n v="4509.6322721999995"/>
    <n v="907.37067851106633"/>
  </r>
  <r>
    <x v="6"/>
    <s v="Bitcoin 03"/>
    <x v="1"/>
    <x v="11"/>
    <x v="6"/>
    <x v="4"/>
    <x v="1"/>
    <n v="1"/>
    <n v="1987.7106766500001"/>
    <n v="399.94178604627768"/>
  </r>
  <r>
    <x v="6"/>
    <s v="USDC"/>
    <x v="1"/>
    <x v="11"/>
    <x v="6"/>
    <x v="4"/>
    <x v="0"/>
    <n v="1"/>
    <n v="17994.1335"/>
    <n v="3620.55"/>
  </r>
  <r>
    <x v="7"/>
    <s v="CDB Cartao 100%"/>
    <x v="0"/>
    <x v="11"/>
    <x v="6"/>
    <x v="4"/>
    <x v="2"/>
    <n v="1"/>
    <n v="39.57"/>
    <n v="7.9617706237424555"/>
  </r>
  <r>
    <x v="7"/>
    <s v="CDB Diario 105%"/>
    <x v="0"/>
    <x v="11"/>
    <x v="6"/>
    <x v="4"/>
    <x v="2"/>
    <n v="1"/>
    <n v="21231.66"/>
    <n v="4271.9637826961771"/>
  </r>
  <r>
    <x v="7"/>
    <s v="Conta Bancária"/>
    <x v="0"/>
    <x v="11"/>
    <x v="6"/>
    <x v="4"/>
    <x v="2"/>
    <n v="1"/>
    <n v="487.27"/>
    <n v="98.042253521126767"/>
  </r>
  <r>
    <x v="7"/>
    <s v="LCI XP"/>
    <x v="3"/>
    <x v="11"/>
    <x v="6"/>
    <x v="4"/>
    <x v="2"/>
    <n v="1"/>
    <n v="9933.0499999999993"/>
    <n v="1998.6016096579476"/>
  </r>
  <r>
    <x v="7"/>
    <s v="Bitcoin 01"/>
    <x v="4"/>
    <x v="11"/>
    <x v="6"/>
    <x v="4"/>
    <x v="1"/>
    <n v="1"/>
    <n v="65406.174999999996"/>
    <n v="13160.196177062375"/>
  </r>
  <r>
    <x v="7"/>
    <s v="USDC"/>
    <x v="2"/>
    <x v="11"/>
    <x v="6"/>
    <x v="4"/>
    <x v="0"/>
    <n v="1"/>
    <n v="26252.533999999996"/>
    <n v="5282.2"/>
  </r>
  <r>
    <x v="8"/>
    <s v="CDB Itaú 100%"/>
    <x v="0"/>
    <x v="11"/>
    <x v="6"/>
    <x v="4"/>
    <x v="2"/>
    <n v="1"/>
    <n v="30106.639999999999"/>
    <n v="5884.4555635908764"/>
  </r>
  <r>
    <x v="8"/>
    <s v="Conta Bancária"/>
    <x v="0"/>
    <x v="11"/>
    <x v="6"/>
    <x v="4"/>
    <x v="2"/>
    <n v="1"/>
    <n v="279.33999999999997"/>
    <n v="54.598049371616206"/>
  </r>
  <r>
    <x v="8"/>
    <s v="Bitcoin 01"/>
    <x v="4"/>
    <x v="11"/>
    <x v="6"/>
    <x v="4"/>
    <x v="1"/>
    <n v="1"/>
    <n v="54110.79737"/>
    <n v="10576.158038035299"/>
  </r>
  <r>
    <x v="8"/>
    <s v="USDC"/>
    <x v="2"/>
    <x v="11"/>
    <x v="6"/>
    <x v="4"/>
    <x v="0"/>
    <n v="1"/>
    <n v="17585.23473"/>
    <n v="3437.1"/>
  </r>
  <r>
    <x v="8"/>
    <s v="Bitcoin 02"/>
    <x v="4"/>
    <x v="11"/>
    <x v="6"/>
    <x v="4"/>
    <x v="1"/>
    <n v="1"/>
    <n v="13972.283884300001"/>
    <n v="2730.9352235599949"/>
  </r>
  <r>
    <x v="9"/>
    <s v="CDB Itaú 100%"/>
    <x v="0"/>
    <x v="11"/>
    <x v="6"/>
    <x v="4"/>
    <x v="2"/>
    <n v="1"/>
    <n v="16611"/>
    <n v="3222.3084384093113"/>
  </r>
  <r>
    <x v="9"/>
    <s v="Bitcoin 01"/>
    <x v="4"/>
    <x v="11"/>
    <x v="6"/>
    <x v="4"/>
    <x v="1"/>
    <n v="1"/>
    <n v="63740.378279999997"/>
    <n v="12364.76785257032"/>
  </r>
  <r>
    <x v="9"/>
    <s v="USDC"/>
    <x v="2"/>
    <x v="11"/>
    <x v="6"/>
    <x v="4"/>
    <x v="0"/>
    <n v="1"/>
    <n v="17753.82"/>
    <n v="3444"/>
  </r>
  <r>
    <x v="9"/>
    <s v="Bitcoin 02"/>
    <x v="4"/>
    <x v="11"/>
    <x v="6"/>
    <x v="4"/>
    <x v="1"/>
    <n v="1"/>
    <n v="28143.816250799999"/>
    <n v="5459.5181863821526"/>
  </r>
  <r>
    <x v="10"/>
    <s v="Fundo Itaú"/>
    <x v="0"/>
    <x v="11"/>
    <x v="6"/>
    <x v="4"/>
    <x v="2"/>
    <n v="1"/>
    <n v="13103.07"/>
    <n v="2413.0883977900553"/>
  </r>
  <r>
    <x v="10"/>
    <s v="CDB Itaú 100%"/>
    <x v="0"/>
    <x v="11"/>
    <x v="6"/>
    <x v="4"/>
    <x v="2"/>
    <n v="1"/>
    <n v="5331.61"/>
    <n v="981.88029465930015"/>
  </r>
  <r>
    <x v="10"/>
    <s v="Bitcoin 01"/>
    <x v="4"/>
    <x v="11"/>
    <x v="6"/>
    <x v="4"/>
    <x v="1"/>
    <n v="1"/>
    <n v="62001.47"/>
    <n v="11418.318600368324"/>
  </r>
  <r>
    <x v="10"/>
    <s v="USDC"/>
    <x v="2"/>
    <x v="11"/>
    <x v="6"/>
    <x v="4"/>
    <x v="0"/>
    <n v="1"/>
    <n v="18776.939999999999"/>
    <n v="3458"/>
  </r>
  <r>
    <x v="10"/>
    <s v="Bitcoin 02"/>
    <x v="4"/>
    <x v="11"/>
    <x v="6"/>
    <x v="4"/>
    <x v="1"/>
    <n v="1"/>
    <n v="27376.021699999998"/>
    <n v="5041.6246224677716"/>
  </r>
  <r>
    <x v="10"/>
    <s v="Etherium"/>
    <x v="4"/>
    <x v="11"/>
    <x v="6"/>
    <x v="4"/>
    <x v="0"/>
    <n v="1"/>
    <n v="2975.64"/>
    <n v="548"/>
  </r>
  <r>
    <x v="10"/>
    <s v="Solana"/>
    <x v="4"/>
    <x v="11"/>
    <x v="6"/>
    <x v="4"/>
    <x v="0"/>
    <n v="1"/>
    <n v="1330.35"/>
    <n v="245"/>
  </r>
  <r>
    <x v="11"/>
    <s v="Fundo Itaú"/>
    <x v="0"/>
    <x v="11"/>
    <x v="6"/>
    <x v="4"/>
    <x v="2"/>
    <n v="1"/>
    <n v="11305.1"/>
    <n v="2055.4727272727273"/>
  </r>
  <r>
    <x v="11"/>
    <s v="CDB Itaú 100%"/>
    <x v="0"/>
    <x v="11"/>
    <x v="6"/>
    <x v="4"/>
    <x v="2"/>
    <n v="1"/>
    <n v="3002.8"/>
    <n v="545.9636363636364"/>
  </r>
  <r>
    <x v="11"/>
    <s v="Bitcoin 01"/>
    <x v="4"/>
    <x v="11"/>
    <x v="6"/>
    <x v="4"/>
    <x v="1"/>
    <n v="1"/>
    <n v="87717.971818556995"/>
    <n v="15948.722148828545"/>
  </r>
  <r>
    <x v="11"/>
    <s v="USDC"/>
    <x v="2"/>
    <x v="11"/>
    <x v="6"/>
    <x v="4"/>
    <x v="0"/>
    <n v="1"/>
    <n v="18766"/>
    <n v="3412"/>
  </r>
  <r>
    <x v="11"/>
    <s v="Bitcoin 02"/>
    <x v="4"/>
    <x v="11"/>
    <x v="6"/>
    <x v="4"/>
    <x v="1"/>
    <n v="1"/>
    <n v="5381.5202989937998"/>
    <n v="978.45823618069085"/>
  </r>
  <r>
    <x v="11"/>
    <s v="Etherium"/>
    <x v="4"/>
    <x v="11"/>
    <x v="6"/>
    <x v="4"/>
    <x v="0"/>
    <n v="1"/>
    <n v="2276.4499999999998"/>
    <n v="413.9"/>
  </r>
  <r>
    <x v="11"/>
    <s v="Solana"/>
    <x v="4"/>
    <x v="11"/>
    <x v="6"/>
    <x v="4"/>
    <x v="0"/>
    <n v="1"/>
    <n v="3954.3900000000003"/>
    <n v="718.98"/>
  </r>
  <r>
    <x v="12"/>
    <s v="Fundo Itaú"/>
    <x v="3"/>
    <x v="11"/>
    <x v="6"/>
    <x v="4"/>
    <x v="2"/>
    <n v="1"/>
    <n v="2355.31"/>
    <n v="426.68659420289856"/>
  </r>
  <r>
    <x v="12"/>
    <s v="CDB Itaú 100%"/>
    <x v="0"/>
    <x v="11"/>
    <x v="6"/>
    <x v="4"/>
    <x v="2"/>
    <n v="1"/>
    <n v="950"/>
    <n v="172.10144927536234"/>
  </r>
  <r>
    <x v="12"/>
    <s v="Bitcoin 01"/>
    <x v="4"/>
    <x v="11"/>
    <x v="6"/>
    <x v="4"/>
    <x v="1"/>
    <n v="1"/>
    <n v="89959.656359411994"/>
    <n v="16297.039195545653"/>
  </r>
  <r>
    <x v="12"/>
    <s v="Bitcoin 02"/>
    <x v="4"/>
    <x v="11"/>
    <x v="6"/>
    <x v="4"/>
    <x v="1"/>
    <n v="1"/>
    <n v="5519.0482264007996"/>
    <n v="999.82757724652174"/>
  </r>
  <r>
    <x v="12"/>
    <s v="Bitcoin 03 - Viagem"/>
    <x v="4"/>
    <x v="11"/>
    <x v="6"/>
    <x v="4"/>
    <x v="1"/>
    <n v="1"/>
    <n v="6837.7909235999996"/>
    <n v="1238.7302397826088"/>
  </r>
  <r>
    <x v="12"/>
    <s v="USDC"/>
    <x v="2"/>
    <x v="11"/>
    <x v="6"/>
    <x v="4"/>
    <x v="0"/>
    <n v="1"/>
    <n v="18869.1816"/>
    <n v="3418.3300000000004"/>
  </r>
  <r>
    <x v="12"/>
    <s v="Etherium"/>
    <x v="4"/>
    <x v="11"/>
    <x v="6"/>
    <x v="4"/>
    <x v="0"/>
    <n v="1"/>
    <n v="2283.0167999999999"/>
    <n v="413.59000000000003"/>
  </r>
  <r>
    <x v="12"/>
    <s v="Solana"/>
    <x v="4"/>
    <x v="11"/>
    <x v="6"/>
    <x v="4"/>
    <x v="0"/>
    <n v="1"/>
    <n v="3734.1143999999999"/>
    <n v="676.47"/>
  </r>
  <r>
    <x v="12"/>
    <s v="ETF - VOO"/>
    <x v="4"/>
    <x v="11"/>
    <x v="6"/>
    <x v="4"/>
    <x v="0"/>
    <n v="1"/>
    <n v="5036.2824000000001"/>
    <n v="912.37000000000012"/>
  </r>
  <r>
    <x v="13"/>
    <s v="Fundo Itaú"/>
    <x v="3"/>
    <x v="11"/>
    <x v="6"/>
    <x v="4"/>
    <x v="2"/>
    <n v="1"/>
    <n v="1769.97"/>
    <n v="307.28645833333337"/>
  </r>
  <r>
    <x v="13"/>
    <s v="CDB Itaú 100%"/>
    <x v="0"/>
    <x v="11"/>
    <x v="6"/>
    <x v="4"/>
    <x v="2"/>
    <n v="1"/>
    <n v="2003.1"/>
    <n v="347.76041666666669"/>
  </r>
  <r>
    <x v="13"/>
    <s v="Bitcoin 01"/>
    <x v="4"/>
    <x v="11"/>
    <x v="6"/>
    <x v="4"/>
    <x v="1"/>
    <n v="1"/>
    <n v="107958.84878791802"/>
    <n v="18742.855692346879"/>
  </r>
  <r>
    <x v="13"/>
    <s v="Bitcoin 02"/>
    <x v="4"/>
    <x v="11"/>
    <x v="6"/>
    <x v="4"/>
    <x v="1"/>
    <n v="1"/>
    <n v="6623.3033455211998"/>
    <n v="1149.8790530418751"/>
  </r>
  <r>
    <x v="13"/>
    <s v="Bitcoin 03 - Viagem"/>
    <x v="4"/>
    <x v="11"/>
    <x v="6"/>
    <x v="4"/>
    <x v="1"/>
    <n v="1"/>
    <n v="8205.9010254000004"/>
    <n v="1424.6355946875001"/>
  </r>
  <r>
    <x v="13"/>
    <s v="USDC"/>
    <x v="2"/>
    <x v="11"/>
    <x v="6"/>
    <x v="4"/>
    <x v="0"/>
    <n v="1"/>
    <n v="19768.32"/>
    <n v="3432"/>
  </r>
  <r>
    <x v="13"/>
    <s v="Etherium"/>
    <x v="4"/>
    <x v="11"/>
    <x v="6"/>
    <x v="4"/>
    <x v="0"/>
    <n v="1"/>
    <n v="2432.9663999999998"/>
    <n v="422.39"/>
  </r>
  <r>
    <x v="13"/>
    <s v="Solana"/>
    <x v="4"/>
    <x v="11"/>
    <x v="6"/>
    <x v="4"/>
    <x v="0"/>
    <n v="1"/>
    <n v="4815.9935999999998"/>
    <n v="836.11"/>
  </r>
  <r>
    <x v="13"/>
    <s v="ETF - VOO"/>
    <x v="4"/>
    <x v="11"/>
    <x v="6"/>
    <x v="4"/>
    <x v="0"/>
    <n v="1"/>
    <n v="5364.4607999999998"/>
    <n v="931.33"/>
  </r>
  <r>
    <x v="14"/>
    <s v="Fundo Itaú"/>
    <x v="3"/>
    <x v="11"/>
    <x v="6"/>
    <x v="4"/>
    <x v="2"/>
    <n v="1"/>
    <n v="1774.82"/>
    <n v="305.47676419965575"/>
  </r>
  <r>
    <x v="14"/>
    <s v="CDB Itaú 100%"/>
    <x v="0"/>
    <x v="11"/>
    <x v="6"/>
    <x v="4"/>
    <x v="2"/>
    <n v="1"/>
    <n v="7107.21"/>
    <n v="1223.2719449225474"/>
  </r>
  <r>
    <x v="14"/>
    <s v="Bitcoin 01"/>
    <x v="4"/>
    <x v="11"/>
    <x v="6"/>
    <x v="4"/>
    <x v="1"/>
    <n v="1"/>
    <n v="147195.73635779403"/>
    <n v="25334.894381720143"/>
  </r>
  <r>
    <x v="14"/>
    <s v="Bitcoin 02"/>
    <x v="4"/>
    <x v="11"/>
    <x v="6"/>
    <x v="4"/>
    <x v="1"/>
    <n v="1"/>
    <n v="9030.4965642995994"/>
    <n v="1554.3023346470911"/>
  </r>
  <r>
    <x v="14"/>
    <s v="USDC - Viagem"/>
    <x v="2"/>
    <x v="11"/>
    <x v="6"/>
    <x v="4"/>
    <x v="0"/>
    <n v="1"/>
    <n v="9987.39"/>
    <n v="1719"/>
  </r>
  <r>
    <x v="14"/>
    <s v="USDC"/>
    <x v="2"/>
    <x v="11"/>
    <x v="6"/>
    <x v="4"/>
    <x v="0"/>
    <n v="1"/>
    <n v="16912.91"/>
    <n v="2911"/>
  </r>
  <r>
    <x v="14"/>
    <s v="Solana"/>
    <x v="4"/>
    <x v="11"/>
    <x v="6"/>
    <x v="4"/>
    <x v="0"/>
    <n v="1"/>
    <n v="6896.4699999999993"/>
    <n v="1187"/>
  </r>
  <r>
    <x v="14"/>
    <s v="ETF - VOO"/>
    <x v="4"/>
    <x v="11"/>
    <x v="6"/>
    <x v="4"/>
    <x v="0"/>
    <n v="1"/>
    <n v="5503.5225"/>
    <n v="947.25000000000011"/>
  </r>
  <r>
    <x v="15"/>
    <s v="Fundo Itaú"/>
    <x v="0"/>
    <x v="11"/>
    <x v="6"/>
    <x v="4"/>
    <x v="2"/>
    <n v="1"/>
    <n v="3718.75"/>
    <n v="600.76736672051697"/>
  </r>
  <r>
    <x v="15"/>
    <s v="CDB Itaú 100%"/>
    <x v="0"/>
    <x v="11"/>
    <x v="6"/>
    <x v="4"/>
    <x v="2"/>
    <n v="1"/>
    <n v="4382"/>
    <n v="707.91599353796437"/>
  </r>
  <r>
    <x v="15"/>
    <s v="Bitcoin 01"/>
    <x v="4"/>
    <x v="11"/>
    <x v="6"/>
    <x v="4"/>
    <x v="1"/>
    <n v="1"/>
    <n v="150409.19329710002"/>
    <n v="24298.738820210019"/>
  </r>
  <r>
    <x v="15"/>
    <s v="Bitcoin 02"/>
    <x v="4"/>
    <x v="11"/>
    <x v="6"/>
    <x v="4"/>
    <x v="1"/>
    <n v="1"/>
    <n v="9227.6429801399991"/>
    <n v="1490.7339224781904"/>
  </r>
  <r>
    <x v="15"/>
    <s v="USDC - Viagem"/>
    <x v="0"/>
    <x v="11"/>
    <x v="6"/>
    <x v="4"/>
    <x v="0"/>
    <n v="1"/>
    <n v="10640.61"/>
    <n v="1719"/>
  </r>
  <r>
    <x v="15"/>
    <s v="USDC"/>
    <x v="0"/>
    <x v="11"/>
    <x v="6"/>
    <x v="4"/>
    <x v="0"/>
    <n v="1"/>
    <n v="18217.170000000002"/>
    <n v="2943"/>
  </r>
  <r>
    <x v="15"/>
    <s v="Solana"/>
    <x v="4"/>
    <x v="11"/>
    <x v="6"/>
    <x v="4"/>
    <x v="0"/>
    <n v="1"/>
    <n v="5401.0844999999999"/>
    <n v="872.55"/>
  </r>
  <r>
    <x v="15"/>
    <s v="ETF - VOO"/>
    <x v="4"/>
    <x v="11"/>
    <x v="6"/>
    <x v="4"/>
    <x v="0"/>
    <n v="1"/>
    <n v="5895.2322000000004"/>
    <n v="952.38"/>
  </r>
  <r>
    <x v="15"/>
    <s v="ETF - VTI"/>
    <x v="4"/>
    <x v="11"/>
    <x v="6"/>
    <x v="4"/>
    <x v="0"/>
    <n v="1"/>
    <n v="3029.0146"/>
    <n v="489.34"/>
  </r>
  <r>
    <x v="15"/>
    <s v="ETF - ARGT"/>
    <x v="4"/>
    <x v="11"/>
    <x v="6"/>
    <x v="4"/>
    <x v="0"/>
    <n v="1"/>
    <n v="3120.998"/>
    <n v="504.2"/>
  </r>
  <r>
    <x v="16"/>
    <s v="CDB Itaú 100%"/>
    <x v="0"/>
    <x v="11"/>
    <x v="6"/>
    <x v="4"/>
    <x v="2"/>
    <n v="1"/>
    <n v="344.92"/>
    <n v="55.722132471728592"/>
  </r>
  <r>
    <x v="16"/>
    <s v="LCI - XP"/>
    <x v="0"/>
    <x v="11"/>
    <x v="6"/>
    <x v="4"/>
    <x v="2"/>
    <n v="1"/>
    <n v="5074.8"/>
    <n v="819.83844911147014"/>
  </r>
  <r>
    <x v="16"/>
    <s v="Bitcoin 01"/>
    <x v="4"/>
    <x v="11"/>
    <x v="6"/>
    <x v="4"/>
    <x v="1"/>
    <n v="1"/>
    <n v="154063.64231265301"/>
    <n v="24889.118305759774"/>
  </r>
  <r>
    <x v="16"/>
    <s v="Bitcoin 02"/>
    <x v="4"/>
    <x v="11"/>
    <x v="6"/>
    <x v="4"/>
    <x v="1"/>
    <n v="1"/>
    <n v="12598.486132969801"/>
    <n v="2035.2966289127303"/>
  </r>
  <r>
    <x v="16"/>
    <s v="USDC - Viagem"/>
    <x v="0"/>
    <x v="11"/>
    <x v="6"/>
    <x v="4"/>
    <x v="0"/>
    <n v="1"/>
    <n v="10640.61"/>
    <n v="1719"/>
  </r>
  <r>
    <x v="16"/>
    <s v="USDC"/>
    <x v="0"/>
    <x v="11"/>
    <x v="6"/>
    <x v="4"/>
    <x v="0"/>
    <n v="1"/>
    <n v="12715.1266"/>
    <n v="2054.14"/>
  </r>
  <r>
    <x v="16"/>
    <s v="Solana"/>
    <x v="4"/>
    <x v="11"/>
    <x v="6"/>
    <x v="4"/>
    <x v="0"/>
    <n v="1"/>
    <n v="8577.1836308784004"/>
    <n v="1385.651636652407"/>
  </r>
  <r>
    <x v="16"/>
    <s v="ETF - VOO"/>
    <x v="4"/>
    <x v="11"/>
    <x v="6"/>
    <x v="4"/>
    <x v="0"/>
    <n v="1"/>
    <n v="5793.9019000000008"/>
    <n v="936.0100000000001"/>
  </r>
  <r>
    <x v="16"/>
    <s v="ETF - VTI"/>
    <x v="4"/>
    <x v="11"/>
    <x v="6"/>
    <x v="4"/>
    <x v="0"/>
    <n v="1"/>
    <n v="2981.1040000000003"/>
    <n v="481.6"/>
  </r>
  <r>
    <x v="16"/>
    <s v="ETF - ARGT"/>
    <x v="4"/>
    <x v="11"/>
    <x v="6"/>
    <x v="4"/>
    <x v="0"/>
    <n v="1"/>
    <n v="3255.6924000000004"/>
    <n v="525.96"/>
  </r>
  <r>
    <x v="17"/>
    <s v="Porquinho"/>
    <x v="0"/>
    <x v="11"/>
    <x v="6"/>
    <x v="4"/>
    <x v="2"/>
    <n v="1"/>
    <n v="6474.0500000000011"/>
    <n v="1168.6010830324913"/>
  </r>
  <r>
    <x v="17"/>
    <s v="USDC"/>
    <x v="0"/>
    <x v="11"/>
    <x v="6"/>
    <x v="4"/>
    <x v="0"/>
    <n v="1"/>
    <n v="760.97440000000006"/>
    <n v="137.36000000000001"/>
  </r>
  <r>
    <x v="17"/>
    <s v="USDC"/>
    <x v="0"/>
    <x v="11"/>
    <x v="6"/>
    <x v="4"/>
    <x v="0"/>
    <n v="1"/>
    <n v="760.97440000000006"/>
    <n v="137.36000000000001"/>
  </r>
  <r>
    <x v="17"/>
    <s v="Picpay - Confrinho"/>
    <x v="0"/>
    <x v="11"/>
    <x v="6"/>
    <x v="4"/>
    <x v="2"/>
    <n v="1"/>
    <n v="1612.13"/>
    <n v="290.99819494584841"/>
  </r>
  <r>
    <x v="17"/>
    <s v="LCA BOCOM"/>
    <x v="3"/>
    <x v="11"/>
    <x v="6"/>
    <x v="4"/>
    <x v="2"/>
    <n v="1"/>
    <n v="4743.13"/>
    <n v="856.16064981949455"/>
  </r>
  <r>
    <x v="17"/>
    <s v="LIG LIQUIDEZ 01"/>
    <x v="3"/>
    <x v="11"/>
    <x v="6"/>
    <x v="4"/>
    <x v="2"/>
    <n v="1"/>
    <n v="1713.72"/>
    <n v="309.33574007220216"/>
  </r>
  <r>
    <x v="17"/>
    <s v="LIG LIQUIDEZ 02"/>
    <x v="3"/>
    <x v="11"/>
    <x v="6"/>
    <x v="4"/>
    <x v="2"/>
    <n v="1"/>
    <n v="825.81"/>
    <n v="149.06317689530684"/>
  </r>
  <r>
    <x v="17"/>
    <s v="Time Deposit"/>
    <x v="3"/>
    <x v="11"/>
    <x v="6"/>
    <x v="4"/>
    <x v="0"/>
    <n v="1"/>
    <n v="5596.4526000000005"/>
    <n v="1010.19"/>
  </r>
  <r>
    <x v="17"/>
    <s v="Tesouro Renda+ 2065"/>
    <x v="3"/>
    <x v="11"/>
    <x v="6"/>
    <x v="4"/>
    <x v="2"/>
    <n v="1"/>
    <n v="2503.8200000000002"/>
    <n v="451.95306859205778"/>
  </r>
  <r>
    <x v="17"/>
    <s v="ETF - ARGT"/>
    <x v="4"/>
    <x v="11"/>
    <x v="6"/>
    <x v="4"/>
    <x v="0"/>
    <n v="1"/>
    <n v="2819.306"/>
    <n v="508.9"/>
  </r>
  <r>
    <x v="17"/>
    <s v="ETF - VOO"/>
    <x v="4"/>
    <x v="11"/>
    <x v="6"/>
    <x v="4"/>
    <x v="0"/>
    <n v="1"/>
    <n v="5640.8280000000004"/>
    <n v="1018.2"/>
  </r>
  <r>
    <x v="17"/>
    <s v="ETF - VTI"/>
    <x v="4"/>
    <x v="11"/>
    <x v="6"/>
    <x v="4"/>
    <x v="0"/>
    <n v="1"/>
    <n v="2887.6696000000002"/>
    <n v="521.24"/>
  </r>
  <r>
    <x v="17"/>
    <s v="Bitcoin 02"/>
    <x v="4"/>
    <x v="11"/>
    <x v="6"/>
    <x v="4"/>
    <x v="1"/>
    <n v="1"/>
    <n v="4321.6412896800002"/>
    <n v="780.07965517689536"/>
  </r>
  <r>
    <x v="17"/>
    <s v="Solana"/>
    <x v="4"/>
    <x v="11"/>
    <x v="6"/>
    <x v="4"/>
    <x v="0"/>
    <n v="1"/>
    <n v="5506.8771277631995"/>
    <n v="994.02114219552334"/>
  </r>
  <r>
    <x v="17"/>
    <s v="Bitcoin 01"/>
    <x v="4"/>
    <x v="11"/>
    <x v="6"/>
    <x v="4"/>
    <x v="1"/>
    <n v="1"/>
    <n v="179484.80616143998"/>
    <n v="32397.979451523461"/>
  </r>
  <r>
    <x v="18"/>
    <s v="Porquinho"/>
    <x v="0"/>
    <x v="11"/>
    <x v="6"/>
    <x v="4"/>
    <x v="2"/>
    <n v="1"/>
    <n v="8993.9699999999993"/>
    <n v="1632.2994555353901"/>
  </r>
  <r>
    <x v="18"/>
    <s v="USDT"/>
    <x v="2"/>
    <x v="11"/>
    <x v="6"/>
    <x v="4"/>
    <x v="0"/>
    <n v="1"/>
    <n v="551.38569999999993"/>
    <n v="100.07"/>
  </r>
  <r>
    <x v="18"/>
    <s v="USDC"/>
    <x v="2"/>
    <x v="11"/>
    <x v="6"/>
    <x v="4"/>
    <x v="0"/>
    <n v="1"/>
    <n v="552.92849999999999"/>
    <n v="100.35"/>
  </r>
  <r>
    <x v="18"/>
    <s v="USDC"/>
    <x v="2"/>
    <x v="11"/>
    <x v="6"/>
    <x v="4"/>
    <x v="0"/>
    <n v="1"/>
    <n v="552.92849999999999"/>
    <n v="100.35"/>
  </r>
  <r>
    <x v="18"/>
    <s v="LCA BOCOM"/>
    <x v="0"/>
    <x v="11"/>
    <x v="6"/>
    <x v="4"/>
    <x v="2"/>
    <n v="1"/>
    <n v="4743.13"/>
    <n v="860.82214156079863"/>
  </r>
  <r>
    <x v="18"/>
    <s v="LIG LIQUIDEZ 01"/>
    <x v="0"/>
    <x v="11"/>
    <x v="6"/>
    <x v="4"/>
    <x v="2"/>
    <n v="1"/>
    <n v="1713.72"/>
    <n v="311.01996370235935"/>
  </r>
  <r>
    <x v="18"/>
    <s v="LIG LIQUIDEZ 02"/>
    <x v="0"/>
    <x v="11"/>
    <x v="6"/>
    <x v="4"/>
    <x v="2"/>
    <n v="1"/>
    <n v="825.81"/>
    <n v="149.87477313974591"/>
  </r>
  <r>
    <x v="18"/>
    <s v="Time Deposit"/>
    <x v="0"/>
    <x v="11"/>
    <x v="6"/>
    <x v="4"/>
    <x v="0"/>
    <n v="1"/>
    <n v="5566.1468999999997"/>
    <n v="1010.1899999999999"/>
  </r>
  <r>
    <x v="18"/>
    <s v="Tesouro Renda+ 2065"/>
    <x v="3"/>
    <x v="11"/>
    <x v="6"/>
    <x v="4"/>
    <x v="2"/>
    <n v="1"/>
    <n v="2503.8200000000002"/>
    <n v="454.41379310344831"/>
  </r>
  <r>
    <x v="18"/>
    <s v="ETF - ARGT"/>
    <x v="4"/>
    <x v="11"/>
    <x v="6"/>
    <x v="4"/>
    <x v="0"/>
    <n v="1"/>
    <n v="2804.0389999999998"/>
    <n v="508.9"/>
  </r>
  <r>
    <x v="18"/>
    <s v="ETF - VOO"/>
    <x v="4"/>
    <x v="11"/>
    <x v="6"/>
    <x v="4"/>
    <x v="0"/>
    <n v="1"/>
    <n v="5610.2820000000002"/>
    <n v="1018.2"/>
  </r>
  <r>
    <x v="18"/>
    <s v="ETF - VTI"/>
    <x v="4"/>
    <x v="11"/>
    <x v="6"/>
    <x v="4"/>
    <x v="0"/>
    <n v="1"/>
    <n v="2872.0324000000001"/>
    <n v="521.24"/>
  </r>
  <r>
    <x v="18"/>
    <s v="Bitcoin 02"/>
    <x v="1"/>
    <x v="11"/>
    <x v="6"/>
    <x v="4"/>
    <x v="1"/>
    <n v="1"/>
    <n v="4191.8031955799997"/>
    <n v="760.76283041379304"/>
  </r>
  <r>
    <x v="18"/>
    <s v="Solana"/>
    <x v="1"/>
    <x v="11"/>
    <x v="6"/>
    <x v="4"/>
    <x v="0"/>
    <n v="1"/>
    <n v="4981.2226850399993"/>
    <n v="904.03315517967326"/>
  </r>
  <r>
    <x v="18"/>
    <s v="Bitcoin 01"/>
    <x v="1"/>
    <x v="11"/>
    <x v="6"/>
    <x v="4"/>
    <x v="1"/>
    <n v="1"/>
    <n v="174092.41850363999"/>
    <n v="31595.72023659528"/>
  </r>
  <r>
    <x v="19"/>
    <s v="Porquinho"/>
    <x v="0"/>
    <x v="11"/>
    <x v="6"/>
    <x v="4"/>
    <x v="2"/>
    <n v="1"/>
    <n v="8993.9699999999993"/>
    <n v="1662.4713493530498"/>
  </r>
  <r>
    <x v="19"/>
    <s v="LCA BOCOM"/>
    <x v="0"/>
    <x v="11"/>
    <x v="6"/>
    <x v="4"/>
    <x v="2"/>
    <n v="1"/>
    <n v="4811.0600000000004"/>
    <n v="889.29020332717198"/>
  </r>
  <r>
    <x v="19"/>
    <s v="Conta Global"/>
    <x v="0"/>
    <x v="11"/>
    <x v="6"/>
    <x v="4"/>
    <x v="0"/>
    <n v="1"/>
    <n v="2903.0060000000003"/>
    <n v="536.6"/>
  </r>
  <r>
    <x v="19"/>
    <s v="USDT"/>
    <x v="0"/>
    <x v="11"/>
    <x v="6"/>
    <x v="4"/>
    <x v="0"/>
    <n v="1"/>
    <n v="548.84450000000004"/>
    <n v="101.45"/>
  </r>
  <r>
    <x v="19"/>
    <s v="USDC"/>
    <x v="0"/>
    <x v="11"/>
    <x v="6"/>
    <x v="4"/>
    <x v="0"/>
    <n v="1"/>
    <n v="547.00509999999997"/>
    <n v="101.10999999999999"/>
  </r>
  <r>
    <x v="19"/>
    <s v="USDC"/>
    <x v="0"/>
    <x v="11"/>
    <x v="6"/>
    <x v="4"/>
    <x v="0"/>
    <n v="1"/>
    <n v="547.00509999999997"/>
    <n v="101.10999999999999"/>
  </r>
  <r>
    <x v="19"/>
    <s v="USDC"/>
    <x v="0"/>
    <x v="11"/>
    <x v="6"/>
    <x v="4"/>
    <x v="0"/>
    <n v="1"/>
    <n v="547.00509999999997"/>
    <n v="101.10999999999999"/>
  </r>
  <r>
    <x v="19"/>
    <s v="Bitcoin 02"/>
    <x v="1"/>
    <x v="11"/>
    <x v="6"/>
    <x v="4"/>
    <x v="1"/>
    <n v="1"/>
    <n v="4744.3517845446595"/>
    <n v="876.9596644259999"/>
  </r>
  <r>
    <x v="19"/>
    <s v="Solana"/>
    <x v="1"/>
    <x v="11"/>
    <x v="6"/>
    <x v="4"/>
    <x v="0"/>
    <n v="1"/>
    <n v="1145.7673880785001"/>
    <n v="211.78694788881702"/>
  </r>
  <r>
    <x v="19"/>
    <s v="Bitcoin 01"/>
    <x v="1"/>
    <x v="11"/>
    <x v="6"/>
    <x v="4"/>
    <x v="1"/>
    <n v="1"/>
    <n v="167880.98735536454"/>
    <n v="31031.605795815998"/>
  </r>
  <r>
    <x v="19"/>
    <s v="Tesouro IPCA Renda+ 2065"/>
    <x v="3"/>
    <x v="11"/>
    <x v="6"/>
    <x v="4"/>
    <x v="2"/>
    <n v="1"/>
    <n v="9081.18"/>
    <n v="1678.5914972273567"/>
  </r>
  <r>
    <x v="19"/>
    <s v="Previdência Privada"/>
    <x v="3"/>
    <x v="11"/>
    <x v="6"/>
    <x v="4"/>
    <x v="2"/>
    <n v="1"/>
    <n v="4425.32"/>
    <n v="817.98890942698699"/>
  </r>
  <r>
    <x v="19"/>
    <s v="ETF - ARGT"/>
    <x v="4"/>
    <x v="11"/>
    <x v="6"/>
    <x v="4"/>
    <x v="0"/>
    <n v="1"/>
    <n v="2631.8027000000002"/>
    <n v="486.47"/>
  </r>
  <r>
    <x v="19"/>
    <s v="ETF - VOO"/>
    <x v="4"/>
    <x v="11"/>
    <x v="6"/>
    <x v="4"/>
    <x v="0"/>
    <n v="1"/>
    <n v="5605.5715000000009"/>
    <n v="1036.1500000000001"/>
  </r>
  <r>
    <x v="19"/>
    <s v="ETF - GLDM"/>
    <x v="2"/>
    <x v="11"/>
    <x v="6"/>
    <x v="4"/>
    <x v="0"/>
    <n v="1"/>
    <n v="5410"/>
    <n v="1000"/>
  </r>
  <r>
    <x v="19"/>
    <s v="ETF - GLDM"/>
    <x v="2"/>
    <x v="11"/>
    <x v="6"/>
    <x v="4"/>
    <x v="0"/>
    <n v="1"/>
    <n v="5410"/>
    <n v="1000"/>
  </r>
  <r>
    <x v="20"/>
    <s v="Bitcoin 01"/>
    <x v="1"/>
    <x v="11"/>
    <x v="6"/>
    <x v="4"/>
    <x v="1"/>
    <n v="1"/>
    <n v="165713.19835555999"/>
    <n v="30931.645640713778"/>
  </r>
  <r>
    <x v="20"/>
    <s v="Bitcoin 02"/>
    <x v="3"/>
    <x v="11"/>
    <x v="6"/>
    <x v="4"/>
    <x v="1"/>
    <n v="1"/>
    <n v="4683.0896144099997"/>
    <n v="874.13476955426131"/>
  </r>
  <r>
    <x v="20"/>
    <s v="ETF - ARGT"/>
    <x v="4"/>
    <x v="11"/>
    <x v="6"/>
    <x v="4"/>
    <x v="0"/>
    <n v="1"/>
    <n v="2998.0715723139601"/>
    <n v="559.61316539999996"/>
  </r>
  <r>
    <x v="20"/>
    <s v="ETF - GLDM"/>
    <x v="2"/>
    <x v="11"/>
    <x v="6"/>
    <x v="4"/>
    <x v="0"/>
    <n v="1"/>
    <n v="5804.9111485860803"/>
    <n v="1083.5314048953001"/>
  </r>
  <r>
    <x v="20"/>
    <s v="ETF - VOO"/>
    <x v="4"/>
    <x v="11"/>
    <x v="6"/>
    <x v="4"/>
    <x v="0"/>
    <n v="1"/>
    <n v="5896.2072320415"/>
    <n v="1100.5725224999999"/>
  </r>
  <r>
    <x v="20"/>
    <s v="LCA BOCOM"/>
    <x v="0"/>
    <x v="11"/>
    <x v="6"/>
    <x v="4"/>
    <x v="2"/>
    <n v="1"/>
    <n v="4873.03"/>
    <n v="909.58860641355875"/>
  </r>
  <r>
    <x v="20"/>
    <s v="Porquinho"/>
    <x v="0"/>
    <x v="11"/>
    <x v="6"/>
    <x v="4"/>
    <x v="2"/>
    <n v="1"/>
    <n v="6798.4"/>
    <n v="1268.9737559263822"/>
  </r>
  <r>
    <x v="20"/>
    <s v="Previdência Privada"/>
    <x v="3"/>
    <x v="11"/>
    <x v="6"/>
    <x v="4"/>
    <x v="2"/>
    <n v="1"/>
    <n v="4425.32"/>
    <n v="826.0200843692835"/>
  </r>
  <r>
    <x v="20"/>
    <s v="Solana"/>
    <x v="1"/>
    <x v="11"/>
    <x v="6"/>
    <x v="4"/>
    <x v="0"/>
    <n v="1"/>
    <n v="6372.7435999999998"/>
    <n v="1189.5217082913352"/>
  </r>
  <r>
    <x v="20"/>
    <s v="Tesouro IPCA Renda+ 2065"/>
    <x v="3"/>
    <x v="11"/>
    <x v="6"/>
    <x v="4"/>
    <x v="2"/>
    <n v="1"/>
    <n v="9560.19"/>
    <n v="1784.4831448090492"/>
  </r>
  <r>
    <x v="20"/>
    <s v="Time Deposit"/>
    <x v="0"/>
    <x v="11"/>
    <x v="6"/>
    <x v="4"/>
    <x v="0"/>
    <n v="1"/>
    <n v="4869.7694520000005"/>
    <n v="908.98"/>
  </r>
  <r>
    <x v="20"/>
    <s v="USDC"/>
    <x v="0"/>
    <x v="11"/>
    <x v="6"/>
    <x v="4"/>
    <x v="0"/>
    <n v="1"/>
    <n v="8916.6958379999996"/>
    <n v="1664.37"/>
  </r>
  <r>
    <x v="20"/>
    <s v="USDT"/>
    <x v="0"/>
    <x v="11"/>
    <x v="6"/>
    <x v="4"/>
    <x v="0"/>
    <n v="1"/>
    <n v="547.94415720000006"/>
    <n v="102.27800000000001"/>
  </r>
  <r>
    <x v="21"/>
    <s v="Bitcoin 01"/>
    <x v="1"/>
    <x v="11"/>
    <x v="6"/>
    <x v="4"/>
    <x v="1"/>
    <n v="1"/>
    <n v="156966.38524412"/>
    <n v="29255.299743564319"/>
  </r>
  <r>
    <x v="21"/>
    <s v="Bitcoin 02"/>
    <x v="3"/>
    <x v="11"/>
    <x v="6"/>
    <x v="4"/>
    <x v="1"/>
    <n v="1"/>
    <n v="4435.9028480699999"/>
    <n v="826.7608841968912"/>
  </r>
  <r>
    <x v="21"/>
    <s v="ETF - ARGT"/>
    <x v="4"/>
    <x v="11"/>
    <x v="6"/>
    <x v="4"/>
    <x v="0"/>
    <n v="1"/>
    <n v="3073.5160214392804"/>
    <n v="572.84005320000006"/>
  </r>
  <r>
    <x v="21"/>
    <s v="ETF - GLDM"/>
    <x v="2"/>
    <x v="11"/>
    <x v="6"/>
    <x v="4"/>
    <x v="0"/>
    <n v="1"/>
    <n v="5816.5572865712156"/>
    <n v="1084.0864216221"/>
  </r>
  <r>
    <x v="21"/>
    <s v="ETF - VOO"/>
    <x v="4"/>
    <x v="11"/>
    <x v="6"/>
    <x v="4"/>
    <x v="0"/>
    <n v="1"/>
    <n v="5836.1457040546002"/>
    <n v="1087.7372989999999"/>
  </r>
  <r>
    <x v="21"/>
    <s v="LCD BNDES LIQUIDEZ"/>
    <x v="0"/>
    <x v="11"/>
    <x v="6"/>
    <x v="4"/>
    <x v="2"/>
    <n v="1"/>
    <n v="11274.25"/>
    <n v="2101.2878816118091"/>
  </r>
  <r>
    <x v="21"/>
    <s v="Porquinho"/>
    <x v="0"/>
    <x v="11"/>
    <x v="6"/>
    <x v="4"/>
    <x v="2"/>
    <n v="1"/>
    <n v="10525.71"/>
    <n v="1961.7754501062361"/>
  </r>
  <r>
    <x v="21"/>
    <s v="Previdência Privada"/>
    <x v="3"/>
    <x v="11"/>
    <x v="6"/>
    <x v="4"/>
    <x v="2"/>
    <n v="1"/>
    <n v="4566.67"/>
    <n v="851.13318671487684"/>
  </r>
  <r>
    <x v="21"/>
    <s v="Solana"/>
    <x v="1"/>
    <x v="11"/>
    <x v="6"/>
    <x v="4"/>
    <x v="0"/>
    <n v="1"/>
    <n v="5326.4948000000004"/>
    <n v="992.74887240466694"/>
  </r>
  <r>
    <x v="21"/>
    <s v="Tesouro IPCA Renda+ 2065"/>
    <x v="3"/>
    <x v="11"/>
    <x v="6"/>
    <x v="4"/>
    <x v="2"/>
    <n v="1"/>
    <n v="9879.6200000000008"/>
    <n v="1841.3575875051256"/>
  </r>
  <r>
    <x v="21"/>
    <s v="Time Deposit"/>
    <x v="0"/>
    <x v="11"/>
    <x v="6"/>
    <x v="4"/>
    <x v="0"/>
    <n v="1"/>
    <n v="4877.0412919999999"/>
    <n v="908.9799999999999"/>
  </r>
  <r>
    <x v="21"/>
    <s v="USDC"/>
    <x v="0"/>
    <x v="11"/>
    <x v="6"/>
    <x v="4"/>
    <x v="0"/>
    <n v="1"/>
    <n v="8930.0107979999993"/>
    <n v="1664.37"/>
  </r>
  <r>
    <x v="21"/>
    <s v="USDT"/>
    <x v="0"/>
    <x v="11"/>
    <x v="6"/>
    <x v="4"/>
    <x v="0"/>
    <n v="1"/>
    <n v="548.76238120000005"/>
    <n v="102.27800000000001"/>
  </r>
  <r>
    <x v="22"/>
    <s v="Bitcoin 01"/>
    <x v="1"/>
    <x v="11"/>
    <x v="6"/>
    <x v="4"/>
    <x v="1"/>
    <n v="1"/>
    <n v="134672.82172459998"/>
    <n v="25225.77064165433"/>
  </r>
  <r>
    <x v="22"/>
    <s v="Bitcoin 02"/>
    <x v="3"/>
    <x v="11"/>
    <x v="6"/>
    <x v="4"/>
    <x v="1"/>
    <n v="1"/>
    <n v="5786.9796207000009"/>
    <n v="1083.9679361455037"/>
  </r>
  <r>
    <x v="22"/>
    <s v="ETF - ARGT"/>
    <x v="4"/>
    <x v="11"/>
    <x v="6"/>
    <x v="4"/>
    <x v="0"/>
    <n v="1"/>
    <n v="3074.1663759312601"/>
    <n v="575.82676979999997"/>
  </r>
  <r>
    <x v="22"/>
    <s v="ETF - GLDM"/>
    <x v="2"/>
    <x v="11"/>
    <x v="6"/>
    <x v="4"/>
    <x v="0"/>
    <n v="1"/>
    <n v="6218.7385439218269"/>
    <n v="1164.8413553715"/>
  </r>
  <r>
    <x v="22"/>
    <s v="ETF - VOO"/>
    <x v="4"/>
    <x v="11"/>
    <x v="6"/>
    <x v="4"/>
    <x v="0"/>
    <n v="1"/>
    <n v="5871.1153240504273"/>
    <n v="1099.7275224399998"/>
  </r>
  <r>
    <x v="22"/>
    <s v="LCD BNDES LIQUIDEZ"/>
    <x v="0"/>
    <x v="11"/>
    <x v="6"/>
    <x v="4"/>
    <x v="2"/>
    <n v="1"/>
    <n v="11392.44"/>
    <n v="2133.9352276771497"/>
  </r>
  <r>
    <x v="22"/>
    <s v="Porquinho"/>
    <x v="0"/>
    <x v="11"/>
    <x v="6"/>
    <x v="4"/>
    <x v="2"/>
    <n v="1"/>
    <n v="5341.55"/>
    <n v="1000.5338378256879"/>
  </r>
  <r>
    <x v="22"/>
    <s v="Previdência Privada"/>
    <x v="3"/>
    <x v="11"/>
    <x v="6"/>
    <x v="4"/>
    <x v="2"/>
    <n v="1"/>
    <n v="11997.619999999999"/>
    <n v="2247.2924120104144"/>
  </r>
  <r>
    <x v="22"/>
    <s v="Solana"/>
    <x v="1"/>
    <x v="11"/>
    <x v="6"/>
    <x v="4"/>
    <x v="0"/>
    <n v="1"/>
    <n v="4364.3834499999994"/>
    <n v="817.49928821623223"/>
  </r>
  <r>
    <x v="22"/>
    <s v="Tesouro IPCA Renda+ 2065"/>
    <x v="3"/>
    <x v="11"/>
    <x v="6"/>
    <x v="4"/>
    <x v="2"/>
    <n v="1"/>
    <n v="11106.13"/>
    <n v="2080.3060670200607"/>
  </r>
  <r>
    <x v="22"/>
    <s v="Time Deposit"/>
    <x v="0"/>
    <x v="11"/>
    <x v="6"/>
    <x v="4"/>
    <x v="0"/>
    <n v="1"/>
    <n v="4868.0935950000003"/>
    <n v="911.85"/>
  </r>
  <r>
    <x v="22"/>
    <s v="USDC"/>
    <x v="0"/>
    <x v="11"/>
    <x v="6"/>
    <x v="4"/>
    <x v="0"/>
    <n v="1"/>
    <n v="8965.0119750000013"/>
    <n v="1679.2500000000002"/>
  </r>
  <r>
    <x v="22"/>
    <s v="USDT"/>
    <x v="0"/>
    <x v="11"/>
    <x v="6"/>
    <x v="4"/>
    <x v="0"/>
    <n v="1"/>
    <n v="552.28851500000007"/>
    <n v="103.45"/>
  </r>
  <r>
    <x v="23"/>
    <s v="USDC"/>
    <x v="0"/>
    <x v="11"/>
    <x v="6"/>
    <x v="4"/>
    <x v="0"/>
    <n v="1"/>
    <n v="8780.4238720000012"/>
    <n v="1683.88"/>
  </r>
  <r>
    <x v="23"/>
    <s v="Bitcoin 02"/>
    <x v="1"/>
    <x v="11"/>
    <x v="6"/>
    <x v="4"/>
    <x v="1"/>
    <n v="1"/>
    <n v="5603.7565734"/>
    <n v="1074.6694870742558"/>
  </r>
  <r>
    <x v="23"/>
    <s v="Solana"/>
    <x v="1"/>
    <x v="11"/>
    <x v="6"/>
    <x v="4"/>
    <x v="0"/>
    <n v="1"/>
    <n v="3981.2260700000002"/>
    <n v="763.50607356551086"/>
  </r>
  <r>
    <x v="23"/>
    <s v="USDT"/>
    <x v="0"/>
    <x v="11"/>
    <x v="6"/>
    <x v="4"/>
    <x v="0"/>
    <n v="1"/>
    <n v="545.582672"/>
    <n v="104.63"/>
  </r>
  <r>
    <x v="23"/>
    <s v="ETF - ARGT"/>
    <x v="4"/>
    <x v="11"/>
    <x v="6"/>
    <x v="4"/>
    <x v="0"/>
    <n v="1"/>
    <n v="3235.5644632128001"/>
    <n v="620.50561199999993"/>
  </r>
  <r>
    <x v="23"/>
    <s v="ETF - GLDM"/>
    <x v="2"/>
    <x v="11"/>
    <x v="6"/>
    <x v="4"/>
    <x v="0"/>
    <n v="1"/>
    <n v="7580.3169975767405"/>
    <n v="1453.7275616708998"/>
  </r>
  <r>
    <x v="23"/>
    <s v="ETF - VOO"/>
    <x v="4"/>
    <x v="11"/>
    <x v="6"/>
    <x v="4"/>
    <x v="0"/>
    <n v="1"/>
    <n v="5804.6636141439994"/>
    <n v="1113.1987599999998"/>
  </r>
  <r>
    <x v="23"/>
    <s v="LCD BNDES LIQUIDEZ"/>
    <x v="0"/>
    <x v="11"/>
    <x v="6"/>
    <x v="4"/>
    <x v="2"/>
    <n v="1"/>
    <n v="11500.96"/>
    <n v="2205.6152193924513"/>
  </r>
  <r>
    <x v="23"/>
    <s v="Porquinho"/>
    <x v="0"/>
    <x v="11"/>
    <x v="6"/>
    <x v="4"/>
    <x v="2"/>
    <n v="1"/>
    <n v="5757.57"/>
    <n v="1104.1673059220618"/>
  </r>
  <r>
    <x v="23"/>
    <s v="Previdência - RV - 54%"/>
    <x v="4"/>
    <x v="11"/>
    <x v="6"/>
    <x v="4"/>
    <x v="2"/>
    <n v="1"/>
    <n v="6478.7148000000007"/>
    <n v="1242.4660171831852"/>
  </r>
  <r>
    <x v="23"/>
    <s v="Previdência Privada - RF - 46%"/>
    <x v="3"/>
    <x v="11"/>
    <x v="6"/>
    <x v="4"/>
    <x v="2"/>
    <n v="1"/>
    <n v="5518.9052000000011"/>
    <n v="1058.396977600491"/>
  </r>
  <r>
    <x v="23"/>
    <s v="Tesouro IPCA Renda+ 2065"/>
    <x v="3"/>
    <x v="11"/>
    <x v="6"/>
    <x v="4"/>
    <x v="2"/>
    <n v="1"/>
    <n v="12995.59"/>
    <n v="2492.2503068425895"/>
  </r>
  <r>
    <x v="23"/>
    <s v="Time Deposit"/>
    <x v="0"/>
    <x v="11"/>
    <x v="6"/>
    <x v="4"/>
    <x v="0"/>
    <n v="1"/>
    <n v="7737.7524480000011"/>
    <n v="1483.92"/>
  </r>
  <r>
    <x v="23"/>
    <s v="Bitcoin 01"/>
    <x v="1"/>
    <x v="11"/>
    <x v="6"/>
    <x v="4"/>
    <x v="1"/>
    <n v="1"/>
    <n v="130408.9109452"/>
    <n v="25009.379975682721"/>
  </r>
  <r>
    <x v="24"/>
    <s v="USDC"/>
    <x v="0"/>
    <x v="11"/>
    <x v="6"/>
    <x v="4"/>
    <x v="0"/>
    <n v="1"/>
    <n v="8809.6184400000002"/>
    <n v="1687.02"/>
  </r>
  <r>
    <x v="24"/>
    <s v="LCD BNDES LIQUIDEZ"/>
    <x v="0"/>
    <x v="11"/>
    <x v="6"/>
    <x v="4"/>
    <x v="2"/>
    <n v="1"/>
    <n v="11605.01"/>
    <n v="2222.3305247031785"/>
  </r>
  <r>
    <x v="24"/>
    <s v="Porquinho"/>
    <x v="0"/>
    <x v="11"/>
    <x v="6"/>
    <x v="4"/>
    <x v="2"/>
    <n v="1"/>
    <n v="8651.25"/>
    <n v="1656.692837993106"/>
  </r>
  <r>
    <x v="24"/>
    <s v="Bitcoin 02"/>
    <x v="1"/>
    <x v="11"/>
    <x v="6"/>
    <x v="4"/>
    <x v="1"/>
    <n v="1"/>
    <n v="7489.0527293999994"/>
    <n v="1434.1349539256987"/>
  </r>
  <r>
    <x v="24"/>
    <s v="Solana"/>
    <x v="1"/>
    <x v="11"/>
    <x v="6"/>
    <x v="4"/>
    <x v="0"/>
    <n v="1"/>
    <n v="2646.8500899999999"/>
    <n v="506.8652029873611"/>
  </r>
  <r>
    <x v="24"/>
    <s v="Bitcoin 01"/>
    <x v="1"/>
    <x v="11"/>
    <x v="6"/>
    <x v="4"/>
    <x v="1"/>
    <n v="1"/>
    <n v="98945.634810799995"/>
    <n v="18947.842744312522"/>
  </r>
  <r>
    <x v="24"/>
    <s v="Previdência Privada - RF - 46%"/>
    <x v="3"/>
    <x v="11"/>
    <x v="6"/>
    <x v="4"/>
    <x v="2"/>
    <n v="1"/>
    <n v="6110.1707999999999"/>
    <n v="1170.0824971275372"/>
  </r>
  <r>
    <x v="24"/>
    <s v="Tesouro IPCA Renda+ 2065"/>
    <x v="3"/>
    <x v="11"/>
    <x v="6"/>
    <x v="4"/>
    <x v="2"/>
    <n v="1"/>
    <n v="12704"/>
    <n v="2432.7843738031402"/>
  </r>
  <r>
    <x v="24"/>
    <s v="Time Deposit"/>
    <x v="3"/>
    <x v="11"/>
    <x v="6"/>
    <x v="4"/>
    <x v="0"/>
    <n v="1"/>
    <n v="2962.7539200000001"/>
    <n v="567.36"/>
  </r>
  <r>
    <x v="24"/>
    <s v="ETF - ARGT"/>
    <x v="4"/>
    <x v="11"/>
    <x v="6"/>
    <x v="4"/>
    <x v="0"/>
    <n v="1"/>
    <n v="2933.7587012916001"/>
    <n v="561.80748779999999"/>
  </r>
  <r>
    <x v="24"/>
    <s v="ETF - VOO"/>
    <x v="4"/>
    <x v="11"/>
    <x v="6"/>
    <x v="4"/>
    <x v="0"/>
    <n v="1"/>
    <n v="5756.8297490409996"/>
    <n v="1102.4185654999999"/>
  </r>
  <r>
    <x v="24"/>
    <s v="Previdência - RV - 54%"/>
    <x v="4"/>
    <x v="11"/>
    <x v="6"/>
    <x v="4"/>
    <x v="2"/>
    <n v="1"/>
    <n v="7172.8092000000006"/>
    <n v="1373.5751053236309"/>
  </r>
  <r>
    <x v="24"/>
    <s v="ETF - SIVR"/>
    <x v="4"/>
    <x v="11"/>
    <x v="6"/>
    <x v="4"/>
    <x v="0"/>
    <n v="1"/>
    <n v="1233.5008138922001"/>
    <n v="236.21233509999999"/>
  </r>
  <r>
    <x v="24"/>
    <s v="ETF - GLDM"/>
    <x v="2"/>
    <x v="11"/>
    <x v="6"/>
    <x v="4"/>
    <x v="0"/>
    <n v="1"/>
    <n v="7168.9384886692351"/>
    <n v="1372.8338737397999"/>
  </r>
  <r>
    <x v="24"/>
    <s v="ETF - IAUM"/>
    <x v="2"/>
    <x v="11"/>
    <x v="6"/>
    <x v="4"/>
    <x v="0"/>
    <n v="1"/>
    <n v="3764.5157787999997"/>
    <n v="720.89539999999988"/>
  </r>
  <r>
    <x v="25"/>
    <s v="USDC"/>
    <x v="0"/>
    <x v="11"/>
    <x v="6"/>
    <x v="4"/>
    <x v="0"/>
    <n v="1"/>
    <n v="8770.1081719999984"/>
    <n v="1690.3299999999997"/>
  </r>
  <r>
    <x v="25"/>
    <s v="LCD BNDES LIQUIDEZ"/>
    <x v="0"/>
    <x v="11"/>
    <x v="6"/>
    <x v="4"/>
    <x v="2"/>
    <n v="1"/>
    <n v="11743.35"/>
    <n v="2263.3856294811503"/>
  </r>
  <r>
    <x v="25"/>
    <s v="Porquinho"/>
    <x v="0"/>
    <x v="11"/>
    <x v="6"/>
    <x v="4"/>
    <x v="2"/>
    <n v="1"/>
    <n v="9347.15"/>
    <n v="1801.547683293501"/>
  </r>
  <r>
    <x v="25"/>
    <s v="Bitcoin 02"/>
    <x v="1"/>
    <x v="11"/>
    <x v="6"/>
    <x v="4"/>
    <x v="1"/>
    <n v="1"/>
    <n v="2243.0241864"/>
    <n v="432.31520052424639"/>
  </r>
  <r>
    <x v="25"/>
    <s v="Solana"/>
    <x v="1"/>
    <x v="11"/>
    <x v="6"/>
    <x v="4"/>
    <x v="0"/>
    <n v="1"/>
    <n v="2742.4218799999999"/>
    <n v="528.56793616529183"/>
  </r>
  <r>
    <x v="25"/>
    <s v="Bitcoin 01"/>
    <x v="1"/>
    <x v="11"/>
    <x v="6"/>
    <x v="4"/>
    <x v="1"/>
    <n v="1"/>
    <n v="110351.78461089999"/>
    <n v="21268.943144495413"/>
  </r>
  <r>
    <x v="25"/>
    <s v="Previdência Privada - RF - 46%"/>
    <x v="3"/>
    <x v="11"/>
    <x v="6"/>
    <x v="4"/>
    <x v="2"/>
    <n v="1"/>
    <n v="7929.8618000000015"/>
    <n v="1528.3828926065844"/>
  </r>
  <r>
    <x v="25"/>
    <s v="Tesouro IPCA Renda+ 2065"/>
    <x v="3"/>
    <x v="11"/>
    <x v="6"/>
    <x v="4"/>
    <x v="2"/>
    <n v="1"/>
    <n v="13211.9"/>
    <n v="2546.4304988050267"/>
  </r>
  <r>
    <x v="25"/>
    <s v="Time Deposit"/>
    <x v="3"/>
    <x v="11"/>
    <x v="6"/>
    <x v="4"/>
    <x v="0"/>
    <n v="1"/>
    <n v="2952.043948"/>
    <n v="568.97"/>
  </r>
  <r>
    <x v="25"/>
    <s v="ETF - ARGT"/>
    <x v="4"/>
    <x v="11"/>
    <x v="6"/>
    <x v="4"/>
    <x v="0"/>
    <n v="1"/>
    <n v="2813.3655205017603"/>
    <n v="542.24144640000009"/>
  </r>
  <r>
    <x v="25"/>
    <s v="ETF - VOO"/>
    <x v="4"/>
    <x v="11"/>
    <x v="6"/>
    <x v="4"/>
    <x v="0"/>
    <n v="1"/>
    <n v="5624.5505417094"/>
    <n v="1084.0626285000001"/>
  </r>
  <r>
    <x v="25"/>
    <s v="Previdência - RV - 54%"/>
    <x v="4"/>
    <x v="11"/>
    <x v="6"/>
    <x v="4"/>
    <x v="2"/>
    <n v="1"/>
    <n v="9308.9682000000012"/>
    <n v="1794.1886130599032"/>
  </r>
  <r>
    <x v="25"/>
    <s v="ETF - SIVR"/>
    <x v="4"/>
    <x v="11"/>
    <x v="6"/>
    <x v="4"/>
    <x v="0"/>
    <n v="1"/>
    <n v="1347.9714121400796"/>
    <n v="259.80483619999995"/>
  </r>
  <r>
    <x v="25"/>
    <s v="ETF - GLDM"/>
    <x v="2"/>
    <x v="11"/>
    <x v="6"/>
    <x v="4"/>
    <x v="0"/>
    <n v="1"/>
    <n v="7384.8593099765267"/>
    <n v="1423.3403958785998"/>
  </r>
  <r>
    <x v="25"/>
    <s v="ETF - IAUM"/>
    <x v="2"/>
    <x v="11"/>
    <x v="6"/>
    <x v="4"/>
    <x v="0"/>
    <n v="1"/>
    <n v="3879.9353286400001"/>
    <n v="747.80960000000005"/>
  </r>
  <r>
    <x v="26"/>
    <s v="USDC"/>
    <x v="0"/>
    <x v="11"/>
    <x v="6"/>
    <x v="4"/>
    <x v="0"/>
    <n v="1"/>
    <n v="8413.3262159999995"/>
    <n v="1692.72"/>
  </r>
  <r>
    <x v="26"/>
    <s v="Bitcoin 02"/>
    <x v="1"/>
    <x v="11"/>
    <x v="6"/>
    <x v="4"/>
    <x v="1"/>
    <n v="1"/>
    <n v="2284.0879233599999"/>
    <n v="459.547295607911"/>
  </r>
  <r>
    <x v="26"/>
    <s v="Solana"/>
    <x v="1"/>
    <x v="11"/>
    <x v="6"/>
    <x v="4"/>
    <x v="0"/>
    <n v="1"/>
    <n v="2642.1500640000004"/>
    <n v="531.58764340180687"/>
  </r>
  <r>
    <x v="26"/>
    <s v="Time Deposit"/>
    <x v="3"/>
    <x v="11"/>
    <x v="6"/>
    <x v="4"/>
    <x v="0"/>
    <n v="1"/>
    <n v="1605.3074940000001"/>
    <n v="322.98"/>
  </r>
  <r>
    <x v="26"/>
    <s v="Tesouro IPCA Renda+ 2065"/>
    <x v="3"/>
    <x v="11"/>
    <x v="6"/>
    <x v="4"/>
    <x v="2"/>
    <n v="1"/>
    <n v="14088.77"/>
    <n v="2834.5914733517093"/>
  </r>
  <r>
    <x v="26"/>
    <s v="Previdência - RV - 54%"/>
    <x v="4"/>
    <x v="11"/>
    <x v="6"/>
    <x v="4"/>
    <x v="2"/>
    <n v="1"/>
    <n v="11077.641000000001"/>
    <n v="2228.7670764340182"/>
  </r>
  <r>
    <x v="26"/>
    <s v="Previdência - RF - 46%"/>
    <x v="3"/>
    <x v="11"/>
    <x v="6"/>
    <x v="4"/>
    <x v="2"/>
    <n v="1"/>
    <n v="9436.5090000000018"/>
    <n v="1898.5793614067566"/>
  </r>
  <r>
    <x v="26"/>
    <s v="Porquinho"/>
    <x v="0"/>
    <x v="11"/>
    <x v="6"/>
    <x v="4"/>
    <x v="2"/>
    <n v="1"/>
    <n v="2842.03"/>
    <n v="571.80250689093214"/>
  </r>
  <r>
    <x v="26"/>
    <s v="LCI BRB"/>
    <x v="3"/>
    <x v="11"/>
    <x v="6"/>
    <x v="4"/>
    <x v="2"/>
    <n v="1"/>
    <n v="9594.66"/>
    <n v="1930.3985674908959"/>
  </r>
  <r>
    <x v="26"/>
    <s v="LCD BNDES LIQUIDEZ"/>
    <x v="0"/>
    <x v="11"/>
    <x v="6"/>
    <x v="4"/>
    <x v="2"/>
    <n v="1"/>
    <n v="11870.58"/>
    <n v="2388.3025169506873"/>
  </r>
  <r>
    <x v="26"/>
    <s v="ETF - VOO"/>
    <x v="4"/>
    <x v="11"/>
    <x v="6"/>
    <x v="4"/>
    <x v="0"/>
    <n v="1"/>
    <n v="5487.4876605117497"/>
    <n v="1104.0556225"/>
  </r>
  <r>
    <x v="26"/>
    <s v="ETF - SIVR"/>
    <x v="4"/>
    <x v="11"/>
    <x v="6"/>
    <x v="4"/>
    <x v="0"/>
    <n v="1"/>
    <n v="1178.1717537397499"/>
    <n v="237.04238249999997"/>
  </r>
  <r>
    <x v="26"/>
    <s v="ETF - IAUM"/>
    <x v="2"/>
    <x v="11"/>
    <x v="6"/>
    <x v="4"/>
    <x v="0"/>
    <n v="1"/>
    <n v="3433.4723053399998"/>
    <n v="690.79779999999994"/>
  </r>
  <r>
    <x v="26"/>
    <s v="ETF - XLE"/>
    <x v="4"/>
    <x v="11"/>
    <x v="6"/>
    <x v="4"/>
    <x v="0"/>
    <n v="1"/>
    <n v="1252.0133194984999"/>
    <n v="251.89894362483147"/>
  </r>
  <r>
    <x v="26"/>
    <s v="ETF - GLDM"/>
    <x v="2"/>
    <x v="11"/>
    <x v="6"/>
    <x v="4"/>
    <x v="0"/>
    <n v="1"/>
    <n v="6537.1914902879707"/>
    <n v="1315.2508883342998"/>
  </r>
  <r>
    <x v="26"/>
    <s v="ETF - ARGT"/>
    <x v="4"/>
    <x v="11"/>
    <x v="6"/>
    <x v="4"/>
    <x v="0"/>
    <n v="1"/>
    <n v="2901.7191195435603"/>
    <n v="583.81166520000011"/>
  </r>
  <r>
    <x v="26"/>
    <s v="Bitcoin 01"/>
    <x v="1"/>
    <x v="11"/>
    <x v="6"/>
    <x v="4"/>
    <x v="1"/>
    <n v="1"/>
    <n v="112372.02883466"/>
    <n v="22608.701453566184"/>
  </r>
  <r>
    <x v="27"/>
    <s v="USDC"/>
    <x v="0"/>
    <x v="11"/>
    <x v="6"/>
    <x v="4"/>
    <x v="0"/>
    <n v="1"/>
    <n v="8366.4353699999992"/>
    <n v="1697.7"/>
  </r>
  <r>
    <x v="27"/>
    <s v="Bitcoin 02"/>
    <x v="1"/>
    <x v="11"/>
    <x v="6"/>
    <x v="4"/>
    <x v="1"/>
    <n v="1"/>
    <n v="2453.7720297599999"/>
    <n v="497.9144152431972"/>
  </r>
  <r>
    <x v="27"/>
    <s v="Solana"/>
    <x v="1"/>
    <x v="11"/>
    <x v="6"/>
    <x v="4"/>
    <x v="0"/>
    <n v="1"/>
    <n v="2587.5329220000003"/>
    <n v="525.05690266025454"/>
  </r>
  <r>
    <x v="27"/>
    <s v="Time Deposit"/>
    <x v="3"/>
    <x v="11"/>
    <x v="6"/>
    <x v="4"/>
    <x v="0"/>
    <n v="1"/>
    <n v="1594.0925070000001"/>
    <n v="323.47000000000003"/>
  </r>
  <r>
    <x v="27"/>
    <s v="Tesouro IPCA Renda+ 2065"/>
    <x v="3"/>
    <x v="11"/>
    <x v="6"/>
    <x v="4"/>
    <x v="2"/>
    <n v="1"/>
    <n v="12860.49"/>
    <n v="2609.6243988555429"/>
  </r>
  <r>
    <x v="27"/>
    <s v="Previdência - RV - 54%"/>
    <x v="4"/>
    <x v="11"/>
    <x v="6"/>
    <x v="4"/>
    <x v="2"/>
    <n v="1"/>
    <n v="11035.2726"/>
    <n v="2239.2550070006696"/>
  </r>
  <r>
    <x v="27"/>
    <s v="Previdência - RF - 46%"/>
    <x v="3"/>
    <x v="11"/>
    <x v="6"/>
    <x v="4"/>
    <x v="2"/>
    <n v="1"/>
    <n v="9400.4174000000003"/>
    <n v="1907.5135244820522"/>
  </r>
  <r>
    <x v="27"/>
    <s v="Porquinho"/>
    <x v="0"/>
    <x v="11"/>
    <x v="6"/>
    <x v="4"/>
    <x v="2"/>
    <n v="1"/>
    <n v="8555.89"/>
    <n v="1736.1437470830542"/>
  </r>
  <r>
    <x v="27"/>
    <s v="LCI BRB"/>
    <x v="3"/>
    <x v="11"/>
    <x v="6"/>
    <x v="4"/>
    <x v="2"/>
    <n v="1"/>
    <n v="9651.92"/>
    <n v="1958.5479190763176"/>
  </r>
  <r>
    <x v="27"/>
    <s v="LCD BNDES LIQUIDEZ"/>
    <x v="0"/>
    <x v="11"/>
    <x v="6"/>
    <x v="4"/>
    <x v="2"/>
    <n v="1"/>
    <n v="11942.62"/>
    <n v="2423.372090663745"/>
  </r>
  <r>
    <x v="27"/>
    <s v="ETF - VOO"/>
    <x v="4"/>
    <x v="11"/>
    <x v="6"/>
    <x v="4"/>
    <x v="0"/>
    <n v="1"/>
    <n v="5718.9705680242496"/>
    <n v="1160.4818425000001"/>
  </r>
  <r>
    <x v="27"/>
    <s v="ETF - SIVR"/>
    <x v="4"/>
    <x v="11"/>
    <x v="6"/>
    <x v="4"/>
    <x v="0"/>
    <n v="1"/>
    <n v="1089.03202805418"/>
    <n v="220.98415780000002"/>
  </r>
  <r>
    <x v="27"/>
    <s v="ETF - IAUM"/>
    <x v="2"/>
    <x v="11"/>
    <x v="6"/>
    <x v="4"/>
    <x v="0"/>
    <n v="1"/>
    <n v="3238.1692538700004"/>
    <n v="657.08270000000016"/>
  </r>
  <r>
    <x v="27"/>
    <s v="ETF - XLE"/>
    <x v="4"/>
    <x v="11"/>
    <x v="6"/>
    <x v="4"/>
    <x v="0"/>
    <n v="1"/>
    <n v="1315.2782340677627"/>
    <n v="266.8935764428"/>
  </r>
  <r>
    <x v="27"/>
    <s v="ETF - GLDM"/>
    <x v="2"/>
    <x v="11"/>
    <x v="6"/>
    <x v="4"/>
    <x v="0"/>
    <n v="1"/>
    <n v="6164.4072627644664"/>
    <n v="1250.8689480255"/>
  </r>
  <r>
    <x v="27"/>
    <s v="Dolar Inter"/>
    <x v="0"/>
    <x v="11"/>
    <x v="6"/>
    <x v="4"/>
    <x v="0"/>
    <n v="1"/>
    <n v="2811.1360829999994"/>
    <n v="570.42999999999995"/>
  </r>
  <r>
    <x v="27"/>
    <s v="Bitcoin 01"/>
    <x v="1"/>
    <x v="11"/>
    <x v="6"/>
    <x v="4"/>
    <x v="1"/>
    <n v="1"/>
    <n v="120720.10821556"/>
    <n v="24496.278122513748"/>
  </r>
  <r>
    <x v="28"/>
    <s v="USDC"/>
    <x v="0"/>
    <x v="11"/>
    <x v="6"/>
    <x v="4"/>
    <x v="0"/>
    <n v="1"/>
    <n v="8821.9476960000011"/>
    <n v="1702.2900000000002"/>
  </r>
  <r>
    <x v="28"/>
    <s v="Bitcoin 02"/>
    <x v="1"/>
    <x v="11"/>
    <x v="6"/>
    <x v="4"/>
    <x v="1"/>
    <n v="1"/>
    <n v="1944.65253312"/>
    <n v="375.24168978079655"/>
  </r>
  <r>
    <x v="28"/>
    <s v="Solana"/>
    <x v="1"/>
    <x v="11"/>
    <x v="6"/>
    <x v="4"/>
    <x v="0"/>
    <n v="1"/>
    <n v="2051.747312"/>
    <n v="395.90678295770294"/>
  </r>
  <r>
    <x v="28"/>
    <s v="Tesouro IPCA Renda+ 2065"/>
    <x v="3"/>
    <x v="11"/>
    <x v="6"/>
    <x v="4"/>
    <x v="2"/>
    <n v="1"/>
    <n v="11400.78"/>
    <n v="2199.9035196048162"/>
  </r>
  <r>
    <x v="28"/>
    <s v="Previdência - RV - 54%"/>
    <x v="4"/>
    <x v="11"/>
    <x v="6"/>
    <x v="4"/>
    <x v="2"/>
    <n v="1"/>
    <n v="11502.021600000002"/>
    <n v="2219.4391787588766"/>
  </r>
  <r>
    <x v="28"/>
    <s v="Previdência - RF - 46%"/>
    <x v="3"/>
    <x v="11"/>
    <x v="6"/>
    <x v="4"/>
    <x v="2"/>
    <n v="1"/>
    <n v="9798.0184000000008"/>
    <n v="1890.6333744983019"/>
  </r>
  <r>
    <x v="28"/>
    <s v="Porquinho"/>
    <x v="0"/>
    <x v="11"/>
    <x v="6"/>
    <x v="4"/>
    <x v="2"/>
    <n v="1"/>
    <n v="5202.4399999999996"/>
    <n v="1003.8669342389625"/>
  </r>
  <r>
    <x v="28"/>
    <s v="LCI BRB - Set/26"/>
    <x v="3"/>
    <x v="11"/>
    <x v="6"/>
    <x v="4"/>
    <x v="2"/>
    <n v="1"/>
    <n v="9776.3799999999992"/>
    <n v="1886.4580117320158"/>
  </r>
  <r>
    <x v="28"/>
    <s v="LCD BNDES LIQUIDEZ"/>
    <x v="0"/>
    <x v="11"/>
    <x v="6"/>
    <x v="4"/>
    <x v="2"/>
    <n v="1"/>
    <n v="12074.95"/>
    <n v="2329.9918956468046"/>
  </r>
  <r>
    <x v="28"/>
    <s v="ETF - VOO"/>
    <x v="4"/>
    <x v="11"/>
    <x v="6"/>
    <x v="4"/>
    <x v="0"/>
    <n v="1"/>
    <n v="9903.8481152639997"/>
    <n v="1911.0543599999999"/>
  </r>
  <r>
    <x v="28"/>
    <s v="ETF - SIVR"/>
    <x v="4"/>
    <x v="11"/>
    <x v="6"/>
    <x v="4"/>
    <x v="0"/>
    <n v="1"/>
    <n v="1045.6288431231999"/>
    <n v="201.76536799999997"/>
  </r>
  <r>
    <x v="28"/>
    <s v="ETF - IAUM"/>
    <x v="2"/>
    <x v="11"/>
    <x v="6"/>
    <x v="4"/>
    <x v="0"/>
    <n v="1"/>
    <n v="3221.5415308800002"/>
    <n v="621.63120000000004"/>
  </r>
  <r>
    <x v="28"/>
    <s v="ETF - XLE"/>
    <x v="4"/>
    <x v="11"/>
    <x v="6"/>
    <x v="4"/>
    <x v="0"/>
    <n v="1"/>
    <n v="1325.4794499997765"/>
    <n v="255.76556228769999"/>
  </r>
  <r>
    <x v="28"/>
    <s v="ETF - GLDM"/>
    <x v="2"/>
    <x v="11"/>
    <x v="6"/>
    <x v="4"/>
    <x v="0"/>
    <n v="1"/>
    <n v="6134.4686753661863"/>
    <n v="1183.7119240827003"/>
  </r>
  <r>
    <x v="28"/>
    <s v="Bitcoin 01"/>
    <x v="1"/>
    <x v="11"/>
    <x v="6"/>
    <x v="4"/>
    <x v="1"/>
    <n v="1"/>
    <n v="95672.565092720004"/>
    <n v="18461.05377676752"/>
  </r>
  <r>
    <x v="28"/>
    <s v="ETF - VXUS"/>
    <x v="4"/>
    <x v="11"/>
    <x v="6"/>
    <x v="4"/>
    <x v="0"/>
    <n v="1"/>
    <n v="1985.18848"/>
    <n v="383.06353812905218"/>
  </r>
  <r>
    <x v="28"/>
    <s v="LCI BRB - Jun/27"/>
    <x v="3"/>
    <x v="11"/>
    <x v="6"/>
    <x v="4"/>
    <x v="2"/>
    <n v="1"/>
    <n v="6000"/>
    <n v="1157.764742204384"/>
  </r>
  <r>
    <x v="29"/>
    <s v="USDC"/>
    <x v="0"/>
    <x v="0"/>
    <x v="0"/>
    <x v="0"/>
    <x v="0"/>
    <n v="1"/>
    <n v="8807.1311000000005"/>
    <n v="1704.7599999999998"/>
  </r>
  <r>
    <x v="29"/>
    <s v="Bitcoin 02"/>
    <x v="1"/>
    <x v="1"/>
    <x v="1"/>
    <x v="1"/>
    <x v="1"/>
    <n v="1"/>
    <n v="1957.8315"/>
    <n v="378.96936344702107"/>
  </r>
  <r>
    <x v="29"/>
    <s v="Solana"/>
    <x v="1"/>
    <x v="2"/>
    <x v="1"/>
    <x v="2"/>
    <x v="0"/>
    <n v="1"/>
    <n v="2435.1669999999999"/>
    <n v="471.36521621307742"/>
  </r>
  <r>
    <x v="29"/>
    <s v="Time Deposit"/>
    <x v="0"/>
    <x v="3"/>
    <x v="2"/>
    <x v="0"/>
    <x v="0"/>
    <n v="1"/>
    <n v="1331.1748"/>
    <n v="257.67"/>
  </r>
  <r>
    <x v="29"/>
    <s v="Flexible Account"/>
    <x v="0"/>
    <x v="4"/>
    <x v="0"/>
    <x v="0"/>
    <x v="0"/>
    <n v="1"/>
    <n v="2991.2815000000001"/>
    <n v="579.01"/>
  </r>
  <r>
    <x v="29"/>
    <s v="ETF - GLDM"/>
    <x v="2"/>
    <x v="5"/>
    <x v="1"/>
    <x v="3"/>
    <x v="0"/>
    <n v="1"/>
    <n v="5764.7618000000002"/>
    <n v="1115.8611292313999"/>
  </r>
  <r>
    <x v="29"/>
    <s v="ETF - GPCA11"/>
    <x v="3"/>
    <x v="6"/>
    <x v="2"/>
    <x v="0"/>
    <x v="2"/>
    <n v="0.6"/>
    <n v="3002.076"/>
    <n v="581.09945414424533"/>
  </r>
  <r>
    <x v="29"/>
    <s v="Tesouro IPCA+ 2032"/>
    <x v="3"/>
    <x v="6"/>
    <x v="3"/>
    <x v="0"/>
    <x v="2"/>
    <n v="1"/>
    <n v="2986.86"/>
    <n v="578.15415585923893"/>
  </r>
  <r>
    <x v="29"/>
    <s v="ETF - GPCA11"/>
    <x v="3"/>
    <x v="6"/>
    <x v="3"/>
    <x v="0"/>
    <x v="2"/>
    <n v="0.4"/>
    <n v="2001.384"/>
    <n v="387.39963609616353"/>
  </r>
  <r>
    <x v="29"/>
    <s v="ETF - IAUM"/>
    <x v="2"/>
    <x v="5"/>
    <x v="1"/>
    <x v="3"/>
    <x v="0"/>
    <n v="1"/>
    <n v="4695.6773000000003"/>
    <n v="908.92286999999999"/>
  </r>
  <r>
    <x v="29"/>
    <s v="ETF - SIVR"/>
    <x v="4"/>
    <x v="5"/>
    <x v="1"/>
    <x v="2"/>
    <x v="0"/>
    <n v="1"/>
    <n v="908.1069"/>
    <n v="175.77849939999999"/>
  </r>
  <r>
    <x v="29"/>
    <s v="ETF - VOO"/>
    <x v="4"/>
    <x v="7"/>
    <x v="1"/>
    <x v="0"/>
    <x v="0"/>
    <n v="1"/>
    <n v="9918.2626"/>
    <n v="1919.8371400000001"/>
  </r>
  <r>
    <x v="29"/>
    <s v="ETF - VXUS"/>
    <x v="4"/>
    <x v="8"/>
    <x v="1"/>
    <x v="0"/>
    <x v="0"/>
    <n v="1"/>
    <n v="2005.84"/>
    <n v="388.26215999999999"/>
  </r>
  <r>
    <x v="29"/>
    <s v="ETF - XLE"/>
    <x v="4"/>
    <x v="7"/>
    <x v="1"/>
    <x v="2"/>
    <x v="0"/>
    <n v="1"/>
    <n v="1273.7744"/>
    <n v="246.55925338830002"/>
  </r>
  <r>
    <x v="29"/>
    <s v="LCD BNDES LIQUIDEZ"/>
    <x v="0"/>
    <x v="3"/>
    <x v="4"/>
    <x v="0"/>
    <x v="2"/>
    <n v="1"/>
    <n v="12174.15"/>
    <n v="2356.4999419302389"/>
  </r>
  <r>
    <x v="29"/>
    <s v="LCI BRB - Jun/27"/>
    <x v="3"/>
    <x v="3"/>
    <x v="2"/>
    <x v="0"/>
    <x v="2"/>
    <n v="1"/>
    <n v="6054.12"/>
    <n v="1171.8710077039216"/>
  </r>
  <r>
    <x v="29"/>
    <s v="LCI BRB - Set/26"/>
    <x v="3"/>
    <x v="3"/>
    <x v="3"/>
    <x v="0"/>
    <x v="2"/>
    <n v="1"/>
    <n v="9869.83"/>
    <n v="1910.4622352986721"/>
  </r>
  <r>
    <x v="29"/>
    <s v="Porquinho"/>
    <x v="0"/>
    <x v="3"/>
    <x v="0"/>
    <x v="0"/>
    <x v="2"/>
    <n v="1"/>
    <n v="7100"/>
    <n v="1374.3176803066083"/>
  </r>
  <r>
    <x v="29"/>
    <s v="Previdência - Grão FIM"/>
    <x v="3"/>
    <x v="3"/>
    <x v="2"/>
    <x v="0"/>
    <x v="2"/>
    <n v="0.16"/>
    <n v="3762.9920000000002"/>
    <n v="728.38682203553878"/>
  </r>
  <r>
    <x v="29"/>
    <s v="Previdência - Grão FIM"/>
    <x v="3"/>
    <x v="3"/>
    <x v="5"/>
    <x v="0"/>
    <x v="2"/>
    <n v="0.2"/>
    <n v="4703.74"/>
    <n v="910.48352754442351"/>
  </r>
  <r>
    <x v="29"/>
    <s v="Bitcoin 01"/>
    <x v="1"/>
    <x v="1"/>
    <x v="1"/>
    <x v="1"/>
    <x v="1"/>
    <n v="1"/>
    <n v="96320.9421"/>
    <n v="18644.44700275638"/>
  </r>
  <r>
    <x v="29"/>
    <s v="Previdência - Grão FIM"/>
    <x v="3"/>
    <x v="3"/>
    <x v="3"/>
    <x v="0"/>
    <x v="2"/>
    <n v="0.09"/>
    <n v="2116.683"/>
    <n v="409.71758739499052"/>
  </r>
  <r>
    <x v="29"/>
    <s v="Previdência - Grão FIM"/>
    <x v="4"/>
    <x v="7"/>
    <x v="1"/>
    <x v="0"/>
    <x v="2"/>
    <n v="0.19"/>
    <n v="4468.5529999999999"/>
    <n v="864.95935116720216"/>
  </r>
  <r>
    <x v="29"/>
    <s v="Previdência - Grão FIM"/>
    <x v="4"/>
    <x v="9"/>
    <x v="1"/>
    <x v="0"/>
    <x v="2"/>
    <n v="0.28000000000000003"/>
    <n v="6585.2359999999999"/>
    <n v="1274.6769385621928"/>
  </r>
  <r>
    <x v="29"/>
    <s v="Previdência - Grão FIM"/>
    <x v="4"/>
    <x v="10"/>
    <x v="1"/>
    <x v="0"/>
    <x v="2"/>
    <n v="0.08"/>
    <n v="1881.4960000000001"/>
    <n v="364.19341101776939"/>
  </r>
  <r>
    <x v="29"/>
    <s v="Tesouro IPCA Renda+ 2065"/>
    <x v="3"/>
    <x v="6"/>
    <x v="5"/>
    <x v="0"/>
    <x v="2"/>
    <n v="1"/>
    <n v="11955.66"/>
    <n v="2314.20773489218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_CompraVenda" cacheId="11" applyNumberFormats="0" applyBorderFormats="0" applyFontFormats="0" applyPatternFormats="0" applyAlignmentFormats="0" applyWidthHeightFormats="1" dataCaption="Values" updatedVersion="8" minRefreshableVersion="3" showDrill="0" rowGrandTotals="0" colGrandTotals="0" itemPrintTitles="1" createdVersion="8" indent="0" showHeaders="0" outline="1" outlineData="1" multipleFieldFilters="0" rowHeaderCaption="Classe">
  <location ref="N13:S19" firstHeaderRow="0" firstDataRow="1" firstDataCol="1"/>
  <pivotFields count="9">
    <pivotField axis="axisRow" subtotalTop="0" showAll="0" defaultSubtotal="0">
      <items count="28">
        <item x="7"/>
        <item x="6"/>
        <item x="1"/>
        <item x="10"/>
        <item x="4"/>
        <item x="8"/>
        <item x="3"/>
        <item x="2"/>
        <item x="0"/>
        <item x="9"/>
        <item x="5"/>
        <item m="1" x="27"/>
        <item x="11"/>
        <item x="16"/>
        <item x="18"/>
        <item x="17"/>
        <item x="14"/>
        <item x="19"/>
        <item x="15"/>
        <item x="26"/>
        <item x="24"/>
        <item x="25"/>
        <item x="22"/>
        <item x="23"/>
        <item x="13"/>
        <item x="12"/>
        <item x="20"/>
        <item x="21"/>
      </items>
    </pivotField>
    <pivotField subtotalTop="0" showAll="0" defaultSubtotal="0">
      <items count="7">
        <item h="1" x="0"/>
        <item h="1" m="1" x="4"/>
        <item h="1" m="1" x="5"/>
        <item h="1" x="1"/>
        <item h="1" x="2"/>
        <item h="1" m="1" x="6"/>
        <item x="3"/>
      </items>
    </pivotField>
    <pivotField subtotalTop="0" showAll="0" defaultSubtotal="0">
      <items count="12">
        <item h="1" m="1" x="6"/>
        <item h="1" m="1" x="11"/>
        <item h="1" m="1" x="9"/>
        <item h="1" x="0"/>
        <item h="1" x="3"/>
        <item h="1" x="4"/>
        <item h="1" m="1" x="7"/>
        <item h="1" m="1" x="10"/>
        <item h="1" x="1"/>
        <item x="5"/>
        <item h="1" m="1" x="8"/>
        <item h="1" x="2"/>
      </items>
    </pivotField>
    <pivotField dataField="1" numFmtId="9" showAll="0" defaultSubtotal="0"/>
    <pivotField dataField="1" numFmtId="44" subtotalTop="0" showAll="0" defaultSubtotal="0"/>
    <pivotField dataField="1" numFmtId="9" showAll="0" defaultSubtotal="0"/>
    <pivotField dataField="1" numFmtId="44" subtotalTop="0" showAll="0" defaultSubtotal="0"/>
    <pivotField dataField="1" numFmtId="44" subtotalTop="0" showAll="0" defaultSubtotal="0"/>
    <pivotField axis="axisRow" subtotalTop="0" showAll="0" defaultSubtotal="0">
      <items count="4">
        <item x="0"/>
        <item x="1"/>
        <item m="1" x="3"/>
        <item m="1" x="2"/>
      </items>
    </pivotField>
  </pivotFields>
  <rowFields count="2">
    <field x="8"/>
    <field x="0"/>
  </rowFields>
  <rowItems count="6">
    <i>
      <x/>
    </i>
    <i r="1">
      <x v="19"/>
    </i>
    <i r="1">
      <x v="20"/>
    </i>
    <i r="1">
      <x v="21"/>
    </i>
    <i r="1">
      <x v="22"/>
    </i>
    <i r="1">
      <x v="23"/>
    </i>
  </rowItems>
  <colFields count="1">
    <field x="-2"/>
  </colFields>
  <colItems count="5">
    <i>
      <x/>
    </i>
    <i i="1">
      <x v="1"/>
    </i>
    <i i="2">
      <x v="2"/>
    </i>
    <i i="3">
      <x v="3"/>
    </i>
    <i i="4">
      <x v="4"/>
    </i>
  </colItems>
  <dataFields count="5">
    <dataField name="% Atual" fld="3" baseField="0" baseItem="0" numFmtId="9"/>
    <dataField name="% Ideal" fld="5" baseField="0" baseItem="0" numFmtId="9"/>
    <dataField name="R$ Atual" fld="4" baseField="0" baseItem="0" numFmtId="44"/>
    <dataField name="R$ Ideal" fld="6" baseField="0" baseItem="0" numFmtId="44"/>
    <dataField name="Diferença" fld="7" baseField="0" baseItem="0" numFmtId="44"/>
  </dataFields>
  <formats count="12">
    <format dxfId="470">
      <pivotArea type="all" dataOnly="0" outline="0" fieldPosition="0"/>
    </format>
    <format dxfId="469">
      <pivotArea outline="0" collapsedLevelsAreSubtotals="1" fieldPosition="0"/>
    </format>
    <format dxfId="468">
      <pivotArea field="0" type="button" dataOnly="0" labelOnly="1" outline="0" axis="axisRow" fieldPosition="1"/>
    </format>
    <format dxfId="467">
      <pivotArea type="all" dataOnly="0" outline="0" fieldPosition="0"/>
    </format>
    <format dxfId="466">
      <pivotArea outline="0" collapsedLevelsAreSubtotals="1" fieldPosition="0"/>
    </format>
    <format dxfId="465">
      <pivotArea field="0" type="button" dataOnly="0" labelOnly="1" outline="0" axis="axisRow" fieldPosition="1"/>
    </format>
    <format dxfId="464">
      <pivotArea dataOnly="0" labelOnly="1" fieldPosition="0">
        <references count="1">
          <reference field="8" count="1">
            <x v="0"/>
          </reference>
        </references>
      </pivotArea>
    </format>
    <format dxfId="463">
      <pivotArea dataOnly="0" labelOnly="1" fieldPosition="0">
        <references count="1">
          <reference field="8" count="1">
            <x v="1"/>
          </reference>
        </references>
      </pivotArea>
    </format>
    <format dxfId="462">
      <pivotArea dataOnly="0" labelOnly="1" fieldPosition="0">
        <references count="2">
          <reference field="0" count="4">
            <x v="2"/>
            <x v="6"/>
            <x v="7"/>
            <x v="8"/>
          </reference>
          <reference field="8" count="1" selected="0">
            <x v="0"/>
          </reference>
        </references>
      </pivotArea>
    </format>
    <format dxfId="461">
      <pivotArea dataOnly="0" labelOnly="1" fieldPosition="0">
        <references count="1">
          <reference field="8" count="1">
            <x v="1"/>
          </reference>
        </references>
      </pivotArea>
    </format>
    <format dxfId="460">
      <pivotArea dataOnly="0" labelOnly="1" fieldPosition="0">
        <references count="2">
          <reference field="0" count="3">
            <x v="2"/>
            <x v="4"/>
            <x v="8"/>
          </reference>
          <reference field="8" count="1" selected="0">
            <x v="1"/>
          </reference>
        </references>
      </pivotArea>
    </format>
    <format dxfId="459">
      <pivotArea dataOnly="0" labelOnly="1" fieldPosition="0">
        <references count="2">
          <reference field="0" count="3">
            <x v="2"/>
            <x v="4"/>
            <x v="8"/>
          </reference>
          <reference field="8" count="1" selected="0">
            <x v="1"/>
          </reference>
        </references>
      </pivotArea>
    </format>
  </formats>
  <conditionalFormats count="1">
    <conditionalFormat priority="1">
      <pivotAreas count="1">
        <pivotArea type="data" outline="0" collapsedLevelsAreSubtotals="1" fieldPosition="0">
          <references count="1">
            <reference field="4294967294" count="1" selected="0">
              <x v="4"/>
            </reference>
          </references>
        </pivotArea>
      </pivotAreas>
    </conditionalFormat>
  </conditionalFormats>
  <pivotTableStyleInfo name="PivotStyleMedium2" showRowHeaders="1" showColHeaders="1" showRowStripes="1"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Mês Base">
  <location ref="B68:C80" firstHeaderRow="1" firstDataRow="1" firstDataCol="1"/>
  <pivotFields count="13">
    <pivotField axis="axisRow" numFmtId="17" showAll="0" sortType="ascending">
      <items count="31">
        <item h="1" x="1"/>
        <item h="1" x="2"/>
        <item h="1" x="3"/>
        <item h="1" x="4"/>
        <item h="1" x="5"/>
        <item h="1" x="6"/>
        <item h="1" x="7"/>
        <item h="1" x="8"/>
        <item h="1" x="9"/>
        <item h="1" x="10"/>
        <item h="1" x="11"/>
        <item h="1" x="12"/>
        <item h="1" x="13"/>
        <item h="1" x="14"/>
        <item h="1" x="15"/>
        <item h="1" x="16"/>
        <item h="1" x="17"/>
        <item x="18"/>
        <item x="19"/>
        <item x="20"/>
        <item x="21"/>
        <item x="22"/>
        <item x="23"/>
        <item x="24"/>
        <item x="25"/>
        <item x="26"/>
        <item x="27"/>
        <item x="28"/>
        <item x="0"/>
        <item h="1" x="29"/>
        <item t="default"/>
      </items>
    </pivotField>
    <pivotField showAll="0"/>
    <pivotField showAll="0"/>
    <pivotField showAll="0"/>
    <pivotField showAll="0"/>
    <pivotField showAll="0"/>
    <pivotField showAll="0"/>
    <pivotField numFmtId="9" showAll="0"/>
    <pivotField dataField="1" numFmtId="44" showAll="0"/>
    <pivotField numFmtId="44"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0"/>
  </rowFields>
  <rowItems count="12">
    <i>
      <x v="17"/>
    </i>
    <i>
      <x v="18"/>
    </i>
    <i>
      <x v="19"/>
    </i>
    <i>
      <x v="20"/>
    </i>
    <i>
      <x v="21"/>
    </i>
    <i>
      <x v="22"/>
    </i>
    <i>
      <x v="23"/>
    </i>
    <i>
      <x v="24"/>
    </i>
    <i>
      <x v="25"/>
    </i>
    <i>
      <x v="26"/>
    </i>
    <i>
      <x v="27"/>
    </i>
    <i>
      <x v="28"/>
    </i>
  </rowItems>
  <colItems count="1">
    <i/>
  </colItems>
  <dataFields count="1">
    <dataField name="Sum of Total (R$)" fld="8" baseField="0" baseItem="0" numFmtId="44"/>
  </dataFields>
  <chartFormats count="29">
    <chartFormat chart="2" format="3"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8"/>
          </reference>
        </references>
      </pivotArea>
    </chartFormat>
    <chartFormat chart="2" format="9">
      <pivotArea type="data" outline="0" fieldPosition="0">
        <references count="2">
          <reference field="4294967294" count="1" selected="0">
            <x v="0"/>
          </reference>
          <reference field="0" count="1" selected="0">
            <x v="9"/>
          </reference>
        </references>
      </pivotArea>
    </chartFormat>
    <chartFormat chart="2" format="10">
      <pivotArea type="data" outline="0" fieldPosition="0">
        <references count="2">
          <reference field="4294967294" count="1" selected="0">
            <x v="0"/>
          </reference>
          <reference field="0" count="1" selected="0">
            <x v="10"/>
          </reference>
        </references>
      </pivotArea>
    </chartFormat>
    <chartFormat chart="2" format="11">
      <pivotArea type="data" outline="0" fieldPosition="0">
        <references count="2">
          <reference field="4294967294" count="1" selected="0">
            <x v="0"/>
          </reference>
          <reference field="0" count="1" selected="0">
            <x v="11"/>
          </reference>
        </references>
      </pivotArea>
    </chartFormat>
    <chartFormat chart="2" format="12">
      <pivotArea type="data" outline="0" fieldPosition="0">
        <references count="2">
          <reference field="4294967294" count="1" selected="0">
            <x v="0"/>
          </reference>
          <reference field="0" count="1" selected="0">
            <x v="7"/>
          </reference>
        </references>
      </pivotArea>
    </chartFormat>
    <chartFormat chart="2" format="13">
      <pivotArea type="data" outline="0" fieldPosition="0">
        <references count="2">
          <reference field="4294967294" count="1" selected="0">
            <x v="0"/>
          </reference>
          <reference field="0" count="1" selected="0">
            <x v="12"/>
          </reference>
        </references>
      </pivotArea>
    </chartFormat>
    <chartFormat chart="2" format="14">
      <pivotArea type="data" outline="0" fieldPosition="0">
        <references count="2">
          <reference field="4294967294" count="1" selected="0">
            <x v="0"/>
          </reference>
          <reference field="0" count="1" selected="0">
            <x v="13"/>
          </reference>
        </references>
      </pivotArea>
    </chartFormat>
    <chartFormat chart="2" format="15">
      <pivotArea type="data" outline="0" fieldPosition="0">
        <references count="2">
          <reference field="4294967294" count="1" selected="0">
            <x v="0"/>
          </reference>
          <reference field="0" count="1" selected="0">
            <x v="14"/>
          </reference>
        </references>
      </pivotArea>
    </chartFormat>
    <chartFormat chart="2" format="16">
      <pivotArea type="data" outline="0" fieldPosition="0">
        <references count="2">
          <reference field="4294967294" count="1" selected="0">
            <x v="0"/>
          </reference>
          <reference field="0" count="1" selected="0">
            <x v="15"/>
          </reference>
        </references>
      </pivotArea>
    </chartFormat>
    <chartFormat chart="2" format="17">
      <pivotArea type="data" outline="0" fieldPosition="0">
        <references count="2">
          <reference field="4294967294" count="1" selected="0">
            <x v="0"/>
          </reference>
          <reference field="0" count="1" selected="0">
            <x v="16"/>
          </reference>
        </references>
      </pivotArea>
    </chartFormat>
    <chartFormat chart="2" format="18">
      <pivotArea type="data" outline="0" fieldPosition="0">
        <references count="2">
          <reference field="4294967294" count="1" selected="0">
            <x v="0"/>
          </reference>
          <reference field="0" count="1" selected="0">
            <x v="17"/>
          </reference>
        </references>
      </pivotArea>
    </chartFormat>
    <chartFormat chart="2" format="19">
      <pivotArea type="data" outline="0" fieldPosition="0">
        <references count="2">
          <reference field="4294967294" count="1" selected="0">
            <x v="0"/>
          </reference>
          <reference field="0" count="1" selected="0">
            <x v="18"/>
          </reference>
        </references>
      </pivotArea>
    </chartFormat>
    <chartFormat chart="2" format="20">
      <pivotArea type="data" outline="0" fieldPosition="0">
        <references count="2">
          <reference field="4294967294" count="1" selected="0">
            <x v="0"/>
          </reference>
          <reference field="0" count="1" selected="0">
            <x v="19"/>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4"/>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2"/>
          </reference>
        </references>
      </pivotArea>
    </chartFormat>
    <chartFormat chart="2" format="25">
      <pivotArea type="data" outline="0" fieldPosition="0">
        <references count="2">
          <reference field="4294967294" count="1" selected="0">
            <x v="0"/>
          </reference>
          <reference field="0" count="1" selected="0">
            <x v="1"/>
          </reference>
        </references>
      </pivotArea>
    </chartFormat>
    <chartFormat chart="2" format="26">
      <pivotArea type="data" outline="0" fieldPosition="0">
        <references count="2">
          <reference field="4294967294" count="1" selected="0">
            <x v="0"/>
          </reference>
          <reference field="0" count="1" selected="0">
            <x v="0"/>
          </reference>
        </references>
      </pivotArea>
    </chartFormat>
    <chartFormat chart="2" format="27">
      <pivotArea type="data" outline="0" fieldPosition="0">
        <references count="2">
          <reference field="4294967294" count="1" selected="0">
            <x v="0"/>
          </reference>
          <reference field="0" count="1" selected="0">
            <x v="5"/>
          </reference>
        </references>
      </pivotArea>
    </chartFormat>
    <chartFormat chart="2" format="28">
      <pivotArea type="data" outline="0" fieldPosition="0">
        <references count="2">
          <reference field="4294967294" count="1" selected="0">
            <x v="0"/>
          </reference>
          <reference field="0" count="1" selected="0">
            <x v="20"/>
          </reference>
        </references>
      </pivotArea>
    </chartFormat>
    <chartFormat chart="2" format="29">
      <pivotArea type="data" outline="0" fieldPosition="0">
        <references count="2">
          <reference field="4294967294" count="1" selected="0">
            <x v="0"/>
          </reference>
          <reference field="0" count="1" selected="0">
            <x v="21"/>
          </reference>
        </references>
      </pivotArea>
    </chartFormat>
    <chartFormat chart="2" format="30">
      <pivotArea type="data" outline="0" fieldPosition="0">
        <references count="2">
          <reference field="4294967294" count="1" selected="0">
            <x v="0"/>
          </reference>
          <reference field="0" count="1" selected="0">
            <x v="22"/>
          </reference>
        </references>
      </pivotArea>
    </chartFormat>
    <chartFormat chart="2" format="31">
      <pivotArea type="data" outline="0" fieldPosition="0">
        <references count="2">
          <reference field="4294967294" count="1" selected="0">
            <x v="0"/>
          </reference>
          <reference field="0" count="1" selected="0">
            <x v="23"/>
          </reference>
        </references>
      </pivotArea>
    </chartFormat>
    <chartFormat chart="2" format="32">
      <pivotArea type="data" outline="0" fieldPosition="0">
        <references count="2">
          <reference field="4294967294" count="1" selected="0">
            <x v="0"/>
          </reference>
          <reference field="0" count="1" selected="0">
            <x v="24"/>
          </reference>
        </references>
      </pivotArea>
    </chartFormat>
    <chartFormat chart="2" format="33">
      <pivotArea type="data" outline="0" fieldPosition="0">
        <references count="2">
          <reference field="4294967294" count="1" selected="0">
            <x v="0"/>
          </reference>
          <reference field="0" count="1" selected="0">
            <x v="25"/>
          </reference>
        </references>
      </pivotArea>
    </chartFormat>
    <chartFormat chart="2" format="34">
      <pivotArea type="data" outline="0" fieldPosition="0">
        <references count="2">
          <reference field="4294967294" count="1" selected="0">
            <x v="0"/>
          </reference>
          <reference field="0" count="1" selected="0">
            <x v="26"/>
          </reference>
        </references>
      </pivotArea>
    </chartFormat>
    <chartFormat chart="2" format="35">
      <pivotArea type="data" outline="0" fieldPosition="0">
        <references count="2">
          <reference field="4294967294" count="1" selected="0">
            <x v="0"/>
          </reference>
          <reference field="0" count="1" selected="0">
            <x v="27"/>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_ClasseAtivosX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09" rowHeaderCaption="Tipo">
  <location ref="B14:G19" firstHeaderRow="1" firstDataRow="2" firstDataCol="1"/>
  <pivotFields count="13">
    <pivotField name="Data Ativos" numFmtId="17" subtotalTop="0" multipleItemSelectionAllowed="1" showAll="0" defaultSubtotal="0">
      <items count="30">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 h="1" x="29"/>
      </items>
    </pivotField>
    <pivotField showAll="0"/>
    <pivotField axis="axisCol" subtotalTop="0" showAll="0" defaultSubtotal="0">
      <items count="5">
        <item x="0"/>
        <item x="1"/>
        <item x="3"/>
        <item x="4"/>
        <item x="2"/>
      </items>
    </pivotField>
    <pivotField subtotalTop="0" showAll="0" defaultSubtotal="0"/>
    <pivotField subtotalTop="0" showAll="0" defaultSubtotal="0"/>
    <pivotField subtotalTop="0" showAll="0" defaultSubtotal="0"/>
    <pivotField axis="axisRow" showAll="0">
      <items count="4">
        <item x="2"/>
        <item x="1"/>
        <item x="0"/>
        <item t="default"/>
      </items>
    </pivotField>
    <pivotField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6"/>
  </rowFields>
  <rowItems count="4">
    <i>
      <x/>
    </i>
    <i>
      <x v="1"/>
    </i>
    <i>
      <x v="2"/>
    </i>
    <i t="grand">
      <x/>
    </i>
  </rowItems>
  <colFields count="1">
    <field x="2"/>
  </colFields>
  <colItems count="5">
    <i>
      <x/>
    </i>
    <i>
      <x v="1"/>
    </i>
    <i>
      <x v="2"/>
    </i>
    <i>
      <x v="3"/>
    </i>
    <i>
      <x v="4"/>
    </i>
  </colItems>
  <dataFields count="1">
    <dataField name="Porcentage" fld="8" showDataAs="percentOfTotal" baseField="0" baseItem="0" numFmtId="10"/>
  </dataFields>
  <formats count="26">
    <format dxfId="316">
      <pivotArea type="all" dataOnly="0" outline="0" fieldPosition="0"/>
    </format>
    <format dxfId="315">
      <pivotArea type="all" dataOnly="0" outline="0" fieldPosition="0"/>
    </format>
    <format dxfId="314">
      <pivotArea type="all" dataOnly="0" outline="0" fieldPosition="0"/>
    </format>
    <format dxfId="313">
      <pivotArea type="all" dataOnly="0" outline="0" fieldPosition="0"/>
    </format>
    <format dxfId="312">
      <pivotArea type="all" dataOnly="0" outline="0" fieldPosition="0"/>
    </format>
    <format dxfId="311">
      <pivotArea type="all" dataOnly="0" outline="0" fieldPosition="0"/>
    </format>
    <format dxfId="310">
      <pivotArea type="all" dataOnly="0" outline="0" fieldPosition="0"/>
    </format>
    <format dxfId="309">
      <pivotArea type="origin" dataOnly="0" labelOnly="1" outline="0" fieldPosition="0"/>
    </format>
    <format dxfId="308">
      <pivotArea field="-2" type="button" dataOnly="0" labelOnly="1" outline="0" axis="axisValues" fieldPosition="0"/>
    </format>
    <format dxfId="307">
      <pivotArea type="topRight" dataOnly="0" labelOnly="1" outline="0" fieldPosition="0"/>
    </format>
    <format dxfId="306">
      <pivotArea dataOnly="0" labelOnly="1" outline="0" fieldPosition="0">
        <references count="1">
          <reference field="4294967294" count="1">
            <x v="0"/>
          </reference>
        </references>
      </pivotArea>
    </format>
    <format dxfId="305">
      <pivotArea outline="0" collapsedLevelsAreSubtotals="1" fieldPosition="0">
        <references count="1">
          <reference field="4294967294" count="1" selected="0">
            <x v="0"/>
          </reference>
        </references>
      </pivotArea>
    </format>
    <format dxfId="304">
      <pivotArea outline="0" collapsedLevelsAreSubtotals="1" fieldPosition="0">
        <references count="1">
          <reference field="4294967294" count="1" selected="0">
            <x v="0"/>
          </reference>
        </references>
      </pivotArea>
    </format>
    <format dxfId="303">
      <pivotArea type="all" dataOnly="0" outline="0" fieldPosition="0"/>
    </format>
    <format dxfId="302">
      <pivotArea type="origin" dataOnly="0" labelOnly="1" outline="0" fieldPosition="0"/>
    </format>
    <format dxfId="301">
      <pivotArea field="-2" type="button" dataOnly="0" labelOnly="1" outline="0" axis="axisValues" fieldPosition="0"/>
    </format>
    <format dxfId="300">
      <pivotArea type="topRight" dataOnly="0" labelOnly="1" outline="0" fieldPosition="0"/>
    </format>
    <format dxfId="299">
      <pivotArea dataOnly="0" labelOnly="1" outline="0" fieldPosition="0">
        <references count="1">
          <reference field="4294967294" count="1">
            <x v="0"/>
          </reference>
        </references>
      </pivotArea>
    </format>
    <format dxfId="298">
      <pivotArea type="all" dataOnly="0" outline="0" fieldPosition="0"/>
    </format>
    <format dxfId="297">
      <pivotArea type="origin" dataOnly="0" labelOnly="1" outline="0" fieldPosition="0"/>
    </format>
    <format dxfId="296">
      <pivotArea type="topRight" dataOnly="0" labelOnly="1" outline="0" fieldPosition="0"/>
    </format>
    <format dxfId="295">
      <pivotArea dataOnly="0" labelOnly="1" fieldPosition="0">
        <references count="1">
          <reference field="2" count="0"/>
        </references>
      </pivotArea>
    </format>
    <format dxfId="294">
      <pivotArea outline="0" collapsedLevelsAreSubtotals="1" fieldPosition="0"/>
    </format>
    <format dxfId="293">
      <pivotArea outline="0" collapsedLevelsAreSubtotals="1" fieldPosition="0"/>
    </format>
    <format dxfId="292">
      <pivotArea outline="0" fieldPosition="0">
        <references count="1">
          <reference field="4294967294" count="1">
            <x v="0"/>
          </reference>
        </references>
      </pivotArea>
    </format>
    <format dxfId="291">
      <pivotArea grandRow="1" outline="0" collapsedLevelsAreSubtotals="1" fieldPosition="0"/>
    </format>
  </formats>
  <chartFormats count="8">
    <chartFormat chart="27" format="48"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0"/>
          </reference>
        </references>
      </pivotArea>
    </chartFormat>
    <chartFormat chart="68" format="72" series="1">
      <pivotArea type="data" outline="0" fieldPosition="0">
        <references count="1">
          <reference field="4294967294" count="1" selected="0">
            <x v="0"/>
          </reference>
        </references>
      </pivotArea>
    </chartFormat>
    <chartFormat chart="203" format="3" series="1">
      <pivotArea type="data" outline="0" fieldPosition="0">
        <references count="2">
          <reference field="4294967294" count="1" selected="0">
            <x v="0"/>
          </reference>
          <reference field="2" count="1" selected="0">
            <x v="3"/>
          </reference>
        </references>
      </pivotArea>
    </chartFormat>
    <chartFormat chart="203" format="4" series="1">
      <pivotArea type="data" outline="0" fieldPosition="0">
        <references count="2">
          <reference field="4294967294" count="1" selected="0">
            <x v="0"/>
          </reference>
          <reference field="2" count="1" selected="0">
            <x v="4"/>
          </reference>
        </references>
      </pivotArea>
    </chartFormat>
    <chartFormat chart="203" format="5" series="1">
      <pivotArea type="data" outline="0" fieldPosition="0">
        <references count="2">
          <reference field="4294967294" count="1" selected="0">
            <x v="0"/>
          </reference>
          <reference field="2" count="1" selected="0">
            <x v="0"/>
          </reference>
        </references>
      </pivotArea>
    </chartFormat>
    <chartFormat chart="203" format="6" series="1">
      <pivotArea type="data" outline="0" fieldPosition="0">
        <references count="2">
          <reference field="4294967294" count="1" selected="0">
            <x v="0"/>
          </reference>
          <reference field="2" count="1" selected="0">
            <x v="1"/>
          </reference>
        </references>
      </pivotArea>
    </chartFormat>
    <chartFormat chart="203" format="7" series="1">
      <pivotArea type="data" outline="0" fieldPosition="0">
        <references count="2">
          <reference field="4294967294" count="1" selected="0">
            <x v="0"/>
          </reference>
          <reference field="2" count="1" selected="0">
            <x v="2"/>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_RendaVariavel"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06" rowHeaderCaption="Subclasse">
  <location ref="B48:C54" firstHeaderRow="1" firstDataRow="1" firstDataCol="1" rowPageCount="1" colPageCount="1"/>
  <pivotFields count="13">
    <pivotField numFmtId="17" multipleItemSelectionAllowed="1" showAll="0">
      <items count="31">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h="1" x="29"/>
        <item t="default"/>
      </items>
    </pivotField>
    <pivotField showAll="0"/>
    <pivotField axis="axisPage" multipleItemSelectionAllowed="1" showAll="0">
      <items count="6">
        <item h="1" x="0"/>
        <item h="1" x="1"/>
        <item h="1" x="3"/>
        <item x="4"/>
        <item h="1" x="2"/>
        <item t="default"/>
      </items>
    </pivotField>
    <pivotField axis="axisRow" showAll="0">
      <items count="15">
        <item x="7"/>
        <item x="8"/>
        <item x="9"/>
        <item x="2"/>
        <item x="1"/>
        <item x="5"/>
        <item m="1" x="12"/>
        <item x="10"/>
        <item x="6"/>
        <item x="3"/>
        <item x="0"/>
        <item m="1" x="13"/>
        <item x="11"/>
        <item x="4"/>
        <item t="default"/>
      </items>
    </pivotField>
    <pivotField showAll="0"/>
    <pivotField showAll="0"/>
    <pivotField showAll="0"/>
    <pivotField name="Porcentagem2"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6">
    <i>
      <x/>
    </i>
    <i>
      <x v="1"/>
    </i>
    <i>
      <x v="2"/>
    </i>
    <i>
      <x v="5"/>
    </i>
    <i>
      <x v="7"/>
    </i>
    <i t="grand">
      <x/>
    </i>
  </rowItems>
  <colItems count="1">
    <i/>
  </colItems>
  <pageFields count="1">
    <pageField fld="2" hier="-1"/>
  </pageFields>
  <dataFields count="1">
    <dataField name="Porcentagem" fld="8" showDataAs="percentOfTotal" baseField="0" baseItem="0" numFmtId="9"/>
  </dataFields>
  <formats count="13">
    <format dxfId="329">
      <pivotArea type="all" dataOnly="0" outline="0" fieldPosition="0"/>
    </format>
    <format dxfId="328">
      <pivotArea type="origin" dataOnly="0" labelOnly="1" outline="0" fieldPosition="0"/>
    </format>
    <format dxfId="327">
      <pivotArea type="topRight" dataOnly="0" labelOnly="1" outline="0" fieldPosition="0"/>
    </format>
    <format dxfId="326">
      <pivotArea dataOnly="0" labelOnly="1" grandCol="1" outline="0" fieldPosition="0"/>
    </format>
    <format dxfId="325">
      <pivotArea grandRow="1" outline="0" collapsedLevelsAreSubtotals="1" fieldPosition="0"/>
    </format>
    <format dxfId="324">
      <pivotArea outline="0" fieldPosition="0">
        <references count="1">
          <reference field="4294967294" count="1">
            <x v="0"/>
          </reference>
        </references>
      </pivotArea>
    </format>
    <format dxfId="323">
      <pivotArea type="all" dataOnly="0" outline="0" fieldPosition="0"/>
    </format>
    <format dxfId="322">
      <pivotArea dataOnly="0" labelOnly="1" fieldPosition="0">
        <references count="1">
          <reference field="3" count="5">
            <x v="0"/>
            <x v="1"/>
            <x v="2"/>
            <x v="5"/>
            <x v="7"/>
          </reference>
        </references>
      </pivotArea>
    </format>
    <format dxfId="321">
      <pivotArea dataOnly="0" labelOnly="1" grandRow="1" outline="0" fieldPosition="0"/>
    </format>
    <format dxfId="320">
      <pivotArea dataOnly="0" labelOnly="1" outline="0" axis="axisValues" fieldPosition="0"/>
    </format>
    <format dxfId="319">
      <pivotArea outline="0" collapsedLevelsAreSubtotals="1" fieldPosition="0"/>
    </format>
    <format dxfId="318">
      <pivotArea outline="0" collapsedLevelsAreSubtotals="1" fieldPosition="0"/>
    </format>
    <format dxfId="317">
      <pivotArea outline="0" collapsedLevelsAreSubtotals="1" fieldPosition="0"/>
    </format>
  </formats>
  <chartFormats count="24">
    <chartFormat chart="41" format="10"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89" format="3" series="1">
      <pivotArea type="data" outline="0" fieldPosition="0">
        <references count="2">
          <reference field="4294967294" count="1" selected="0">
            <x v="0"/>
          </reference>
          <reference field="3" count="1" selected="0">
            <x v="2"/>
          </reference>
        </references>
      </pivotArea>
    </chartFormat>
    <chartFormat chart="89" format="4" series="1">
      <pivotArea type="data" outline="0" fieldPosition="0">
        <references count="2">
          <reference field="4294967294" count="1" selected="0">
            <x v="0"/>
          </reference>
          <reference field="3" count="1" selected="0">
            <x v="0"/>
          </reference>
        </references>
      </pivotArea>
    </chartFormat>
    <chartFormat chart="89" format="5" series="1">
      <pivotArea type="data" outline="0" fieldPosition="0">
        <references count="2">
          <reference field="4294967294" count="1" selected="0">
            <x v="0"/>
          </reference>
          <reference field="3" count="1" selected="0">
            <x v="5"/>
          </reference>
        </references>
      </pivotArea>
    </chartFormat>
    <chartFormat chart="89" format="6" series="1">
      <pivotArea type="data" outline="0" fieldPosition="0">
        <references count="2">
          <reference field="4294967294" count="1" selected="0">
            <x v="0"/>
          </reference>
          <reference field="3" count="1" selected="0">
            <x v="6"/>
          </reference>
        </references>
      </pivotArea>
    </chartFormat>
    <chartFormat chart="89" format="7" series="1">
      <pivotArea type="data" outline="0" fieldPosition="0">
        <references count="2">
          <reference field="4294967294" count="1" selected="0">
            <x v="0"/>
          </reference>
          <reference field="3" count="1" selected="0">
            <x v="7"/>
          </reference>
        </references>
      </pivotArea>
    </chartFormat>
    <chartFormat chart="89" format="8" series="1">
      <pivotArea type="data" outline="0" fieldPosition="0">
        <references count="2">
          <reference field="4294967294" count="1" selected="0">
            <x v="0"/>
          </reference>
          <reference field="3" count="1" selected="0">
            <x v="1"/>
          </reference>
        </references>
      </pivotArea>
    </chartFormat>
    <chartFormat chart="95" format="0" series="1">
      <pivotArea type="data" outline="0" fieldPosition="0">
        <references count="2">
          <reference field="4294967294" count="1" selected="0">
            <x v="0"/>
          </reference>
          <reference field="3" count="1" selected="0">
            <x v="1"/>
          </reference>
        </references>
      </pivotArea>
    </chartFormat>
    <chartFormat chart="95" format="1" series="1">
      <pivotArea type="data" outline="0" fieldPosition="0">
        <references count="2">
          <reference field="4294967294" count="1" selected="0">
            <x v="0"/>
          </reference>
          <reference field="3" count="1" selected="0">
            <x v="2"/>
          </reference>
        </references>
      </pivotArea>
    </chartFormat>
    <chartFormat chart="95" format="2" series="1">
      <pivotArea type="data" outline="0" fieldPosition="0">
        <references count="2">
          <reference field="4294967294" count="1" selected="0">
            <x v="0"/>
          </reference>
          <reference field="3" count="1" selected="0">
            <x v="0"/>
          </reference>
        </references>
      </pivotArea>
    </chartFormat>
    <chartFormat chart="95" format="3" series="1">
      <pivotArea type="data" outline="0" fieldPosition="0">
        <references count="2">
          <reference field="4294967294" count="1" selected="0">
            <x v="0"/>
          </reference>
          <reference field="3" count="1" selected="0">
            <x v="5"/>
          </reference>
        </references>
      </pivotArea>
    </chartFormat>
    <chartFormat chart="95" format="4" series="1">
      <pivotArea type="data" outline="0" fieldPosition="0">
        <references count="2">
          <reference field="4294967294" count="1" selected="0">
            <x v="0"/>
          </reference>
          <reference field="3" count="1" selected="0">
            <x v="7"/>
          </reference>
        </references>
      </pivotArea>
    </chartFormat>
    <chartFormat chart="96" format="0" series="1">
      <pivotArea type="data" outline="0" fieldPosition="0">
        <references count="2">
          <reference field="4294967294" count="1" selected="0">
            <x v="0"/>
          </reference>
          <reference field="3" count="1" selected="0">
            <x v="1"/>
          </reference>
        </references>
      </pivotArea>
    </chartFormat>
    <chartFormat chart="96" format="1" series="1">
      <pivotArea type="data" outline="0" fieldPosition="0">
        <references count="2">
          <reference field="4294967294" count="1" selected="0">
            <x v="0"/>
          </reference>
          <reference field="3" count="1" selected="0">
            <x v="2"/>
          </reference>
        </references>
      </pivotArea>
    </chartFormat>
    <chartFormat chart="96" format="2" series="1">
      <pivotArea type="data" outline="0" fieldPosition="0">
        <references count="2">
          <reference field="4294967294" count="1" selected="0">
            <x v="0"/>
          </reference>
          <reference field="3" count="1" selected="0">
            <x v="0"/>
          </reference>
        </references>
      </pivotArea>
    </chartFormat>
    <chartFormat chart="96" format="3" series="1">
      <pivotArea type="data" outline="0" fieldPosition="0">
        <references count="2">
          <reference field="4294967294" count="1" selected="0">
            <x v="0"/>
          </reference>
          <reference field="3" count="1" selected="0">
            <x v="5"/>
          </reference>
        </references>
      </pivotArea>
    </chartFormat>
    <chartFormat chart="96" format="4" series="1">
      <pivotArea type="data" outline="0" fieldPosition="0">
        <references count="2">
          <reference field="4294967294" count="1" selected="0">
            <x v="0"/>
          </reference>
          <reference field="3" count="1" selected="0">
            <x v="7"/>
          </reference>
        </references>
      </pivotArea>
    </chartFormat>
    <chartFormat chart="204" format="19" series="1">
      <pivotArea type="data" outline="0" fieldPosition="0">
        <references count="1">
          <reference field="4294967294" count="1" selected="0">
            <x v="0"/>
          </reference>
        </references>
      </pivotArea>
    </chartFormat>
    <chartFormat chart="204" format="20">
      <pivotArea type="data" outline="0" fieldPosition="0">
        <references count="2">
          <reference field="4294967294" count="1" selected="0">
            <x v="0"/>
          </reference>
          <reference field="3" count="1" selected="0">
            <x v="0"/>
          </reference>
        </references>
      </pivotArea>
    </chartFormat>
    <chartFormat chart="204" format="21">
      <pivotArea type="data" outline="0" fieldPosition="0">
        <references count="2">
          <reference field="4294967294" count="1" selected="0">
            <x v="0"/>
          </reference>
          <reference field="3" count="1" selected="0">
            <x v="1"/>
          </reference>
        </references>
      </pivotArea>
    </chartFormat>
    <chartFormat chart="204" format="22">
      <pivotArea type="data" outline="0" fieldPosition="0">
        <references count="2">
          <reference field="4294967294" count="1" selected="0">
            <x v="0"/>
          </reference>
          <reference field="3" count="1" selected="0">
            <x v="2"/>
          </reference>
        </references>
      </pivotArea>
    </chartFormat>
    <chartFormat chart="204" format="23">
      <pivotArea type="data" outline="0" fieldPosition="0">
        <references count="2">
          <reference field="4294967294" count="1" selected="0">
            <x v="0"/>
          </reference>
          <reference field="3" count="1" selected="0">
            <x v="5"/>
          </reference>
        </references>
      </pivotArea>
    </chartFormat>
    <chartFormat chart="204" format="24">
      <pivotArea type="data" outline="0" fieldPosition="0">
        <references count="2">
          <reference field="4294967294" count="1" selected="0">
            <x v="0"/>
          </reference>
          <reference field="3" count="1" selected="0">
            <x v="7"/>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_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35" rowHeaderCaption="Tipo">
  <location ref="B22:D26" firstHeaderRow="0" firstDataRow="1" firstDataCol="1"/>
  <pivotFields count="13">
    <pivotField name="Data Moedas" numFmtId="17" subtotalTop="0" multipleItemSelectionAllowed="1" showAll="0" defaultSubtotal="0">
      <items count="30">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 h="1" x="29"/>
      </items>
    </pivotField>
    <pivotField showAll="0"/>
    <pivotField showAll="0"/>
    <pivotField showAll="0"/>
    <pivotField showAll="0"/>
    <pivotField showAll="0"/>
    <pivotField axis="axisRow" showAll="0">
      <items count="4">
        <item x="2"/>
        <item x="1"/>
        <item x="0"/>
        <item t="default"/>
      </items>
    </pivotField>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24">
    <format dxfId="353">
      <pivotArea type="all" dataOnly="0" outline="0" fieldPosition="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type="all" dataOnly="0" outline="0" fieldPosition="0"/>
    </format>
    <format dxfId="348">
      <pivotArea outline="0" collapsedLevelsAreSubtotals="1" fieldPosition="0"/>
    </format>
    <format dxfId="347">
      <pivotArea type="all" dataOnly="0" outline="0" fieldPosition="0"/>
    </format>
    <format dxfId="346">
      <pivotArea outline="0" collapsedLevelsAreSubtotals="1" fieldPosition="0"/>
    </format>
    <format dxfId="345">
      <pivotArea type="all" dataOnly="0" outline="0" fieldPosition="0"/>
    </format>
    <format dxfId="344">
      <pivotArea type="all" dataOnly="0" outline="0" fieldPosition="0"/>
    </format>
    <format dxfId="343">
      <pivotArea outline="0" fieldPosition="0">
        <references count="1">
          <reference field="4294967294" count="1">
            <x v="1"/>
          </reference>
        </references>
      </pivotArea>
    </format>
    <format dxfId="342">
      <pivotArea type="all" dataOnly="0" outline="0" fieldPosition="0"/>
    </format>
    <format dxfId="341">
      <pivotArea outline="0" collapsedLevelsAreSubtotals="1"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2" type="button" dataOnly="0" labelOnly="1" outline="0" axis="axisCol" fieldPosition="0"/>
    </format>
    <format dxfId="336">
      <pivotArea type="topRight" dataOnly="0" labelOnly="1" outline="0" fieldPosition="0"/>
    </format>
    <format dxfId="335">
      <pivotArea dataOnly="0" labelOnly="1" grandRow="1" outline="0" fieldPosition="0"/>
    </format>
    <format dxfId="334">
      <pivotArea dataOnly="0" labelOnly="1" outline="0" fieldPosition="0">
        <references count="1">
          <reference field="4294967294" count="2">
            <x v="0"/>
            <x v="1"/>
          </reference>
        </references>
      </pivotArea>
    </format>
    <format dxfId="333">
      <pivotArea outline="0" collapsedLevelsAreSubtotals="1" fieldPosition="0">
        <references count="1">
          <reference field="4294967294" count="1" selected="0">
            <x v="0"/>
          </reference>
        </references>
      </pivotArea>
    </format>
    <format dxfId="332">
      <pivotArea outline="0" collapsedLevelsAreSubtotals="1" fieldPosition="0">
        <references count="1">
          <reference field="4294967294" count="1" selected="0">
            <x v="1"/>
          </reference>
        </references>
      </pivotArea>
    </format>
    <format dxfId="331">
      <pivotArea outline="0" collapsedLevelsAreSubtotals="1" fieldPosition="0"/>
    </format>
    <format dxfId="330">
      <pivotArea outline="0" collapsedLevelsAreSubtotals="1" fieldPosition="0"/>
    </format>
  </formats>
  <chartFormats count="6">
    <chartFormat chart="21" format="13"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 chart="24" format="48" series="1">
      <pivotArea type="data" outline="0" fieldPosition="0">
        <references count="1">
          <reference field="4294967294" count="1" selected="0">
            <x v="0"/>
          </reference>
        </references>
      </pivotArea>
    </chartFormat>
    <chartFormat chart="24" format="52" series="1">
      <pivotArea type="data" outline="0" fieldPosition="0">
        <references count="1">
          <reference field="4294967294" count="1" selected="0">
            <x v="1"/>
          </reference>
        </references>
      </pivotArea>
    </chartFormat>
    <chartFormat chart="57" format="56" series="1">
      <pivotArea type="data" outline="0" fieldPosition="0">
        <references count="1">
          <reference field="4294967294" count="1" selected="0">
            <x v="0"/>
          </reference>
        </references>
      </pivotArea>
    </chartFormat>
    <chartFormat chart="57" format="60"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_RendaVariavelXMoed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212" rowHeaderCaption="Moeda">
  <location ref="B60:G64" firstHeaderRow="1" firstDataRow="2" firstDataCol="1" rowPageCount="1" colPageCount="1"/>
  <pivotFields count="13">
    <pivotField numFmtId="17" multipleItemSelectionAllowed="1" showAll="0">
      <items count="31">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h="1" x="29"/>
        <item t="default"/>
      </items>
    </pivotField>
    <pivotField showAll="0"/>
    <pivotField axis="axisPage" multipleItemSelectionAllowed="1" showAll="0">
      <items count="6">
        <item h="1" x="0"/>
        <item h="1" x="1"/>
        <item h="1" x="3"/>
        <item x="4"/>
        <item h="1" x="2"/>
        <item t="default"/>
      </items>
    </pivotField>
    <pivotField axis="axisCol" showAll="0">
      <items count="15">
        <item x="8"/>
        <item x="9"/>
        <item x="7"/>
        <item x="2"/>
        <item x="1"/>
        <item x="5"/>
        <item m="1" x="12"/>
        <item x="10"/>
        <item x="6"/>
        <item x="3"/>
        <item x="0"/>
        <item m="1" x="13"/>
        <item x="11"/>
        <item x="4"/>
        <item t="default"/>
      </items>
    </pivotField>
    <pivotField showAll="0"/>
    <pivotField showAll="0"/>
    <pivotField axis="axisRow" showAll="0">
      <items count="4">
        <item x="2"/>
        <item x="1"/>
        <item x="0"/>
        <item t="default"/>
      </items>
    </pivotField>
    <pivotField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3">
    <i>
      <x/>
    </i>
    <i>
      <x v="2"/>
    </i>
    <i t="grand">
      <x/>
    </i>
  </rowItems>
  <colFields count="1">
    <field x="3"/>
  </colFields>
  <colItems count="5">
    <i>
      <x/>
    </i>
    <i>
      <x v="1"/>
    </i>
    <i>
      <x v="2"/>
    </i>
    <i>
      <x v="5"/>
    </i>
    <i>
      <x v="7"/>
    </i>
  </colItems>
  <pageFields count="1">
    <pageField fld="2" hier="-1"/>
  </pageFields>
  <dataFields count="1">
    <dataField name="Sum of Total (R$)" fld="8" showDataAs="percentOfTotal" baseField="0" baseItem="0" numFmtId="9"/>
  </dataFields>
  <formats count="13">
    <format dxfId="366">
      <pivotArea type="all" dataOnly="0" outline="0" fieldPosition="0"/>
    </format>
    <format dxfId="365">
      <pivotArea grandRow="1" outline="0" collapsedLevelsAreSubtotals="1" fieldPosition="0"/>
    </format>
    <format dxfId="364">
      <pivotArea outline="0" fieldPosition="0">
        <references count="1">
          <reference field="4294967294" count="1">
            <x v="0"/>
          </reference>
        </references>
      </pivotArea>
    </format>
    <format dxfId="363">
      <pivotArea type="all" dataOnly="0" outline="0" fieldPosition="0"/>
    </format>
    <format dxfId="362">
      <pivotArea type="origin" dataOnly="0" labelOnly="1" outline="0" fieldPosition="0"/>
    </format>
    <format dxfId="361">
      <pivotArea field="3" type="button" dataOnly="0" labelOnly="1" outline="0" axis="axisCol" fieldPosition="0"/>
    </format>
    <format dxfId="360">
      <pivotArea type="topRight" dataOnly="0" labelOnly="1" outline="0" fieldPosition="0"/>
    </format>
    <format dxfId="359">
      <pivotArea dataOnly="0" labelOnly="1" grandRow="1" outline="0" fieldPosition="0"/>
    </format>
    <format dxfId="358">
      <pivotArea dataOnly="0" labelOnly="1" fieldPosition="0">
        <references count="1">
          <reference field="3" count="5">
            <x v="0"/>
            <x v="1"/>
            <x v="2"/>
            <x v="5"/>
            <x v="7"/>
          </reference>
        </references>
      </pivotArea>
    </format>
    <format dxfId="357">
      <pivotArea dataOnly="0" labelOnly="1" grandCol="1" outline="0" fieldPosition="0"/>
    </format>
    <format dxfId="356">
      <pivotArea outline="0" collapsedLevelsAreSubtotals="1" fieldPosition="0"/>
    </format>
    <format dxfId="355">
      <pivotArea outline="0" collapsedLevelsAreSubtotals="1" fieldPosition="0"/>
    </format>
    <format dxfId="354">
      <pivotArea outline="0" collapsedLevelsAreSubtotals="1" fieldPosition="0"/>
    </format>
  </formats>
  <chartFormats count="10">
    <chartFormat chart="41" format="10" series="1">
      <pivotArea type="data" outline="0" fieldPosition="0">
        <references count="1">
          <reference field="4294967294" count="1" selected="0">
            <x v="0"/>
          </reference>
        </references>
      </pivotArea>
    </chartFormat>
    <chartFormat chart="210" format="32" series="1">
      <pivotArea type="data" outline="0" fieldPosition="0">
        <references count="2">
          <reference field="4294967294" count="1" selected="0">
            <x v="0"/>
          </reference>
          <reference field="3" count="1" selected="0">
            <x v="0"/>
          </reference>
        </references>
      </pivotArea>
    </chartFormat>
    <chartFormat chart="210" format="33" series="1">
      <pivotArea type="data" outline="0" fieldPosition="0">
        <references count="2">
          <reference field="4294967294" count="1" selected="0">
            <x v="0"/>
          </reference>
          <reference field="3" count="1" selected="0">
            <x v="1"/>
          </reference>
        </references>
      </pivotArea>
    </chartFormat>
    <chartFormat chart="210" format="34" series="1">
      <pivotArea type="data" outline="0" fieldPosition="0">
        <references count="2">
          <reference field="4294967294" count="1" selected="0">
            <x v="0"/>
          </reference>
          <reference field="3" count="1" selected="0">
            <x v="2"/>
          </reference>
        </references>
      </pivotArea>
    </chartFormat>
    <chartFormat chart="210" format="35" series="1">
      <pivotArea type="data" outline="0" fieldPosition="0">
        <references count="2">
          <reference field="4294967294" count="1" selected="0">
            <x v="0"/>
          </reference>
          <reference field="3" count="1" selected="0">
            <x v="5"/>
          </reference>
        </references>
      </pivotArea>
    </chartFormat>
    <chartFormat chart="210" format="36" series="1">
      <pivotArea type="data" outline="0" fieldPosition="0">
        <references count="2">
          <reference field="4294967294" count="1" selected="0">
            <x v="0"/>
          </reference>
          <reference field="3" count="1" selected="0">
            <x v="7"/>
          </reference>
        </references>
      </pivotArea>
    </chartFormat>
    <chartFormat chart="210" format="37" series="1">
      <pivotArea type="data" outline="0" fieldPosition="0">
        <references count="2">
          <reference field="4294967294" count="1" selected="0">
            <x v="0"/>
          </reference>
          <reference field="3" count="1" selected="0">
            <x v="12"/>
          </reference>
        </references>
      </pivotArea>
    </chartFormat>
    <chartFormat chart="210" format="38" series="1">
      <pivotArea type="data" outline="0" fieldPosition="0">
        <references count="1">
          <reference field="4294967294" count="1" selected="0">
            <x v="0"/>
          </reference>
        </references>
      </pivotArea>
    </chartFormat>
    <chartFormat chart="210" format="39" series="1">
      <pivotArea type="data" outline="0" fieldPosition="0">
        <references count="2">
          <reference field="4294967294" count="1" selected="0">
            <x v="0"/>
          </reference>
          <reference field="3" count="1" selected="0">
            <x v="9"/>
          </reference>
        </references>
      </pivotArea>
    </chartFormat>
    <chartFormat chart="210" format="40" series="1">
      <pivotArea type="data" outline="0" fieldPosition="0">
        <references count="2">
          <reference field="4294967294" count="1" selected="0">
            <x v="0"/>
          </reference>
          <reference field="3" count="1" selected="0">
            <x v="8"/>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_Estrategia"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53" rowHeaderCaption="Tipo">
  <location ref="B29:D34" firstHeaderRow="0" firstDataRow="1" firstDataCol="1"/>
  <pivotFields count="13">
    <pivotField name="Data Ativos" numFmtId="17" subtotalTop="0" multipleItemSelectionAllowed="1" showAll="0" defaultSubtotal="0">
      <items count="30">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 h="1" x="29"/>
      </items>
    </pivotField>
    <pivotField showAll="0"/>
    <pivotField subtotalTop="0" showAll="0" defaultSubtotal="0"/>
    <pivotField subtotalTop="0" showAll="0" defaultSubtotal="0"/>
    <pivotField showAll="0" defaultSubtotal="0"/>
    <pivotField axis="axisRow" showAll="0" defaultSubtotal="0">
      <items count="5">
        <item x="0"/>
        <item x="1"/>
        <item x="3"/>
        <item x="2"/>
        <item x="4"/>
      </items>
    </pivotField>
    <pivotField showAll="0"/>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34">
    <format dxfId="400">
      <pivotArea type="all" dataOnly="0" outline="0" fieldPosition="0"/>
    </format>
    <format dxfId="399">
      <pivotArea outline="0" collapsedLevelsAreSubtotals="1" fieldPosition="0"/>
    </format>
    <format dxfId="398">
      <pivotArea type="all" dataOnly="0" outline="0"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type="all" dataOnly="0" outline="0" fieldPosition="0"/>
    </format>
    <format dxfId="393">
      <pivotArea outline="0" collapsedLevelsAreSubtotals="1" fieldPosition="0"/>
    </format>
    <format dxfId="392">
      <pivotArea type="all" dataOnly="0" outline="0" fieldPosition="0"/>
    </format>
    <format dxfId="391">
      <pivotArea type="all" dataOnly="0" outline="0" fieldPosition="0"/>
    </format>
    <format dxfId="390">
      <pivotArea outline="0" fieldPosition="0">
        <references count="1">
          <reference field="4294967294" count="1">
            <x v="1"/>
          </reference>
        </references>
      </pivotArea>
    </format>
    <format dxfId="389">
      <pivotArea type="all" dataOnly="0" outline="0" fieldPosition="0"/>
    </format>
    <format dxfId="388">
      <pivotArea outline="0" collapsedLevelsAreSubtotals="1" fieldPosition="0"/>
    </format>
    <format dxfId="387">
      <pivotArea type="all" dataOnly="0" outline="0" fieldPosition="0"/>
    </format>
    <format dxfId="386">
      <pivotArea outline="0" collapsedLevelsAreSubtotals="1" fieldPosition="0"/>
    </format>
    <format dxfId="385">
      <pivotArea type="origin" dataOnly="0" labelOnly="1" outline="0" fieldPosition="0"/>
    </format>
    <format dxfId="384">
      <pivotArea field="-2" type="button" dataOnly="0" labelOnly="1" outline="0" axis="axisCol" fieldPosition="0"/>
    </format>
    <format dxfId="383">
      <pivotArea type="topRight" dataOnly="0" labelOnly="1" outline="0" fieldPosition="0"/>
    </format>
    <format dxfId="382">
      <pivotArea field="5" type="button" dataOnly="0" labelOnly="1" outline="0" axis="axisRow" fieldPosition="0"/>
    </format>
    <format dxfId="381">
      <pivotArea dataOnly="0" labelOnly="1" fieldPosition="0">
        <references count="1">
          <reference field="5" count="4">
            <x v="0"/>
            <x v="1"/>
            <x v="2"/>
            <x v="3"/>
          </reference>
        </references>
      </pivotArea>
    </format>
    <format dxfId="380">
      <pivotArea dataOnly="0" labelOnly="1" outline="0" fieldPosition="0">
        <references count="1">
          <reference field="4294967294" count="2">
            <x v="0"/>
            <x v="1"/>
          </reference>
        </references>
      </pivotArea>
    </format>
    <format dxfId="379">
      <pivotArea outline="0" collapsedLevelsAreSubtotals="1" fieldPosition="0"/>
    </format>
    <format dxfId="378">
      <pivotArea outline="0" collapsedLevelsAreSubtotals="1" fieldPosition="0"/>
    </format>
    <format dxfId="377">
      <pivotArea outline="0" collapsedLevelsAreSubtotals="1" fieldPosition="0"/>
    </format>
    <format dxfId="376">
      <pivotArea dataOnly="0" labelOnly="1" fieldPosition="0">
        <references count="1">
          <reference field="5" count="4">
            <x v="0"/>
            <x v="1"/>
            <x v="2"/>
            <x v="3"/>
          </reference>
        </references>
      </pivotArea>
    </format>
    <format dxfId="375">
      <pivotArea outline="0" collapsedLevelsAreSubtotals="1" fieldPosition="0">
        <references count="1">
          <reference field="4294967294" count="1" selected="0">
            <x v="1"/>
          </reference>
        </references>
      </pivotArea>
    </format>
    <format dxfId="374">
      <pivotArea outline="0" collapsedLevelsAreSubtotals="1" fieldPosition="0">
        <references count="1">
          <reference field="4294967294" count="1" selected="0">
            <x v="1"/>
          </reference>
        </references>
      </pivotArea>
    </format>
    <format dxfId="373">
      <pivotArea outline="0" collapsedLevelsAreSubtotals="1" fieldPosition="0">
        <references count="1">
          <reference field="4294967294" count="1" selected="0">
            <x v="1"/>
          </reference>
        </references>
      </pivotArea>
    </format>
    <format dxfId="372">
      <pivotArea outline="0" collapsedLevelsAreSubtotals="1" fieldPosition="0">
        <references count="1">
          <reference field="4294967294" count="1" selected="0">
            <x v="1"/>
          </reference>
        </references>
      </pivotArea>
    </format>
    <format dxfId="371">
      <pivotArea type="all" dataOnly="0" outline="0" fieldPosition="0"/>
    </format>
    <format dxfId="370">
      <pivotArea outline="0" collapsedLevelsAreSubtotals="1" fieldPosition="0"/>
    </format>
    <format dxfId="369">
      <pivotArea dataOnly="0" labelOnly="1" fieldPosition="0">
        <references count="1">
          <reference field="5" count="0"/>
        </references>
      </pivotArea>
    </format>
    <format dxfId="368">
      <pivotArea dataOnly="0" labelOnly="1" grandRow="1" outline="0" fieldPosition="0"/>
    </format>
    <format dxfId="367">
      <pivotArea dataOnly="0" labelOnly="1" fieldPosition="0">
        <references count="1">
          <reference field="5" count="4">
            <x v="0"/>
            <x v="1"/>
            <x v="2"/>
            <x v="3"/>
          </reference>
        </references>
      </pivotArea>
    </format>
  </formats>
  <chartFormats count="18">
    <chartFormat chart="27" format="42" series="1">
      <pivotArea type="data" outline="0" fieldPosition="0">
        <references count="1">
          <reference field="4294967294" count="1" selected="0">
            <x v="0"/>
          </reference>
        </references>
      </pivotArea>
    </chartFormat>
    <chartFormat chart="27" format="48" series="1">
      <pivotArea type="data" outline="0" fieldPosition="0">
        <references count="1">
          <reference field="4294967294" count="1" selected="0">
            <x v="1"/>
          </reference>
        </references>
      </pivotArea>
    </chartFormat>
    <chartFormat chart="21" format="54"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10">
      <pivotArea type="data" outline="0" fieldPosition="0">
        <references count="1">
          <reference field="4294967294" count="1" selected="0">
            <x v="0"/>
          </reference>
        </references>
      </pivotArea>
    </chartFormat>
    <chartFormat chart="31" format="11">
      <pivotArea type="data" outline="0" fieldPosition="0">
        <references count="1">
          <reference field="4294967294" count="1" selected="0">
            <x v="1"/>
          </reference>
        </references>
      </pivotArea>
    </chartFormat>
    <chartFormat chart="76" format="12"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1"/>
          </reference>
        </references>
      </pivotArea>
    </chartFormat>
    <chartFormat chart="31" format="12">
      <pivotArea type="data" outline="0" fieldPosition="0">
        <references count="2">
          <reference field="4294967294" count="1" selected="0">
            <x v="0"/>
          </reference>
          <reference field="5" count="1" selected="0">
            <x v="0"/>
          </reference>
        </references>
      </pivotArea>
    </chartFormat>
    <chartFormat chart="31" format="13">
      <pivotArea type="data" outline="0" fieldPosition="0">
        <references count="2">
          <reference field="4294967294" count="1" selected="0">
            <x v="0"/>
          </reference>
          <reference field="5" count="1" selected="0">
            <x v="1"/>
          </reference>
        </references>
      </pivotArea>
    </chartFormat>
    <chartFormat chart="31" format="14">
      <pivotArea type="data" outline="0" fieldPosition="0">
        <references count="2">
          <reference field="4294967294" count="1" selected="0">
            <x v="0"/>
          </reference>
          <reference field="5" count="1" selected="0">
            <x v="2"/>
          </reference>
        </references>
      </pivotArea>
    </chartFormat>
    <chartFormat chart="31" format="15">
      <pivotArea type="data" outline="0" fieldPosition="0">
        <references count="2">
          <reference field="4294967294" count="1" selected="0">
            <x v="0"/>
          </reference>
          <reference field="5" count="1" selected="0">
            <x v="3"/>
          </reference>
        </references>
      </pivotArea>
    </chartFormat>
    <chartFormat chart="31" format="16">
      <pivotArea type="data" outline="0" fieldPosition="0">
        <references count="2">
          <reference field="4294967294" count="1" selected="0">
            <x v="1"/>
          </reference>
          <reference field="5" count="1" selected="0">
            <x v="0"/>
          </reference>
        </references>
      </pivotArea>
    </chartFormat>
    <chartFormat chart="31" format="17">
      <pivotArea type="data" outline="0" fieldPosition="0">
        <references count="2">
          <reference field="4294967294" count="1" selected="0">
            <x v="1"/>
          </reference>
          <reference field="5" count="1" selected="0">
            <x v="1"/>
          </reference>
        </references>
      </pivotArea>
    </chartFormat>
    <chartFormat chart="31" format="18">
      <pivotArea type="data" outline="0" fieldPosition="0">
        <references count="2">
          <reference field="4294967294" count="1" selected="0">
            <x v="1"/>
          </reference>
          <reference field="5" count="1" selected="0">
            <x v="2"/>
          </reference>
        </references>
      </pivotArea>
    </chartFormat>
    <chartFormat chart="31" format="19">
      <pivotArea type="data" outline="0" fieldPosition="0">
        <references count="2">
          <reference field="4294967294" count="1" selected="0">
            <x v="1"/>
          </reference>
          <reference field="5" count="1" selected="0">
            <x v="3"/>
          </reference>
        </references>
      </pivotArea>
    </chartFormat>
  </chartFormats>
  <pivotTableStyleInfo name="PivotStyleMedium2" showRowHeaders="0"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_ClasseAtivos"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47" rowHeaderCaption="Classe">
  <location ref="B5:D11" firstHeaderRow="0" firstDataRow="1" firstDataCol="1"/>
  <pivotFields count="13">
    <pivotField name="Data Ativos" numFmtId="17" subtotalTop="0" multipleItemSelectionAllowed="1" showAll="0" defaultSubtotal="0">
      <items count="30">
        <item h="1" x="19"/>
        <item h="1" x="20"/>
        <item h="1" x="18"/>
        <item h="1" x="17"/>
        <item h="1" x="16"/>
        <item h="1" x="15"/>
        <item h="1" x="14"/>
        <item h="1" x="13"/>
        <item h="1" x="12"/>
        <item h="1" x="11"/>
        <item h="1" x="10"/>
        <item h="1" x="9"/>
        <item h="1" x="8"/>
        <item h="1" x="7"/>
        <item h="1" x="5"/>
        <item h="1" x="4"/>
        <item h="1" x="3"/>
        <item h="1" x="2"/>
        <item h="1" x="1"/>
        <item h="1" x="6"/>
        <item h="1" x="21"/>
        <item h="1" x="22"/>
        <item h="1" x="23"/>
        <item h="1" x="24"/>
        <item h="1" x="25"/>
        <item h="1" x="26"/>
        <item h="1" x="27"/>
        <item h="1" x="28"/>
        <item x="0"/>
        <item h="1" x="29"/>
      </items>
    </pivotField>
    <pivotField showAll="0"/>
    <pivotField axis="axisRow" subtotalTop="0" showAll="0" defaultSubtotal="0">
      <items count="5">
        <item x="0"/>
        <item x="1"/>
        <item x="3"/>
        <item x="4"/>
        <item x="2"/>
      </items>
    </pivotField>
    <pivotField subtotalTop="0" showAll="0" defaultSubtotal="0"/>
    <pivotField subtotalTop="0" showAll="0" defaultSubtotal="0"/>
    <pivotField subtotalTop="0" showAll="0" defaultSubtotal="0"/>
    <pivotField showAll="0"/>
    <pivotField name="Porcentagem2" numFmtId="9" showAll="0"/>
    <pivotField name="Total (R$)2" dataField="1" numFmtId="44" subtotalTop="0" showAll="0" defaultSubtotal="0"/>
    <pivotField name="Total ($)2" numFmtId="44" subtotalTop="0" showAll="0" defaultSubtotal="0"/>
    <pivotField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subtotalTop="0"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Total (R$)" fld="8" baseField="0" baseItem="0" numFmtId="44"/>
    <dataField name="Porcentagem" fld="8" showDataAs="percentOfTotal" baseField="0" baseItem="0" numFmtId="9"/>
  </dataFields>
  <formats count="39">
    <format dxfId="439">
      <pivotArea type="all" dataOnly="0" outline="0" fieldPosition="0"/>
    </format>
    <format dxfId="438">
      <pivotArea outline="0" collapsedLevelsAreSubtotals="1" fieldPosition="0"/>
    </format>
    <format dxfId="437">
      <pivotArea type="all" dataOnly="0" outline="0" fieldPosition="0"/>
    </format>
    <format dxfId="436">
      <pivotArea outline="0" collapsedLevelsAreSubtotals="1" fieldPosition="0"/>
    </format>
    <format dxfId="435">
      <pivotArea type="all" dataOnly="0" outline="0" fieldPosition="0"/>
    </format>
    <format dxfId="434">
      <pivotArea outline="0" collapsedLevelsAreSubtotals="1" fieldPosition="0"/>
    </format>
    <format dxfId="433">
      <pivotArea type="all" dataOnly="0" outline="0" fieldPosition="0"/>
    </format>
    <format dxfId="432">
      <pivotArea outline="0" collapsedLevelsAreSubtotals="1" fieldPosition="0"/>
    </format>
    <format dxfId="431">
      <pivotArea type="all" dataOnly="0" outline="0" fieldPosition="0"/>
    </format>
    <format dxfId="430">
      <pivotArea type="all" dataOnly="0" outline="0" fieldPosition="0"/>
    </format>
    <format dxfId="429">
      <pivotArea outline="0" fieldPosition="0">
        <references count="1">
          <reference field="4294967294" count="1">
            <x v="1"/>
          </reference>
        </references>
      </pivotArea>
    </format>
    <format dxfId="428">
      <pivotArea type="all" dataOnly="0" outline="0" fieldPosition="0"/>
    </format>
    <format dxfId="427">
      <pivotArea outline="0" collapsedLevelsAreSubtotals="1" fieldPosition="0"/>
    </format>
    <format dxfId="426">
      <pivotArea type="origin" dataOnly="0" labelOnly="1" outline="0" fieldPosition="0"/>
    </format>
    <format dxfId="425">
      <pivotArea field="-2" type="button" dataOnly="0" labelOnly="1" outline="0" axis="axisCol" fieldPosition="0"/>
    </format>
    <format dxfId="424">
      <pivotArea type="topRight" dataOnly="0" labelOnly="1" outline="0" fieldPosition="0"/>
    </format>
    <format dxfId="423">
      <pivotArea dataOnly="0" labelOnly="1" outline="0" fieldPosition="0">
        <references count="1">
          <reference field="4294967294" count="2">
            <x v="0"/>
            <x v="1"/>
          </reference>
        </references>
      </pivotArea>
    </format>
    <format dxfId="422">
      <pivotArea outline="0" collapsedLevelsAreSubtotals="1" fieldPosition="0">
        <references count="1">
          <reference field="4294967294" count="1" selected="0">
            <x v="1"/>
          </reference>
        </references>
      </pivotArea>
    </format>
    <format dxfId="421">
      <pivotArea outline="0" collapsedLevelsAreSubtotals="1" fieldPosition="0">
        <references count="1">
          <reference field="4294967294" count="1" selected="0">
            <x v="0"/>
          </reference>
        </references>
      </pivotArea>
    </format>
    <format dxfId="420">
      <pivotArea outline="0" collapsedLevelsAreSubtotals="1" fieldPosition="0">
        <references count="1">
          <reference field="4294967294" count="1" selected="0">
            <x v="0"/>
          </reference>
        </references>
      </pivotArea>
    </format>
    <format dxfId="419">
      <pivotArea outline="0" collapsedLevelsAreSubtotals="1" fieldPosition="0">
        <references count="1">
          <reference field="4294967294" count="1" selected="0">
            <x v="0"/>
          </reference>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2" type="button" dataOnly="0" labelOnly="1" outline="0" axis="axisCol" fieldPosition="0"/>
    </format>
    <format dxfId="414">
      <pivotArea type="topRight" dataOnly="0" labelOnly="1" outline="0" fieldPosition="0"/>
    </format>
    <format dxfId="413">
      <pivotArea dataOnly="0" labelOnly="1" outline="0" fieldPosition="0">
        <references count="1">
          <reference field="4294967294" count="2">
            <x v="0"/>
            <x v="1"/>
          </reference>
        </references>
      </pivotArea>
    </format>
    <format dxfId="412">
      <pivotArea type="all" dataOnly="0" outline="0" fieldPosition="0"/>
    </format>
    <format dxfId="411">
      <pivotArea outline="0" collapsedLevelsAreSubtotals="1" fieldPosition="0"/>
    </format>
    <format dxfId="410">
      <pivotArea dataOnly="0" labelOnly="1" fieldPosition="0">
        <references count="1">
          <reference field="2" count="0"/>
        </references>
      </pivotArea>
    </format>
    <format dxfId="409">
      <pivotArea dataOnly="0" labelOnly="1" grandRow="1" outline="0" fieldPosition="0"/>
    </format>
    <format dxfId="408">
      <pivotArea collapsedLevelsAreSubtotals="1" fieldPosition="0">
        <references count="2">
          <reference field="4294967294" count="1" selected="0">
            <x v="0"/>
          </reference>
          <reference field="2" count="0"/>
        </references>
      </pivotArea>
    </format>
    <format dxfId="407">
      <pivotArea field="2" grandRow="1" outline="0" collapsedLevelsAreSubtotals="1" axis="axisRow" fieldPosition="0">
        <references count="1">
          <reference field="4294967294" count="1" selected="0">
            <x v="0"/>
          </reference>
        </references>
      </pivotArea>
    </format>
    <format dxfId="406">
      <pivotArea collapsedLevelsAreSubtotals="1" fieldPosition="0">
        <references count="2">
          <reference field="4294967294" count="1" selected="0">
            <x v="1"/>
          </reference>
          <reference field="2" count="0"/>
        </references>
      </pivotArea>
    </format>
    <format dxfId="405">
      <pivotArea field="2" grandRow="1" outline="0" collapsedLevelsAreSubtotals="1" axis="axisRow" fieldPosition="0">
        <references count="1">
          <reference field="4294967294" count="1" selected="0">
            <x v="1"/>
          </reference>
        </references>
      </pivotArea>
    </format>
    <format dxfId="404">
      <pivotArea collapsedLevelsAreSubtotals="1" fieldPosition="0">
        <references count="2">
          <reference field="4294967294" count="1" selected="0">
            <x v="1"/>
          </reference>
          <reference field="2" count="0"/>
        </references>
      </pivotArea>
    </format>
    <format dxfId="403">
      <pivotArea collapsedLevelsAreSubtotals="1" fieldPosition="0">
        <references count="2">
          <reference field="4294967294" count="1" selected="0">
            <x v="1"/>
          </reference>
          <reference field="2" count="0"/>
        </references>
      </pivotArea>
    </format>
    <format dxfId="402">
      <pivotArea field="2" grandRow="1" outline="0" collapsedLevelsAreSubtotals="1" axis="axisRow" fieldPosition="0">
        <references count="1">
          <reference field="4294967294" count="1" selected="0">
            <x v="1"/>
          </reference>
        </references>
      </pivotArea>
    </format>
    <format dxfId="401">
      <pivotArea outline="0" collapsedLevelsAreSubtotals="1" fieldPosition="0">
        <references count="1">
          <reference field="4294967294" count="1" selected="0">
            <x v="1"/>
          </reference>
        </references>
      </pivotArea>
    </format>
  </formats>
  <chartFormats count="16">
    <chartFormat chart="27" format="42" series="1">
      <pivotArea type="data" outline="0" fieldPosition="0">
        <references count="1">
          <reference field="4294967294" count="1" selected="0">
            <x v="0"/>
          </reference>
        </references>
      </pivotArea>
    </chartFormat>
    <chartFormat chart="27" format="48" series="1">
      <pivotArea type="data" outline="0" fieldPosition="0">
        <references count="1">
          <reference field="4294967294" count="1" selected="0">
            <x v="1"/>
          </reference>
        </references>
      </pivotArea>
    </chartFormat>
    <chartFormat chart="21" format="54" series="1">
      <pivotArea type="data" outline="0" fieldPosition="0">
        <references count="1">
          <reference field="4294967294" count="1" selected="0">
            <x v="0"/>
          </reference>
        </references>
      </pivotArea>
    </chartFormat>
    <chartFormat chart="21" format="60" series="1">
      <pivotArea type="data" outline="0" fieldPosition="0">
        <references count="1">
          <reference field="4294967294" count="1" selected="0">
            <x v="1"/>
          </reference>
        </references>
      </pivotArea>
    </chartFormat>
    <chartFormat chart="68" format="66" series="1">
      <pivotArea type="data" outline="0" fieldPosition="0">
        <references count="1">
          <reference field="4294967294" count="1" selected="0">
            <x v="0"/>
          </reference>
        </references>
      </pivotArea>
    </chartFormat>
    <chartFormat chart="68" format="72" series="1">
      <pivotArea type="data" outline="0" fieldPosition="0">
        <references count="1">
          <reference field="4294967294" count="1" selected="0">
            <x v="1"/>
          </reference>
        </references>
      </pivotArea>
    </chartFormat>
    <chartFormat chart="21" format="66">
      <pivotArea type="data" outline="0" fieldPosition="0">
        <references count="2">
          <reference field="4294967294" count="1" selected="0">
            <x v="0"/>
          </reference>
          <reference field="2" count="1" selected="0">
            <x v="0"/>
          </reference>
        </references>
      </pivotArea>
    </chartFormat>
    <chartFormat chart="21" format="67">
      <pivotArea type="data" outline="0" fieldPosition="0">
        <references count="2">
          <reference field="4294967294" count="1" selected="0">
            <x v="0"/>
          </reference>
          <reference field="2" count="1" selected="0">
            <x v="1"/>
          </reference>
        </references>
      </pivotArea>
    </chartFormat>
    <chartFormat chart="21" format="68">
      <pivotArea type="data" outline="0" fieldPosition="0">
        <references count="2">
          <reference field="4294967294" count="1" selected="0">
            <x v="0"/>
          </reference>
          <reference field="2" count="1" selected="0">
            <x v="2"/>
          </reference>
        </references>
      </pivotArea>
    </chartFormat>
    <chartFormat chart="21" format="69">
      <pivotArea type="data" outline="0" fieldPosition="0">
        <references count="2">
          <reference field="4294967294" count="1" selected="0">
            <x v="0"/>
          </reference>
          <reference field="2" count="1" selected="0">
            <x v="3"/>
          </reference>
        </references>
      </pivotArea>
    </chartFormat>
    <chartFormat chart="21" format="70">
      <pivotArea type="data" outline="0" fieldPosition="0">
        <references count="2">
          <reference field="4294967294" count="1" selected="0">
            <x v="0"/>
          </reference>
          <reference field="2" count="1" selected="0">
            <x v="4"/>
          </reference>
        </references>
      </pivotArea>
    </chartFormat>
    <chartFormat chart="21" format="71">
      <pivotArea type="data" outline="0" fieldPosition="0">
        <references count="2">
          <reference field="4294967294" count="1" selected="0">
            <x v="1"/>
          </reference>
          <reference field="2" count="1" selected="0">
            <x v="0"/>
          </reference>
        </references>
      </pivotArea>
    </chartFormat>
    <chartFormat chart="21" format="72">
      <pivotArea type="data" outline="0" fieldPosition="0">
        <references count="2">
          <reference field="4294967294" count="1" selected="0">
            <x v="1"/>
          </reference>
          <reference field="2" count="1" selected="0">
            <x v="1"/>
          </reference>
        </references>
      </pivotArea>
    </chartFormat>
    <chartFormat chart="21" format="73">
      <pivotArea type="data" outline="0" fieldPosition="0">
        <references count="2">
          <reference field="4294967294" count="1" selected="0">
            <x v="1"/>
          </reference>
          <reference field="2" count="1" selected="0">
            <x v="2"/>
          </reference>
        </references>
      </pivotArea>
    </chartFormat>
    <chartFormat chart="21" format="74">
      <pivotArea type="data" outline="0" fieldPosition="0">
        <references count="2">
          <reference field="4294967294" count="1" selected="0">
            <x v="1"/>
          </reference>
          <reference field="2" count="1" selected="0">
            <x v="3"/>
          </reference>
        </references>
      </pivotArea>
    </chartFormat>
    <chartFormat chart="21" format="75">
      <pivotArea type="data" outline="0" fieldPosition="0">
        <references count="2">
          <reference field="4294967294" count="1" selected="0">
            <x v="1"/>
          </reference>
          <reference field="2" count="1" selected="0">
            <x v="4"/>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_RendaFixaXDuration" cacheId="21" applyNumberFormats="0" applyBorderFormats="0" applyFontFormats="0" applyPatternFormats="0" applyAlignmentFormats="0" applyWidthHeightFormats="1" dataCaption="Values" updatedVersion="8" minRefreshableVersion="3" colGrandTotals="0" itemPrintTitles="1" createdVersion="8" indent="0" showHeaders="0" outline="1" outlineData="1" multipleFieldFilters="0" chartFormat="342" rowHeaderCaption="Duration">
  <location ref="B39:E43" firstHeaderRow="1" firstDataRow="2" firstDataCol="1" rowPageCount="1" colPageCount="1"/>
  <pivotFields count="13">
    <pivotField numFmtId="17" multipleItemSelectionAllowed="1" showAll="0">
      <items count="31">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x="0"/>
        <item h="1" x="29"/>
        <item t="default"/>
      </items>
    </pivotField>
    <pivotField showAll="0"/>
    <pivotField axis="axisPage" multipleItemSelectionAllowed="1" showAll="0">
      <items count="6">
        <item h="1" x="0"/>
        <item h="1" x="1"/>
        <item x="3"/>
        <item h="1" x="4"/>
        <item h="1" x="2"/>
        <item t="default"/>
      </items>
    </pivotField>
    <pivotField axis="axisRow" showAll="0">
      <items count="15">
        <item x="8"/>
        <item x="9"/>
        <item x="7"/>
        <item x="2"/>
        <item x="1"/>
        <item x="5"/>
        <item m="1" x="12"/>
        <item x="10"/>
        <item x="6"/>
        <item x="3"/>
        <item x="0"/>
        <item m="1" x="13"/>
        <item x="11"/>
        <item x="4"/>
        <item t="default"/>
      </items>
    </pivotField>
    <pivotField axis="axisCol" showAll="0">
      <items count="8">
        <item x="1"/>
        <item x="2"/>
        <item x="0"/>
        <item x="4"/>
        <item x="3"/>
        <item x="6"/>
        <item x="5"/>
        <item t="default"/>
      </items>
    </pivotField>
    <pivotField showAll="0"/>
    <pivotField showAll="0"/>
    <pivotField numFmtId="9" showAll="0"/>
    <pivotField dataField="1" numFmtId="44" showAll="0"/>
    <pivotField numFmtId="164"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3">
    <i>
      <x v="8"/>
    </i>
    <i>
      <x v="9"/>
    </i>
    <i t="grand">
      <x/>
    </i>
  </rowItems>
  <colFields count="1">
    <field x="4"/>
  </colFields>
  <colItems count="3">
    <i>
      <x v="1"/>
    </i>
    <i>
      <x v="4"/>
    </i>
    <i>
      <x v="6"/>
    </i>
  </colItems>
  <pageFields count="1">
    <pageField fld="2" hier="-1"/>
  </pageFields>
  <dataFields count="1">
    <dataField name="Sum of Total (R$)" fld="8" showDataAs="percentOfTotal" baseField="0" baseItem="0" numFmtId="9"/>
  </dataFields>
  <formats count="19">
    <format dxfId="458">
      <pivotArea type="all" dataOnly="0" outline="0" fieldPosition="0"/>
    </format>
    <format dxfId="457">
      <pivotArea dataOnly="0" labelOnly="1" grandCol="1" outline="0" fieldPosition="0"/>
    </format>
    <format dxfId="456">
      <pivotArea grandRow="1" outline="0" collapsedLevelsAreSubtotals="1" fieldPosition="0"/>
    </format>
    <format dxfId="455">
      <pivotArea collapsedLevelsAreSubtotals="1" fieldPosition="0">
        <references count="1">
          <reference field="3" count="2">
            <x v="8"/>
            <x v="9"/>
          </reference>
        </references>
      </pivotArea>
    </format>
    <format dxfId="454">
      <pivotArea type="all" dataOnly="0" outline="0" fieldPosition="0"/>
    </format>
    <format dxfId="453">
      <pivotArea type="origin" dataOnly="0" labelOnly="1" outline="0" fieldPosition="0"/>
    </format>
    <format dxfId="452">
      <pivotArea type="topRight" dataOnly="0" labelOnly="1" outline="0" fieldPosition="0"/>
    </format>
    <format dxfId="451">
      <pivotArea dataOnly="0" labelOnly="1" fieldPosition="0">
        <references count="1">
          <reference field="3" count="2">
            <x v="8"/>
            <x v="9"/>
          </reference>
        </references>
      </pivotArea>
    </format>
    <format dxfId="450">
      <pivotArea dataOnly="0" labelOnly="1" grandRow="1" outline="0" fieldPosition="0"/>
    </format>
    <format dxfId="449">
      <pivotArea dataOnly="0" labelOnly="1" fieldPosition="0">
        <references count="1">
          <reference field="4" count="3">
            <x v="1"/>
            <x v="4"/>
            <x v="6"/>
          </reference>
        </references>
      </pivotArea>
    </format>
    <format dxfId="448">
      <pivotArea outline="0" collapsedLevelsAreSubtotals="1" fieldPosition="0"/>
    </format>
    <format dxfId="447">
      <pivotArea outline="0" collapsedLevelsAreSubtotals="1" fieldPosition="0"/>
    </format>
    <format dxfId="446">
      <pivotArea dataOnly="0" labelOnly="1" grandRow="1" outline="0" fieldPosition="0"/>
    </format>
    <format dxfId="445">
      <pivotArea dataOnly="0" labelOnly="1" fieldPosition="0">
        <references count="1">
          <reference field="4" count="3">
            <x v="1"/>
            <x v="4"/>
            <x v="6"/>
          </reference>
        </references>
      </pivotArea>
    </format>
    <format dxfId="444">
      <pivotArea outline="0" collapsedLevelsAreSubtotals="1" fieldPosition="0"/>
    </format>
    <format dxfId="443">
      <pivotArea dataOnly="0" labelOnly="1" fieldPosition="0">
        <references count="1">
          <reference field="3" count="2">
            <x v="8"/>
            <x v="9"/>
          </reference>
        </references>
      </pivotArea>
    </format>
    <format dxfId="442">
      <pivotArea dataOnly="0" labelOnly="1" grandRow="1" outline="0" fieldPosition="0"/>
    </format>
    <format dxfId="441">
      <pivotArea dataOnly="0" labelOnly="1" fieldPosition="0">
        <references count="1">
          <reference field="4" count="3">
            <x v="1"/>
            <x v="4"/>
            <x v="6"/>
          </reference>
        </references>
      </pivotArea>
    </format>
    <format dxfId="440">
      <pivotArea dataOnly="0" labelOnly="1" fieldPosition="0">
        <references count="1">
          <reference field="3" count="2">
            <x v="8"/>
            <x v="9"/>
          </reference>
        </references>
      </pivotArea>
    </format>
  </formats>
  <chartFormats count="10">
    <chartFormat chart="41" format="6" series="1">
      <pivotArea type="data" outline="0" fieldPosition="0">
        <references count="2">
          <reference field="4294967294" count="1" selected="0">
            <x v="0"/>
          </reference>
          <reference field="4" count="1" selected="0">
            <x v="1"/>
          </reference>
        </references>
      </pivotArea>
    </chartFormat>
    <chartFormat chart="41" format="7" series="1">
      <pivotArea type="data" outline="0" fieldPosition="0">
        <references count="2">
          <reference field="4294967294" count="1" selected="0">
            <x v="0"/>
          </reference>
          <reference field="4" count="1" selected="0">
            <x v="4"/>
          </reference>
        </references>
      </pivotArea>
    </chartFormat>
    <chartFormat chart="41" format="8" series="1">
      <pivotArea type="data" outline="0" fieldPosition="0">
        <references count="2">
          <reference field="4294967294" count="1" selected="0">
            <x v="0"/>
          </reference>
          <reference field="4" count="1" selected="0">
            <x v="6"/>
          </reference>
        </references>
      </pivotArea>
    </chartFormat>
    <chartFormat chart="64" format="9" series="1">
      <pivotArea type="data" outline="0" fieldPosition="0">
        <references count="2">
          <reference field="4294967294" count="1" selected="0">
            <x v="0"/>
          </reference>
          <reference field="4" count="1" selected="0">
            <x v="1"/>
          </reference>
        </references>
      </pivotArea>
    </chartFormat>
    <chartFormat chart="64" format="10" series="1">
      <pivotArea type="data" outline="0" fieldPosition="0">
        <references count="2">
          <reference field="4294967294" count="1" selected="0">
            <x v="0"/>
          </reference>
          <reference field="4" count="1" selected="0">
            <x v="4"/>
          </reference>
        </references>
      </pivotArea>
    </chartFormat>
    <chartFormat chart="64" format="11" series="1">
      <pivotArea type="data" outline="0" fieldPosition="0">
        <references count="2">
          <reference field="4294967294" count="1" selected="0">
            <x v="0"/>
          </reference>
          <reference field="4" count="1" selected="0">
            <x v="6"/>
          </reference>
        </references>
      </pivotArea>
    </chartFormat>
    <chartFormat chart="41" format="9" series="1">
      <pivotArea type="data" outline="0" fieldPosition="0">
        <references count="2">
          <reference field="4294967294" count="1" selected="0">
            <x v="0"/>
          </reference>
          <reference field="4" count="1" selected="0">
            <x v="0"/>
          </reference>
        </references>
      </pivotArea>
    </chartFormat>
    <chartFormat chart="41" format="10" series="1">
      <pivotArea type="data" outline="0" fieldPosition="0">
        <references count="1">
          <reference field="4294967294" count="1" selected="0">
            <x v="0"/>
          </reference>
        </references>
      </pivotArea>
    </chartFormat>
    <chartFormat chart="41" format="13" series="1">
      <pivotArea type="data" outline="0" fieldPosition="0">
        <references count="2">
          <reference field="4294967294" count="1" selected="0">
            <x v="0"/>
          </reference>
          <reference field="4" count="1" selected="0">
            <x v="3"/>
          </reference>
        </references>
      </pivotArea>
    </chartFormat>
    <chartFormat chart="41" format="14" series="1">
      <pivotArea type="data" outline="0" fieldPosition="0">
        <references count="2">
          <reference field="4294967294" count="1" selected="0">
            <x v="0"/>
          </reference>
          <reference field="4" count="1" selected="0">
            <x v="5"/>
          </reference>
        </references>
      </pivotArea>
    </chartFormat>
  </chartFormats>
  <pivotTableStyleInfo name="PivotStyleMedium2" showRowHeaders="1" showColHeaders="1" showRowStripes="1"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 xr10:uid="{6CDB6A2D-0A4A-9A4F-B891-BB83341FA00A}" sourceName="Data">
  <pivotTables>
    <pivotTable tabId="6" name="Pivot_ClasseAtivos"/>
    <pivotTable tabId="6" name="Pivot_ClasseAtivosXMoeda"/>
    <pivotTable tabId="6" name="Pivot_Moeda"/>
    <pivotTable tabId="6" name="Pivot_Estrategia"/>
    <pivotTable tabId="6" name="Pivot_RendaFixaXDuration"/>
    <pivotTable tabId="6" name="Pivot_RendaVariavel"/>
    <pivotTable tabId="6" name="Pivot_RendaVariavelXMoeda"/>
  </pivotTables>
  <data>
    <tabular pivotCacheId="12673716">
      <items count="30">
        <i x="1"/>
        <i x="2"/>
        <i x="3"/>
        <i x="4"/>
        <i x="5"/>
        <i x="6"/>
        <i x="7"/>
        <i x="8"/>
        <i x="9"/>
        <i x="10"/>
        <i x="11"/>
        <i x="12"/>
        <i x="13"/>
        <i x="14"/>
        <i x="15"/>
        <i x="16"/>
        <i x="17"/>
        <i x="18"/>
        <i x="19"/>
        <i x="20"/>
        <i x="21"/>
        <i x="22"/>
        <i x="23"/>
        <i x="24"/>
        <i x="25"/>
        <i x="26"/>
        <i x="27"/>
        <i x="28"/>
        <i x="0"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1" xr10:uid="{B4ABAF42-0189-7442-A5CC-360B4963B8A1}" sourceName="Data">
  <pivotTables>
    <pivotTable tabId="6" name="PivotTable2"/>
  </pivotTables>
  <data>
    <tabular pivotCacheId="12673716">
      <items count="30">
        <i x="1"/>
        <i x="2"/>
        <i x="3"/>
        <i x="4"/>
        <i x="5"/>
        <i x="6"/>
        <i x="7"/>
        <i x="8"/>
        <i x="9"/>
        <i x="10"/>
        <i x="11"/>
        <i x="12"/>
        <i x="13"/>
        <i x="14"/>
        <i x="15"/>
        <i x="16"/>
        <i x="17"/>
        <i x="18" s="1"/>
        <i x="19" s="1"/>
        <i x="20" s="1"/>
        <i x="21" s="1"/>
        <i x="22" s="1"/>
        <i x="23" s="1"/>
        <i x="24" s="1"/>
        <i x="25" s="1"/>
        <i x="26" s="1"/>
        <i x="27" s="1"/>
        <i x="28" s="1"/>
        <i x="0" s="1"/>
        <i x="2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ificação" xr10:uid="{253B0CC4-5EF0-AF4C-9716-41930673A9BC}" sourceName="Classificação">
  <pivotTables>
    <pivotTable tabId="2" name="Pivot_CompraVenda"/>
  </pivotTables>
  <data>
    <tabular pivotCacheId="2088854987" showMissing="0" crossFilter="none">
      <items count="7">
        <i x="0"/>
        <i x="1"/>
        <i x="2"/>
        <i x="3" s="1"/>
        <i x="4"/>
        <i x="5"/>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lassificação" xr10:uid="{1A2DA9A9-1DAD-314F-9B7D-1AA122F09B19}" sourceName="Subclassificação">
  <pivotTables>
    <pivotTable tabId="2" name="Pivot_CompraVenda"/>
  </pivotTables>
  <data>
    <tabular pivotCacheId="2088854987">
      <items count="12">
        <i x="3"/>
        <i x="5" s="1"/>
        <i x="6" nd="1"/>
        <i x="11" nd="1"/>
        <i x="9" nd="1"/>
        <i x="0" nd="1"/>
        <i x="4" nd="1"/>
        <i x="7" nd="1"/>
        <i x="10" nd="1"/>
        <i x="1" nd="1"/>
        <i x="8" nd="1"/>
        <i x="2"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2" xr10:uid="{B086A2C5-CA3B-AE49-A655-DB5A55DE1E29}" sourceName="Data">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3" xr10:uid="{0E01F683-AF78-5C43-8F5F-E6F5B9553F5B}" sourceName="Data">
  <extLst>
    <x:ext xmlns:x15="http://schemas.microsoft.com/office/spreadsheetml/2010/11/main" uri="{2F2917AC-EB37-4324-AD4E-5DD8C200BD13}">
      <x15:tableSlicerCache tableId="22"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ição" xr10:uid="{FEA524D9-28B5-8244-9B87-9093ADA8FC39}" sourceName="Instituição">
  <extLst>
    <x:ext xmlns:x15="http://schemas.microsoft.com/office/spreadsheetml/2010/11/main" uri="{2F2917AC-EB37-4324-AD4E-5DD8C200BD13}">
      <x15:tableSlicerCache tableId="22" column="13"/>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4" xr10:uid="{DCE823B3-3F4D-EB45-A3CF-BBCE64E9D764}" sourceName="Data">
  <extLst>
    <x:ext xmlns:x15="http://schemas.microsoft.com/office/spreadsheetml/2010/11/main" uri="{2F2917AC-EB37-4324-AD4E-5DD8C200BD13}">
      <x15:tableSlicerCache tableId="9"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1" xr10:uid="{FB62D239-51F0-9A4F-A4AD-49A198FDA580}" cache="Slicer_Data3" caption="Data" startItem="22" columnCount="2" style="SlicerStyleDark1" rowHeight="251883"/>
  <slicer name="Instituição" xr10:uid="{F706FEE8-0128-2646-AF1D-ACB7FEA03A45}" cache="Slicer_Instituição" caption="Instituição"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xr10:uid="{994BFC95-70A3-6349-83BA-6948150E9172}" cache="Slicer_Data2" caption="Data" startItem="20" columnCount="2" style="SlicerStyleDark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2" xr10:uid="{4884B905-7831-C342-8990-4241AC350DE4}" cache="Slicer_Data4" caption="Data" startItem="16" columnCount="2" style="SlicerStyleDark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Ativos" xr10:uid="{45E33533-8E91-D341-99D7-CCFE5D2B0E6E}" cache="Slicer_Data" caption="Gráficos" startItem="24" columnCount="4" style="SlicerStyleDark1" rowHeight="457200"/>
  <slicer name="Patrimônio" xr10:uid="{1E222733-5B84-1A45-AE2C-9BFA177741D7}" cache="Slicer_Data1" caption="Patrimônio" columnCount="6" style="SlicerStyleDark1" rowHeight="365760"/>
  <slicer name="Classificação" xr10:uid="{59416F0B-F97C-7E48-957F-F35EAF0D083C}" cache="Slicer_Classificação" caption="Classificação" columnCount="4" style="SlicerStyleDark1" rowHeight="548640"/>
  <slicer name="Subclassificação" xr10:uid="{B86AD41D-07DF-8643-BD72-EA4EC44658AF}" cache="Slicer_Subclassificação" caption="Subclassificação" columnCount="3" style="SlicerStyleDark1"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642BDDD-E942-9B47-B538-13CCF1EB36E2}" name="Table_Investimentos_Main" displayName="Table_Investimentos_Main" ref="B4:K347" headerRowDxfId="494" headerRowBorderDxfId="493" tableBorderDxfId="492" totalsRowBorderDxfId="491">
  <autoFilter ref="B4:K347" xr:uid="{C642BDDD-E942-9B47-B538-13CCF1EB36E2}"/>
  <sortState xmlns:xlrd2="http://schemas.microsoft.com/office/spreadsheetml/2017/richdata2" ref="B5:K327">
    <sortCondition ref="B4:B327"/>
  </sortState>
  <tableColumns count="10">
    <tableColumn id="1" xr3:uid="{62293ADA-A003-A148-B9AF-83C39133466D}" name="Data" totalsRowLabel="Total" dataDxfId="5" totalsRowDxfId="490"/>
    <tableColumn id="2" xr3:uid="{A7270A6A-C1CC-4F42-9793-C1465A29EA4E}" name="Nome" dataDxfId="489" totalsRowDxfId="488"/>
    <tableColumn id="3" xr3:uid="{A98A728B-AA4D-5942-B604-3D6F66F2B983}" name="Ticker" dataDxfId="487" totalsRowDxfId="486"/>
    <tableColumn id="13" xr3:uid="{B2C67EA3-8B17-8648-AF33-8AFB5BC6774B}" name="Instituição" dataDxfId="4" totalsRowDxfId="485"/>
    <tableColumn id="8" xr3:uid="{906D60CB-F9C6-AA46-A6A3-5BD65BD44435}" name="Estratégia" dataDxfId="3" totalsRowDxfId="484"/>
    <tableColumn id="5" xr3:uid="{F12D833E-8839-9545-9F60-8BF8235FFF45}" name="Quantidade" dataDxfId="2"/>
    <tableColumn id="14" xr3:uid="{F01161CA-45E8-B645-A539-0318AEDBE279}" name="Cotação Ativo" dataDxfId="483" totalsRowDxfId="482" dataCellStyle="Currency">
      <calculatedColumnFormula array="1">_xlfn.XLOOKUP(Table_Investimentos_Main[[#This Row],[Data]]&amp;Table_Investimentos_Main[[#This Row],[Ticker]],Table_Cotacoes[Data]&amp;Table_Cotacoes[Ticker],Table_Cotacoes[Valor],"")</calculatedColumnFormula>
    </tableColumn>
    <tableColumn id="10" xr3:uid="{532323D1-41CF-0140-AEA2-215925632ADE}" name="Moeda Base" dataDxfId="1" totalsRowDxfId="481">
      <calculatedColumnFormula>IF(Table_Investimentos_Main[[#This Row],[Ticker]]&lt;&gt;"",_xlfn.XLOOKUP(Table_Investimentos_Main[[#This Row],[Ticker]],Table_Cotacoes[Ticker],Table_Cotacoes[Moeda Base],""),"BRL")</calculatedColumnFormula>
    </tableColumn>
    <tableColumn id="11" xr3:uid="{C06C417E-32FF-894D-8D05-2F97A8E4EFAB}" name="Cotação Dolar" dataDxfId="0" totalsRowDxfId="480">
      <calculatedColumnFormula array="1">_xlfn.SINGLE(_xlfn.XLOOKUP(Table_Investimentos_Main[[#This Row],[Data]]&amp;"USD",Table_Cotacoes[Data]&amp;Table_Cotacoes[Ticker],Table_Cotacoes[Valor],""))</calculatedColumnFormula>
    </tableColumn>
    <tableColumn id="4" xr3:uid="{55D5B156-4F65-4B4D-A78E-B0E4610524D3}" name="Total (R$)" totalsRowFunction="sum" dataDxfId="479" totalsRowDxfId="478" dataCellStyle="Currency">
      <calculatedColumnFormula>IF(Table_Investimentos_Main[[#This Row],[Ticker]]&lt;&gt;"",Table_Investimentos_Main[[#This Row],[Quantidade]]*Table_Investimentos_Main[[#This Row],[Cotação Ativo]],Table_Investimentos_Main[[#This Row],[Quantidade]])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Investimentos_Porcent" displayName="Table_Investimentos_Porcent" ref="B4:K359" headerRowDxfId="499" totalsRowDxfId="497" tableBorderDxfId="498" totalsRowBorderDxfId="496">
  <autoFilter ref="B4:K359" xr:uid="{00000000-0009-0000-0100-000001000000}"/>
  <sortState xmlns:xlrd2="http://schemas.microsoft.com/office/spreadsheetml/2017/richdata2" ref="B5:K359">
    <sortCondition ref="B4:B359"/>
  </sortState>
  <tableColumns count="10">
    <tableColumn id="7" xr3:uid="{00000000-0010-0000-0000-000007000000}" name="Data" totalsRowLabel="Total" dataDxfId="14"/>
    <tableColumn id="1" xr3:uid="{00000000-0010-0000-0000-000001000000}" name="Nome" dataDxfId="13"/>
    <tableColumn id="6" xr3:uid="{00000000-0010-0000-0000-000006000000}" name="Classe" dataDxfId="12"/>
    <tableColumn id="5" xr3:uid="{00000000-0010-0000-0000-000005000000}" name="Subclasse" dataDxfId="11"/>
    <tableColumn id="14" xr3:uid="{00000000-0010-0000-0000-00000E000000}" name="Duração" dataDxfId="10"/>
    <tableColumn id="13" xr3:uid="{00000000-0010-0000-0000-00000D000000}" name="Estratégia" dataDxfId="9">
      <calculatedColumnFormula array="1">_xlfn.XLOOKUP(Table_Investimentos_Porcent[[#This Row],[Data]]&amp;Table_Investimentos_Porcent[[#This Row],[Nome]],Table_Investimentos_Main[Data]&amp;Table_Investimentos_Main[Nome],Table_Investimentos_Main[Estratégia],"NOT FOUND")</calculatedColumnFormula>
    </tableColumn>
    <tableColumn id="2" xr3:uid="{50DEF41F-BACB-2240-B223-9814D433A2D9}" name="Moeda Base" dataDxfId="8">
      <calculatedColumnFormula array="1">_xlfn.XLOOKUP(Table_Investimentos_Porcent[[#This Row],[Data]]&amp;Table_Investimentos_Porcent[[#This Row],[Nome]],Table_Investimentos_Main[Data]&amp;Table_Investimentos_Main[Nome],Table_Investimentos_Main[Moeda Base],"NOT FOUND")</calculatedColumnFormula>
    </tableColumn>
    <tableColumn id="12" xr3:uid="{00000000-0010-0000-0000-00000C000000}" name="Porcentagem" dataDxfId="7" dataCellStyle="Percent"/>
    <tableColumn id="4" xr3:uid="{00000000-0010-0000-0000-000004000000}" name="Total (R$)" dataDxfId="495" dataCellStyle="Currency">
      <calculatedColumnFormula array="1">Table_Investimentos_Porcent[[#This Row],[Porcentagem]]*_xlfn.XLOOKUP(Table_Investimentos_Porcent[[#This Row],[Data]]&amp;Table_Investimentos_Porcent[[#This Row],[Nome]],Table_Investimentos_Main[Data]&amp;Table_Investimentos_Main[Nome],Table_Investimentos_Main[Total (R$)],"NOT FOUND")</calculatedColumnFormula>
    </tableColumn>
    <tableColumn id="11" xr3:uid="{00000000-0010-0000-0000-00000B000000}" name="Total ($)" dataDxfId="6" dataCellStyle="Currency">
      <calculatedColumnFormula array="1">Table_Investimentos_Porcent[[#This Row],[Total (R$)]]/_xlfn.XLOOKUP(Table_Investimentos_Porcent[[#This Row],[Data]]&amp;Table_Investimentos_Porcent[[#This Row],[Nome]],Table_Investimentos_Main[Data]&amp;Table_Investimentos_Main[Nome],Table_Investimentos_Main[Cotação Dolar],"NOT FOUND")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Cotacoes" displayName="Table_Cotacoes" ref="C4:G148" totalsRowShown="0" headerRowDxfId="477" dataDxfId="476">
  <autoFilter ref="C4:G148" xr:uid="{00000000-0009-0000-0100-000009000000}">
    <filterColumn colId="0">
      <filters>
        <dateGroupItem year="2026" month="7" day="1" dateTimeGrouping="day"/>
      </filters>
    </filterColumn>
  </autoFilter>
  <sortState xmlns:xlrd2="http://schemas.microsoft.com/office/spreadsheetml/2017/richdata2" ref="C5:G136">
    <sortCondition ref="C4:C136"/>
  </sortState>
  <tableColumns count="5">
    <tableColumn id="1" xr3:uid="{00000000-0010-0000-0800-000001000000}" name="Data" dataDxfId="475"/>
    <tableColumn id="2" xr3:uid="{00000000-0010-0000-0800-000002000000}" name="Ticker" dataDxfId="474"/>
    <tableColumn id="3" xr3:uid="{00000000-0010-0000-0800-000003000000}" name="Valor" dataDxfId="473" dataCellStyle="Currency"/>
    <tableColumn id="4" xr3:uid="{00000000-0010-0000-0800-000004000000}" name="Moeda Base" dataDxfId="472"/>
    <tableColumn id="5" xr3:uid="{00000000-0010-0000-0800-000005000000}" name="Tipo" dataDxfId="47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RendaFixaXDuration" displayName="Table_RendaFixaXDuration" ref="J40:M43" totalsRowCount="1" headerRowDxfId="290" dataDxfId="288" headerRowBorderDxfId="289">
  <autoFilter ref="J40:M42" xr:uid="{00000000-0009-0000-0100-000002000000}">
    <filterColumn colId="0" hiddenButton="1"/>
    <filterColumn colId="1" hiddenButton="1"/>
    <filterColumn colId="2" hiddenButton="1"/>
    <filterColumn colId="3" hiddenButton="1"/>
  </autoFilter>
  <tableColumns count="4">
    <tableColumn id="1" xr3:uid="{00000000-0010-0000-0100-000001000000}" name="Subclasse" totalsRowLabel="Total" dataDxfId="287" totalsRowDxfId="286">
      <calculatedColumnFormula>B41</calculatedColumnFormula>
    </tableColumn>
    <tableColumn id="2" xr3:uid="{00000000-0010-0000-0100-000002000000}" name="Curto" totalsRowFunction="sum" dataDxfId="285" totalsRowDxfId="284" dataCellStyle="Percent"/>
    <tableColumn id="3" xr3:uid="{00000000-0010-0000-0100-000003000000}" name="Médio" totalsRowFunction="sum" dataDxfId="283" totalsRowDxfId="282" dataCellStyle="Percent"/>
    <tableColumn id="4" xr3:uid="{00000000-0010-0000-0100-000004000000}" name="Longo" totalsRowFunction="sum" dataDxfId="281" totalsRowDxfId="280" dataCellStyle="Percent" totalsRow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ClasseAtivos" displayName="Table_ClasseAtivos" ref="J5:L11" totalsRowCount="1" headerRowDxfId="279">
  <autoFilter ref="J5:L10" xr:uid="{00000000-0009-0000-0100-000003000000}">
    <filterColumn colId="0" hiddenButton="1"/>
    <filterColumn colId="1" hiddenButton="1"/>
    <filterColumn colId="2" hiddenButton="1"/>
  </autoFilter>
  <tableColumns count="3">
    <tableColumn id="1" xr3:uid="{00000000-0010-0000-0200-000001000000}" name="Classe" totalsRowLabel="Total">
      <calculatedColumnFormula>B6</calculatedColumnFormula>
    </tableColumn>
    <tableColumn id="3" xr3:uid="{00000000-0010-0000-0200-000003000000}" name="Total Ideal" totalsRowFunction="sum" totalsRowDxfId="278" dataCellStyle="Currency">
      <calculatedColumnFormula>GETPIVOTDATA("Total (R$)",$B$5)*Table_ClasseAtivos[[#This Row],[Porcentagem]]</calculatedColumnFormula>
    </tableColumn>
    <tableColumn id="2" xr3:uid="{00000000-0010-0000-0200-000002000000}" name="Porcentagem" totalsRowFunction="sum" dataDxfId="277" totalsRowDxfId="276" dataCellStyle="Percen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Moeda" displayName="Table_Moeda" ref="J22:L26" totalsRowCount="1" headerRowDxfId="275">
  <autoFilter ref="J22:L25" xr:uid="{00000000-0009-0000-0100-000004000000}">
    <filterColumn colId="0" hiddenButton="1"/>
    <filterColumn colId="1" hiddenButton="1"/>
    <filterColumn colId="2" hiddenButton="1"/>
  </autoFilter>
  <tableColumns count="3">
    <tableColumn id="1" xr3:uid="{00000000-0010-0000-0300-000001000000}" name="Moeda" totalsRowLabel="Total" dataDxfId="274">
      <calculatedColumnFormula>B23</calculatedColumnFormula>
    </tableColumn>
    <tableColumn id="3" xr3:uid="{00000000-0010-0000-0300-000003000000}" name="Total Ideal" totalsRowFunction="sum" dataDxfId="273" totalsRowDxfId="272" dataCellStyle="Currency">
      <calculatedColumnFormula>GETPIVOTDATA("Total (R$)",$B$22)*Table_Moeda[[#This Row],[Porcentagem]]</calculatedColumnFormula>
    </tableColumn>
    <tableColumn id="2" xr3:uid="{00000000-0010-0000-0300-000002000000}" name="Porcentagem" totalsRowFunction="sum" dataDxfId="271" totalsRowDxfId="270"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Estrategia" displayName="Table_Estrategia" ref="J29:L34" totalsRowCount="1" headerRowDxfId="269">
  <autoFilter ref="J29:L33" xr:uid="{00000000-0009-0000-0100-000005000000}">
    <filterColumn colId="0" hiddenButton="1"/>
    <filterColumn colId="1" hiddenButton="1"/>
    <filterColumn colId="2" hiddenButton="1"/>
  </autoFilter>
  <tableColumns count="3">
    <tableColumn id="1" xr3:uid="{00000000-0010-0000-0400-000001000000}" name="Estratégia" totalsRowLabel="Total" dataDxfId="268">
      <calculatedColumnFormula>B30</calculatedColumnFormula>
    </tableColumn>
    <tableColumn id="3" xr3:uid="{00000000-0010-0000-0400-000003000000}" name="Total Ideal" dataCellStyle="Currency" totalsRowCellStyle="Currency">
      <calculatedColumnFormula>Table_Estrategia[[#This Row],[Porcentagem]]*GETPIVOTDATA("Total (R$)",Tables_Atual_Ideal!$B$29)</calculatedColumnFormula>
    </tableColumn>
    <tableColumn id="2" xr3:uid="{00000000-0010-0000-0400-000002000000}" name="Porcentagem" totalsRowFunction="sum" dataDxfId="267" totalsRowDxfId="266" dataCellStyle="Percent" totalsRow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ClasseAtivosXMoeda" displayName="Table_ClasseAtivosXMoeda" ref="J15:O19" totalsRowCount="1">
  <autoFilter ref="J15:O18" xr:uid="{00000000-0009-0000-0100-000008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700-000001000000}" name="Moeda" totalsRowLabel="Total">
      <calculatedColumnFormula>B16</calculatedColumnFormula>
    </tableColumn>
    <tableColumn id="2" xr3:uid="{00000000-0010-0000-0700-000002000000}" name="Caixa" totalsRowFunction="sum" dataDxfId="265" totalsRowDxfId="264" dataCellStyle="Percent"/>
    <tableColumn id="3" xr3:uid="{00000000-0010-0000-0700-000003000000}" name="Cripto" totalsRowFunction="sum" dataDxfId="263" totalsRowDxfId="262" dataCellStyle="Percent"/>
    <tableColumn id="4" xr3:uid="{00000000-0010-0000-0700-000004000000}" name="Renda Fixa" totalsRowFunction="sum" dataDxfId="261" totalsRowDxfId="260" dataCellStyle="Percent"/>
    <tableColumn id="5" xr3:uid="{00000000-0010-0000-0700-000005000000}" name="Renda Variável" totalsRowFunction="sum" dataDxfId="259" totalsRowDxfId="258" dataCellStyle="Percent"/>
    <tableColumn id="6" xr3:uid="{00000000-0010-0000-0700-000006000000}" name="Reserva" totalsRowFunction="sum" dataDxfId="257" totalsRowDxfId="256"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RendaVariavel" displayName="Table_RendaVariavel" ref="J48:K54" totalsRowCount="1" dataDxfId="255">
  <autoFilter ref="J48:K53" xr:uid="{00000000-0009-0000-0100-000007000000}">
    <filterColumn colId="0" hiddenButton="1"/>
    <filterColumn colId="1" hiddenButton="1"/>
  </autoFilter>
  <tableColumns count="2">
    <tableColumn id="1" xr3:uid="{00000000-0010-0000-0600-000001000000}" name="Subclasse" totalsRowLabel="Total" dataDxfId="254" totalsRowDxfId="253">
      <calculatedColumnFormula>B49</calculatedColumnFormula>
    </tableColumn>
    <tableColumn id="2" xr3:uid="{00000000-0010-0000-0600-000002000000}" name="Porcentagem" totalsRowFunction="sum" dataDxfId="252" totalsRowDxfId="251" dataCellStyl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7" displayName="Table17" ref="J60:R87" headerRowDxfId="250">
  <autoFilter ref="J60:R87"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sortState xmlns:xlrd2="http://schemas.microsoft.com/office/spreadsheetml/2017/richdata2" ref="J61:R87">
    <sortCondition ref="K60:K87"/>
  </sortState>
  <tableColumns count="9">
    <tableColumn id="1" xr3:uid="{00000000-0010-0000-0500-000001000000}" name="Tipo" dataDxfId="249" totalsRowDxfId="248"/>
    <tableColumn id="2" xr3:uid="{00000000-0010-0000-0500-000002000000}" name="Classificação" dataDxfId="247" totalsRowDxfId="246"/>
    <tableColumn id="9" xr3:uid="{CCCB8C4C-F646-2B4E-9249-15FF3BDB51D4}" name="Subclassificação" dataDxfId="245" totalsRowDxfId="244"/>
    <tableColumn id="3" xr3:uid="{00000000-0010-0000-0500-000003000000}" name="Percentual Atual" dataDxfId="243" totalsRowDxfId="242" dataCellStyle="Percent">
      <calculatedColumnFormula>GETPIVOTDATA("Porcentagem",Tables_Atual_Ideal!$B$5,"Tipo",J62)</calculatedColumnFormula>
    </tableColumn>
    <tableColumn id="4" xr3:uid="{00000000-0010-0000-0500-000004000000}" name="Total Atual" totalsRowFunction="sum" dataDxfId="241" totalsRowDxfId="240" dataCellStyle="Currency">
      <calculatedColumnFormula>GETPIVOTDATA("Total (R$)",Tables_Atual_Ideal!$B$5,"Tipo",Table17[[#This Row],[Tipo]])</calculatedColumnFormula>
    </tableColumn>
    <tableColumn id="5" xr3:uid="{00000000-0010-0000-0500-000005000000}" name="Percentual Ideal" totalsRowFunction="sum" dataDxfId="239" totalsRowDxfId="238">
      <calculatedColumnFormula>Tables_Atual_Ideal!L6</calculatedColumnFormula>
    </tableColumn>
    <tableColumn id="6" xr3:uid="{00000000-0010-0000-0500-000006000000}" name="Total Ideal" totalsRowFunction="sum" dataDxfId="237" totalsRowDxfId="236"/>
    <tableColumn id="7" xr3:uid="{00000000-0010-0000-0500-000007000000}" name="Diferenca" totalsRowFunction="sum" dataDxfId="235" totalsRowDxfId="234">
      <calculatedColumnFormula>Table17[[#This Row],[Total Atual]]-Table17[[#This Row],[Total Ideal]]</calculatedColumnFormula>
    </tableColumn>
    <tableColumn id="8" xr3:uid="{00000000-0010-0000-0500-000008000000}" name="Acao" dataDxfId="233">
      <calculatedColumnFormula>IF(Table17[[#This Row],[Diferenca]]&gt;0,"VENDER","COMPRAR")</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2" displayName="Table12" ref="B4:J14" totalsRowCount="1" headerRowDxfId="232" dataDxfId="231" totalsRowDxfId="229" tableBorderDxfId="230">
  <autoFilter ref="B4:J1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900-000001000000}" name="Mês" totalsRowLabel="Total" dataDxfId="228" totalsRowDxfId="227"/>
    <tableColumn id="2" xr3:uid="{00000000-0010-0000-0900-000002000000}" name="Salário Líquido + Extras" dataDxfId="226" totalsRowDxfId="225"/>
    <tableColumn id="3" xr3:uid="{00000000-0010-0000-0900-000003000000}" name="VA/VR" dataDxfId="224" totalsRowDxfId="223"/>
    <tableColumn id="4" xr3:uid="{00000000-0010-0000-0900-000004000000}" name="Entrada Total" totalsRowFunction="sum" dataDxfId="222" totalsRowDxfId="221">
      <calculatedColumnFormula>Table12[[#This Row],[Salário Líquido + Extras]]+Table12[[#This Row],[VA/VR]]</calculatedColumnFormula>
    </tableColumn>
    <tableColumn id="16" xr3:uid="{00000000-0010-0000-0900-000010000000}" name="Gasto - Cartão" dataDxfId="220" totalsRowDxfId="219"/>
    <tableColumn id="17" xr3:uid="{00000000-0010-0000-0900-000011000000}" name="Gasto - PIX" dataDxfId="218" totalsRowDxfId="217">
      <calculatedColumnFormula>IF(#REF!="OK",Table12[[#This Row],[Salário Líquido + Extras]]-#REF!-Table12[[#This Row],[Gasto - Cartão]],Table12[[#This Row],[Salário Líquido + Extras]]-#REF!)</calculatedColumnFormula>
    </tableColumn>
    <tableColumn id="8" xr3:uid="{00000000-0010-0000-0900-000008000000}" name="Gasto - VA/VR" dataDxfId="216" totalsRowDxfId="215">
      <calculatedColumnFormula>Gastos_Mensais!$D5-Gastos_Mensais!#REF!</calculatedColumnFormula>
    </tableColumn>
    <tableColumn id="14" xr3:uid="{00000000-0010-0000-0900-00000E000000}" name="Saída Total" totalsRowFunction="sum" dataDxfId="214" totalsRowDxfId="213">
      <calculatedColumnFormula>Table12[[#This Row],[Gasto - PIX]]+Table12[[#This Row],[Gasto - VA/VR]]+Table12[[#This Row],[Gasto - Cartão]]</calculatedColumnFormula>
    </tableColumn>
    <tableColumn id="18" xr3:uid="{00000000-0010-0000-0900-000012000000}" name="Balanço Mensal" totalsRowFunction="sum" dataDxfId="212" totalsRowDxfId="211">
      <calculatedColumnFormula>Table12[[#This Row],[Entrada Total]]-Table12[[#This Row],[Saída Total]]</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5" displayName="Table5" ref="L4:N14" totalsRowCount="1" headerRowDxfId="210" dataDxfId="209" totalsRowDxfId="208">
  <autoFilter ref="L4:N13" xr:uid="{00000000-0009-0000-0100-00000B000000}">
    <filterColumn colId="0" hiddenButton="1"/>
    <filterColumn colId="1" hiddenButton="1"/>
    <filterColumn colId="2" hiddenButton="1"/>
  </autoFilter>
  <tableColumns count="3">
    <tableColumn id="1" xr3:uid="{00000000-0010-0000-0A00-000001000000}" name="Gasto" totalsRowLabel="Total" dataDxfId="207" totalsRowDxfId="206"/>
    <tableColumn id="2" xr3:uid="{00000000-0010-0000-0A00-000002000000}" name="Valor" totalsRowFunction="sum" dataDxfId="205" totalsRowDxfId="204" dataCellStyle="Currency"/>
    <tableColumn id="3" xr3:uid="{00000000-0010-0000-0A00-000003000000}" name="Tipo" dataDxfId="20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8" displayName="Table8" ref="L18:M21" totalsRowCount="1" headerRowDxfId="202" dataDxfId="201" totalsRowDxfId="200" dataCellStyle="Currency">
  <autoFilter ref="L18:M20" xr:uid="{00000000-0009-0000-0100-00000C000000}">
    <filterColumn colId="0" hiddenButton="1"/>
    <filterColumn colId="1" hiddenButton="1"/>
  </autoFilter>
  <tableColumns count="2">
    <tableColumn id="1" xr3:uid="{00000000-0010-0000-0B00-000001000000}" name="Tipo" totalsRowLabel="Total" dataDxfId="199" totalsRowDxfId="198"/>
    <tableColumn id="2" xr3:uid="{00000000-0010-0000-0B00-000002000000}" name="PIX" totalsRowFunction="sum" dataDxfId="197" totalsRowDxfId="196" dataCellStyle="Currency">
      <calculatedColumnFormula>SUMIF(Table5[Tipo],Table8[[#This Row],[Tipo]],Table5[Valor])</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25" displayName="Table25" ref="C8:E15" totalsRowCount="1" headerRowDxfId="195">
  <autoFilter ref="C8:E14" xr:uid="{00000000-0009-0000-0100-00000D000000}">
    <filterColumn colId="1">
      <filters>
        <filter val="06/07/26"/>
        <filter val="09/06/26"/>
        <filter val="12/03/26"/>
        <filter val="15/04/26"/>
      </filters>
    </filterColumn>
  </autoFilter>
  <tableColumns count="3">
    <tableColumn id="3" xr3:uid="{00000000-0010-0000-0C00-000003000000}" name="Nº Parela"/>
    <tableColumn id="1" xr3:uid="{00000000-0010-0000-0C00-000001000000}" name="Data" totalsRowLabel="Total" dataDxfId="194" totalsRowDxfId="193"/>
    <tableColumn id="2" xr3:uid="{00000000-0010-0000-0C00-000002000000}" name="Valor" totalsRowFunction="sum" dataDxfId="192" totalsRowDxfId="191" dataCellStyle="Currenc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9" displayName="Table59" ref="C3:D5" totalsRowShown="0" headerRowDxfId="190">
  <autoFilter ref="C3:D5" xr:uid="{00000000-0009-0000-0100-00000E000000}"/>
  <tableColumns count="2">
    <tableColumn id="1" xr3:uid="{00000000-0010-0000-0D00-000001000000}" name="Informações"/>
    <tableColumn id="2" xr3:uid="{00000000-0010-0000-0D00-000002000000}" name="Valores" dataDxfId="189">
      <calculatedColumnFormula>12%*Table1[[#Totals],[Renda Tributável]]</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 displayName="Table1" ref="C18:K39" totalsRowCount="1" headerRowDxfId="188" tableBorderDxfId="187">
  <autoFilter ref="C18:K38" xr:uid="{00000000-0009-0000-0100-00000F000000}">
    <filterColumn colId="0">
      <filters>
        <dateGroupItem year="2026" dateTimeGrouping="year"/>
      </filters>
    </filterColumn>
  </autoFilter>
  <tableColumns count="9">
    <tableColumn id="1" xr3:uid="{00000000-0010-0000-0E00-000001000000}" name="Mês Base" totalsRowLabel="Total" totalsRowDxfId="186"/>
    <tableColumn id="2" xr3:uid="{00000000-0010-0000-0E00-000002000000}" name="Empresa"/>
    <tableColumn id="3" xr3:uid="{00000000-0010-0000-0E00-000003000000}" name="Data Incial"/>
    <tableColumn id="4" xr3:uid="{00000000-0010-0000-0E00-000004000000}" name="Data Final"/>
    <tableColumn id="5" xr3:uid="{00000000-0010-0000-0E00-000005000000}" name="Dias Trabalhados">
      <calculatedColumnFormula>_xlfn.DAYS(Previdencia!$F19,Previdencia!$E19)+1</calculatedColumnFormula>
    </tableColumn>
    <tableColumn id="6" xr3:uid="{00000000-0010-0000-0E00-000006000000}" name="Necessario Calcular"/>
    <tableColumn id="7" xr3:uid="{00000000-0010-0000-0E00-000007000000}" name="Salário Base Bruto"/>
    <tableColumn id="8" xr3:uid="{00000000-0010-0000-0E00-000008000000}" name="Saário Por dia" dataDxfId="185" totalsRowDxfId="184" dataCellStyle="Currency">
      <calculatedColumnFormula>Previdencia!$I19/30</calculatedColumnFormula>
    </tableColumn>
    <tableColumn id="9" xr3:uid="{00000000-0010-0000-0E00-000009000000}" name="Renda Tributável" totalsRowFunction="sum" totalsRowDxfId="183">
      <calculatedColumnFormula>IF(Previdencia!$H19="Sim",Previdencia!$J19*Previdencia!$G19,Previdencia!$I19)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table" Target="../tables/table8.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table" Target="../tables/table7.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table" Target="../tables/table6.xml"/><Relationship Id="rId5" Type="http://schemas.openxmlformats.org/officeDocument/2006/relationships/pivotTable" Target="../pivotTables/pivotTable6.xml"/><Relationship Id="rId15" Type="http://schemas.openxmlformats.org/officeDocument/2006/relationships/table" Target="../tables/table10.xml"/><Relationship Id="rId10" Type="http://schemas.openxmlformats.org/officeDocument/2006/relationships/table" Target="../tables/table5.xml"/><Relationship Id="rId4" Type="http://schemas.openxmlformats.org/officeDocument/2006/relationships/pivotTable" Target="../pivotTables/pivotTable5.xml"/><Relationship Id="rId9" Type="http://schemas.openxmlformats.org/officeDocument/2006/relationships/table" Target="../tables/table4.xml"/><Relationship Id="rId1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 Id="rId4"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9C1B-A409-1844-B716-CA40DEE0CDF6}">
  <dimension ref="B3:K347"/>
  <sheetViews>
    <sheetView tabSelected="1" topLeftCell="A318" zoomScale="87" workbookViewId="0">
      <selection activeCell="L336" sqref="L336"/>
    </sheetView>
  </sheetViews>
  <sheetFormatPr baseColWidth="10" defaultRowHeight="16" x14ac:dyDescent="0.2"/>
  <cols>
    <col min="2" max="2" width="10.1640625" bestFit="1" customWidth="1"/>
    <col min="3" max="3" width="26" bestFit="1" customWidth="1"/>
    <col min="4" max="4" width="11.1640625" bestFit="1" customWidth="1"/>
    <col min="5" max="5" width="14.83203125" bestFit="1" customWidth="1"/>
    <col min="6" max="6" width="14.5" bestFit="1" customWidth="1"/>
    <col min="7" max="7" width="15.6640625" bestFit="1" customWidth="1"/>
    <col min="8" max="8" width="17.83203125" hidden="1" customWidth="1"/>
    <col min="9" max="9" width="16.33203125" hidden="1" customWidth="1"/>
    <col min="10" max="10" width="17.83203125" hidden="1" customWidth="1"/>
    <col min="11" max="11" width="14.33203125" bestFit="1" customWidth="1"/>
  </cols>
  <sheetData>
    <row r="3" spans="2:11" x14ac:dyDescent="0.2">
      <c r="B3" s="82" t="s">
        <v>212</v>
      </c>
      <c r="C3" s="83"/>
      <c r="D3" s="83"/>
      <c r="E3" s="83"/>
      <c r="F3" s="83"/>
      <c r="G3" s="83"/>
      <c r="H3" s="83"/>
      <c r="I3" s="83"/>
      <c r="J3" s="83"/>
      <c r="K3" s="83"/>
    </row>
    <row r="4" spans="2:11" x14ac:dyDescent="0.2">
      <c r="B4" s="5" t="s">
        <v>0</v>
      </c>
      <c r="C4" s="5" t="s">
        <v>210</v>
      </c>
      <c r="D4" s="5" t="s">
        <v>131</v>
      </c>
      <c r="E4" s="5" t="s">
        <v>1</v>
      </c>
      <c r="F4" s="5" t="s">
        <v>5</v>
      </c>
      <c r="G4" s="5" t="s">
        <v>8</v>
      </c>
      <c r="H4" s="3" t="s">
        <v>211</v>
      </c>
      <c r="I4" s="5" t="s">
        <v>7</v>
      </c>
      <c r="J4" s="3" t="s">
        <v>6</v>
      </c>
      <c r="K4" s="3" t="s">
        <v>9</v>
      </c>
    </row>
    <row r="5" spans="2:11" x14ac:dyDescent="0.2">
      <c r="B5" s="67">
        <v>45078</v>
      </c>
      <c r="C5" t="s">
        <v>11</v>
      </c>
      <c r="D5" t="s">
        <v>14</v>
      </c>
      <c r="E5" s="3" t="s">
        <v>12</v>
      </c>
      <c r="F5" s="3"/>
      <c r="G5" s="10">
        <v>0.17919499999999999</v>
      </c>
      <c r="H5" s="18" cm="1">
        <f t="array" ref="H5">_xlfn.XLOOKUP(Table_Investimentos_Main[[#This Row],[Data]]&amp;Table_Investimentos_Main[[#This Row],[Ticker]],Table_Cotacoes[Data]&amp;Table_Cotacoes[Ticker],Table_Cotacoes[Valor],"")</f>
        <v>135052</v>
      </c>
      <c r="I5" s="5" t="str">
        <f>IF(Table_Investimentos_Main[[#This Row],[Ticker]]&lt;&gt;"",_xlfn.XLOOKUP(Table_Investimentos_Main[[#This Row],[Ticker]],Table_Cotacoes[Ticker],Table_Cotacoes[Moeda Base],""),"BRL")</f>
        <v>BTC</v>
      </c>
      <c r="J5" s="11" cm="1">
        <f t="array" ref="J5">_xlfn.SINGLE(_xlfn.XLOOKUP(Table_Investimentos_Main[[#This Row],[Data]]&amp;"USD",Table_Cotacoes[Data]&amp;Table_Cotacoes[Ticker],Table_Cotacoes[Valor],""))</f>
        <v>5.0069999999999997</v>
      </c>
      <c r="K5" s="18">
        <f>IF(Table_Investimentos_Main[[#This Row],[Ticker]]&lt;&gt;"",Table_Investimentos_Main[[#This Row],[Quantidade]]*Table_Investimentos_Main[[#This Row],[Cotação Ativo]],Table_Investimentos_Main[[#This Row],[Quantidade]])</f>
        <v>24200.64314</v>
      </c>
    </row>
    <row r="6" spans="2:11" x14ac:dyDescent="0.2">
      <c r="B6" s="67">
        <v>45078</v>
      </c>
      <c r="C6" t="s">
        <v>15</v>
      </c>
      <c r="E6" s="3" t="s">
        <v>16</v>
      </c>
      <c r="F6" s="3"/>
      <c r="G6" s="10">
        <v>3698.14</v>
      </c>
      <c r="H6" s="18" t="str" cm="1">
        <f t="array" ref="H6">_xlfn.XLOOKUP(Table_Investimentos_Main[[#This Row],[Data]]&amp;Table_Investimentos_Main[[#This Row],[Ticker]],Table_Cotacoes[Data]&amp;Table_Cotacoes[Ticker],Table_Cotacoes[Valor],"")</f>
        <v/>
      </c>
      <c r="I6" s="5" t="str">
        <f>IF(Table_Investimentos_Main[[#This Row],[Ticker]]&lt;&gt;"",_xlfn.XLOOKUP(Table_Investimentos_Main[[#This Row],[Ticker]],Table_Cotacoes[Ticker],Table_Cotacoes[Moeda Base],""),"BRL")</f>
        <v>BRL</v>
      </c>
      <c r="J6" s="11" cm="1">
        <f t="array" ref="J6">_xlfn.SINGLE(_xlfn.XLOOKUP(Table_Investimentos_Main[[#This Row],[Data]]&amp;"USD",Table_Cotacoes[Data]&amp;Table_Cotacoes[Ticker],Table_Cotacoes[Valor],""))</f>
        <v>5.0069999999999997</v>
      </c>
      <c r="K6" s="18">
        <f>IF(Table_Investimentos_Main[[#This Row],[Ticker]]&lt;&gt;"",Table_Investimentos_Main[[#This Row],[Quantidade]]*Table_Investimentos_Main[[#This Row],[Cotação Ativo]],Table_Investimentos_Main[[#This Row],[Quantidade]])</f>
        <v>3698.14</v>
      </c>
    </row>
    <row r="7" spans="2:11" x14ac:dyDescent="0.2">
      <c r="B7" s="67">
        <v>45078</v>
      </c>
      <c r="C7" t="s">
        <v>18</v>
      </c>
      <c r="E7" s="3" t="s">
        <v>19</v>
      </c>
      <c r="F7" s="3"/>
      <c r="G7" s="10">
        <v>20017.71</v>
      </c>
      <c r="H7" s="18" t="str" cm="1">
        <f t="array" ref="H7">_xlfn.XLOOKUP(Table_Investimentos_Main[[#This Row],[Data]]&amp;Table_Investimentos_Main[[#This Row],[Ticker]],Table_Cotacoes[Data]&amp;Table_Cotacoes[Ticker],Table_Cotacoes[Valor],"")</f>
        <v/>
      </c>
      <c r="I7" s="5" t="str">
        <f>IF(Table_Investimentos_Main[[#This Row],[Ticker]]&lt;&gt;"",_xlfn.XLOOKUP(Table_Investimentos_Main[[#This Row],[Ticker]],Table_Cotacoes[Ticker],Table_Cotacoes[Moeda Base],""),"BRL")</f>
        <v>BRL</v>
      </c>
      <c r="J7" s="11" cm="1">
        <f t="array" ref="J7">_xlfn.SINGLE(_xlfn.XLOOKUP(Table_Investimentos_Main[[#This Row],[Data]]&amp;"USD",Table_Cotacoes[Data]&amp;Table_Cotacoes[Ticker],Table_Cotacoes[Valor],""))</f>
        <v>5.0069999999999997</v>
      </c>
      <c r="K7" s="18">
        <f>IF(Table_Investimentos_Main[[#This Row],[Ticker]]&lt;&gt;"",Table_Investimentos_Main[[#This Row],[Quantidade]]*Table_Investimentos_Main[[#This Row],[Cotação Ativo]],Table_Investimentos_Main[[#This Row],[Quantidade]])</f>
        <v>20017.71</v>
      </c>
    </row>
    <row r="8" spans="2:11" x14ac:dyDescent="0.2">
      <c r="B8" s="67">
        <v>45078</v>
      </c>
      <c r="C8" t="s">
        <v>21</v>
      </c>
      <c r="D8" t="s">
        <v>24</v>
      </c>
      <c r="E8" s="3" t="s">
        <v>22</v>
      </c>
      <c r="F8" s="3"/>
      <c r="G8" s="10">
        <v>1002</v>
      </c>
      <c r="H8" s="18" cm="1">
        <f t="array" ref="H8">_xlfn.XLOOKUP(Table_Investimentos_Main[[#This Row],[Data]]&amp;Table_Investimentos_Main[[#This Row],[Ticker]],Table_Cotacoes[Data]&amp;Table_Cotacoes[Ticker],Table_Cotacoes[Valor],"")</f>
        <v>5.0069999999999997</v>
      </c>
      <c r="I8" s="5" t="str">
        <f>IF(Table_Investimentos_Main[[#This Row],[Ticker]]&lt;&gt;"",_xlfn.XLOOKUP(Table_Investimentos_Main[[#This Row],[Ticker]],Table_Cotacoes[Ticker],Table_Cotacoes[Moeda Base],""),"BRL")</f>
        <v>USD</v>
      </c>
      <c r="J8" s="11" cm="1">
        <f t="array" ref="J8">_xlfn.SINGLE(_xlfn.XLOOKUP(Table_Investimentos_Main[[#This Row],[Data]]&amp;"USD",Table_Cotacoes[Data]&amp;Table_Cotacoes[Ticker],Table_Cotacoes[Valor],""))</f>
        <v>5.0069999999999997</v>
      </c>
      <c r="K8" s="18">
        <f>IF(Table_Investimentos_Main[[#This Row],[Ticker]]&lt;&gt;"",Table_Investimentos_Main[[#This Row],[Quantidade]]*Table_Investimentos_Main[[#This Row],[Cotação Ativo]],Table_Investimentos_Main[[#This Row],[Quantidade]])</f>
        <v>5017.0140000000001</v>
      </c>
    </row>
    <row r="9" spans="2:11" x14ac:dyDescent="0.2">
      <c r="B9" s="67">
        <v>45078</v>
      </c>
      <c r="C9" t="s">
        <v>25</v>
      </c>
      <c r="D9" t="s">
        <v>24</v>
      </c>
      <c r="E9" s="3" t="s">
        <v>22</v>
      </c>
      <c r="F9" s="3"/>
      <c r="G9" s="10">
        <v>2527</v>
      </c>
      <c r="H9" s="18" cm="1">
        <f t="array" ref="H9">_xlfn.XLOOKUP(Table_Investimentos_Main[[#This Row],[Data]]&amp;Table_Investimentos_Main[[#This Row],[Ticker]],Table_Cotacoes[Data]&amp;Table_Cotacoes[Ticker],Table_Cotacoes[Valor],"")</f>
        <v>5.0069999999999997</v>
      </c>
      <c r="I9" s="5" t="str">
        <f>IF(Table_Investimentos_Main[[#This Row],[Ticker]]&lt;&gt;"",_xlfn.XLOOKUP(Table_Investimentos_Main[[#This Row],[Ticker]],Table_Cotacoes[Ticker],Table_Cotacoes[Moeda Base],""),"BRL")</f>
        <v>USD</v>
      </c>
      <c r="J9" s="11" cm="1">
        <f t="array" ref="J9">_xlfn.SINGLE(_xlfn.XLOOKUP(Table_Investimentos_Main[[#This Row],[Data]]&amp;"USD",Table_Cotacoes[Data]&amp;Table_Cotacoes[Ticker],Table_Cotacoes[Valor],""))</f>
        <v>5.0069999999999997</v>
      </c>
      <c r="K9" s="18">
        <f>IF(Table_Investimentos_Main[[#This Row],[Ticker]]&lt;&gt;"",Table_Investimentos_Main[[#This Row],[Quantidade]]*Table_Investimentos_Main[[#This Row],[Cotação Ativo]],Table_Investimentos_Main[[#This Row],[Quantidade]])</f>
        <v>12652.688999999998</v>
      </c>
    </row>
    <row r="10" spans="2:11" x14ac:dyDescent="0.2">
      <c r="B10" s="67">
        <v>45078</v>
      </c>
      <c r="C10" t="s">
        <v>26</v>
      </c>
      <c r="D10" t="s">
        <v>24</v>
      </c>
      <c r="E10" s="3" t="s">
        <v>27</v>
      </c>
      <c r="F10" s="3"/>
      <c r="G10" s="10">
        <v>99.79</v>
      </c>
      <c r="H10" s="18" cm="1">
        <f t="array" ref="H10">_xlfn.XLOOKUP(Table_Investimentos_Main[[#This Row],[Data]]&amp;Table_Investimentos_Main[[#This Row],[Ticker]],Table_Cotacoes[Data]&amp;Table_Cotacoes[Ticker],Table_Cotacoes[Valor],"")</f>
        <v>5.0069999999999997</v>
      </c>
      <c r="I10" s="5" t="str">
        <f>IF(Table_Investimentos_Main[[#This Row],[Ticker]]&lt;&gt;"",_xlfn.XLOOKUP(Table_Investimentos_Main[[#This Row],[Ticker]],Table_Cotacoes[Ticker],Table_Cotacoes[Moeda Base],""),"BRL")</f>
        <v>USD</v>
      </c>
      <c r="J10" s="11" cm="1">
        <f t="array" ref="J10">_xlfn.SINGLE(_xlfn.XLOOKUP(Table_Investimentos_Main[[#This Row],[Data]]&amp;"USD",Table_Cotacoes[Data]&amp;Table_Cotacoes[Ticker],Table_Cotacoes[Valor],""))</f>
        <v>5.0069999999999997</v>
      </c>
      <c r="K10" s="18">
        <f>IF(Table_Investimentos_Main[[#This Row],[Ticker]]&lt;&gt;"",Table_Investimentos_Main[[#This Row],[Quantidade]]*Table_Investimentos_Main[[#This Row],[Cotação Ativo]],Table_Investimentos_Main[[#This Row],[Quantidade]])</f>
        <v>499.64852999999999</v>
      </c>
    </row>
    <row r="11" spans="2:11" x14ac:dyDescent="0.2">
      <c r="B11" s="67">
        <v>45108</v>
      </c>
      <c r="C11" t="s">
        <v>11</v>
      </c>
      <c r="D11" t="s">
        <v>14</v>
      </c>
      <c r="E11" s="3" t="s">
        <v>12</v>
      </c>
      <c r="F11" s="3"/>
      <c r="G11" s="10">
        <v>0.17919499999999999</v>
      </c>
      <c r="H11" s="18" cm="1">
        <f t="array" ref="H11">_xlfn.XLOOKUP(Table_Investimentos_Main[[#This Row],[Data]]&amp;Table_Investimentos_Main[[#This Row],[Ticker]],Table_Cotacoes[Data]&amp;Table_Cotacoes[Ticker],Table_Cotacoes[Valor],"")</f>
        <v>151373.22</v>
      </c>
      <c r="I11" s="5" t="str">
        <f>IF(Table_Investimentos_Main[[#This Row],[Ticker]]&lt;&gt;"",_xlfn.XLOOKUP(Table_Investimentos_Main[[#This Row],[Ticker]],Table_Cotacoes[Ticker],Table_Cotacoes[Moeda Base],""),"BRL")</f>
        <v>BTC</v>
      </c>
      <c r="J11" s="11" cm="1">
        <f t="array" ref="J11">_xlfn.SINGLE(_xlfn.XLOOKUP(Table_Investimentos_Main[[#This Row],[Data]]&amp;"USD",Table_Cotacoes[Data]&amp;Table_Cotacoes[Ticker],Table_Cotacoes[Valor],""))</f>
        <v>4.8899999999999997</v>
      </c>
      <c r="K11" s="18">
        <f>IF(Table_Investimentos_Main[[#This Row],[Ticker]]&lt;&gt;"",Table_Investimentos_Main[[#This Row],[Quantidade]]*Table_Investimentos_Main[[#This Row],[Cotação Ativo]],Table_Investimentos_Main[[#This Row],[Quantidade]])</f>
        <v>27125.324157899999</v>
      </c>
    </row>
    <row r="12" spans="2:11" x14ac:dyDescent="0.2">
      <c r="B12" s="67">
        <v>45108</v>
      </c>
      <c r="C12" t="s">
        <v>15</v>
      </c>
      <c r="E12" s="3" t="s">
        <v>16</v>
      </c>
      <c r="F12" s="3"/>
      <c r="G12" s="10">
        <v>4238.83</v>
      </c>
      <c r="H12" s="18" t="str" cm="1">
        <f t="array" ref="H12">_xlfn.XLOOKUP(Table_Investimentos_Main[[#This Row],[Data]]&amp;Table_Investimentos_Main[[#This Row],[Ticker]],Table_Cotacoes[Data]&amp;Table_Cotacoes[Ticker],Table_Cotacoes[Valor],"")</f>
        <v/>
      </c>
      <c r="I12" s="5" t="str">
        <f>IF(Table_Investimentos_Main[[#This Row],[Ticker]]&lt;&gt;"",_xlfn.XLOOKUP(Table_Investimentos_Main[[#This Row],[Ticker]],Table_Cotacoes[Ticker],Table_Cotacoes[Moeda Base],""),"BRL")</f>
        <v>BRL</v>
      </c>
      <c r="J12" s="11" cm="1">
        <f t="array" ref="J12">_xlfn.SINGLE(_xlfn.XLOOKUP(Table_Investimentos_Main[[#This Row],[Data]]&amp;"USD",Table_Cotacoes[Data]&amp;Table_Cotacoes[Ticker],Table_Cotacoes[Valor],""))</f>
        <v>4.8899999999999997</v>
      </c>
      <c r="K12" s="18">
        <f>IF(Table_Investimentos_Main[[#This Row],[Ticker]]&lt;&gt;"",Table_Investimentos_Main[[#This Row],[Quantidade]]*Table_Investimentos_Main[[#This Row],[Cotação Ativo]],Table_Investimentos_Main[[#This Row],[Quantidade]])</f>
        <v>4238.83</v>
      </c>
    </row>
    <row r="13" spans="2:11" x14ac:dyDescent="0.2">
      <c r="B13" s="67">
        <v>45108</v>
      </c>
      <c r="C13" t="s">
        <v>18</v>
      </c>
      <c r="E13" s="3" t="s">
        <v>19</v>
      </c>
      <c r="F13" s="3"/>
      <c r="G13" s="10">
        <v>20277.349999999999</v>
      </c>
      <c r="H13" s="18" t="str" cm="1">
        <f t="array" ref="H13">_xlfn.XLOOKUP(Table_Investimentos_Main[[#This Row],[Data]]&amp;Table_Investimentos_Main[[#This Row],[Ticker]],Table_Cotacoes[Data]&amp;Table_Cotacoes[Ticker],Table_Cotacoes[Valor],"")</f>
        <v/>
      </c>
      <c r="I13" s="5" t="str">
        <f>IF(Table_Investimentos_Main[[#This Row],[Ticker]]&lt;&gt;"",_xlfn.XLOOKUP(Table_Investimentos_Main[[#This Row],[Ticker]],Table_Cotacoes[Ticker],Table_Cotacoes[Moeda Base],""),"BRL")</f>
        <v>BRL</v>
      </c>
      <c r="J13" s="11" cm="1">
        <f t="array" ref="J13">_xlfn.SINGLE(_xlfn.XLOOKUP(Table_Investimentos_Main[[#This Row],[Data]]&amp;"USD",Table_Cotacoes[Data]&amp;Table_Cotacoes[Ticker],Table_Cotacoes[Valor],""))</f>
        <v>4.8899999999999997</v>
      </c>
      <c r="K13" s="18">
        <f>IF(Table_Investimentos_Main[[#This Row],[Ticker]]&lt;&gt;"",Table_Investimentos_Main[[#This Row],[Quantidade]]*Table_Investimentos_Main[[#This Row],[Cotação Ativo]],Table_Investimentos_Main[[#This Row],[Quantidade]])</f>
        <v>20277.349999999999</v>
      </c>
    </row>
    <row r="14" spans="2:11" x14ac:dyDescent="0.2">
      <c r="B14" s="67">
        <v>45108</v>
      </c>
      <c r="C14" t="s">
        <v>21</v>
      </c>
      <c r="D14" t="s">
        <v>24</v>
      </c>
      <c r="E14" s="3" t="s">
        <v>22</v>
      </c>
      <c r="F14" s="3"/>
      <c r="G14" s="10">
        <v>1009</v>
      </c>
      <c r="H14" s="18" cm="1">
        <f t="array" ref="H14">_xlfn.XLOOKUP(Table_Investimentos_Main[[#This Row],[Data]]&amp;Table_Investimentos_Main[[#This Row],[Ticker]],Table_Cotacoes[Data]&amp;Table_Cotacoes[Ticker],Table_Cotacoes[Valor],"")</f>
        <v>4.8899999999999997</v>
      </c>
      <c r="I14" s="5" t="str">
        <f>IF(Table_Investimentos_Main[[#This Row],[Ticker]]&lt;&gt;"",_xlfn.XLOOKUP(Table_Investimentos_Main[[#This Row],[Ticker]],Table_Cotacoes[Ticker],Table_Cotacoes[Moeda Base],""),"BRL")</f>
        <v>USD</v>
      </c>
      <c r="J14" s="11" cm="1">
        <f t="array" ref="J14">_xlfn.SINGLE(_xlfn.XLOOKUP(Table_Investimentos_Main[[#This Row],[Data]]&amp;"USD",Table_Cotacoes[Data]&amp;Table_Cotacoes[Ticker],Table_Cotacoes[Valor],""))</f>
        <v>4.8899999999999997</v>
      </c>
      <c r="K14" s="18">
        <f>IF(Table_Investimentos_Main[[#This Row],[Ticker]]&lt;&gt;"",Table_Investimentos_Main[[#This Row],[Quantidade]]*Table_Investimentos_Main[[#This Row],[Cotação Ativo]],Table_Investimentos_Main[[#This Row],[Quantidade]])</f>
        <v>4934.0099999999993</v>
      </c>
    </row>
    <row r="15" spans="2:11" x14ac:dyDescent="0.2">
      <c r="B15" s="67">
        <v>45108</v>
      </c>
      <c r="C15" t="s">
        <v>25</v>
      </c>
      <c r="D15" t="s">
        <v>24</v>
      </c>
      <c r="E15" s="3" t="s">
        <v>22</v>
      </c>
      <c r="F15" s="3"/>
      <c r="G15" s="10">
        <v>2529</v>
      </c>
      <c r="H15" s="18" cm="1">
        <f t="array" ref="H15">_xlfn.XLOOKUP(Table_Investimentos_Main[[#This Row],[Data]]&amp;Table_Investimentos_Main[[#This Row],[Ticker]],Table_Cotacoes[Data]&amp;Table_Cotacoes[Ticker],Table_Cotacoes[Valor],"")</f>
        <v>4.8899999999999997</v>
      </c>
      <c r="I15" s="5" t="str">
        <f>IF(Table_Investimentos_Main[[#This Row],[Ticker]]&lt;&gt;"",_xlfn.XLOOKUP(Table_Investimentos_Main[[#This Row],[Ticker]],Table_Cotacoes[Ticker],Table_Cotacoes[Moeda Base],""),"BRL")</f>
        <v>USD</v>
      </c>
      <c r="J15" s="11" cm="1">
        <f t="array" ref="J15">_xlfn.SINGLE(_xlfn.XLOOKUP(Table_Investimentos_Main[[#This Row],[Data]]&amp;"USD",Table_Cotacoes[Data]&amp;Table_Cotacoes[Ticker],Table_Cotacoes[Valor],""))</f>
        <v>4.8899999999999997</v>
      </c>
      <c r="K15" s="18">
        <f>IF(Table_Investimentos_Main[[#This Row],[Ticker]]&lt;&gt;"",Table_Investimentos_Main[[#This Row],[Quantidade]]*Table_Investimentos_Main[[#This Row],[Cotação Ativo]],Table_Investimentos_Main[[#This Row],[Quantidade]])</f>
        <v>12366.81</v>
      </c>
    </row>
    <row r="16" spans="2:11" x14ac:dyDescent="0.2">
      <c r="B16" s="67">
        <v>45108</v>
      </c>
      <c r="C16" t="s">
        <v>26</v>
      </c>
      <c r="D16" t="s">
        <v>24</v>
      </c>
      <c r="E16" s="3" t="s">
        <v>27</v>
      </c>
      <c r="F16" s="3"/>
      <c r="G16" s="10">
        <v>99.79</v>
      </c>
      <c r="H16" s="18" cm="1">
        <f t="array" ref="H16">_xlfn.XLOOKUP(Table_Investimentos_Main[[#This Row],[Data]]&amp;Table_Investimentos_Main[[#This Row],[Ticker]],Table_Cotacoes[Data]&amp;Table_Cotacoes[Ticker],Table_Cotacoes[Valor],"")</f>
        <v>4.8899999999999997</v>
      </c>
      <c r="I16" s="5" t="str">
        <f>IF(Table_Investimentos_Main[[#This Row],[Ticker]]&lt;&gt;"",_xlfn.XLOOKUP(Table_Investimentos_Main[[#This Row],[Ticker]],Table_Cotacoes[Ticker],Table_Cotacoes[Moeda Base],""),"BRL")</f>
        <v>USD</v>
      </c>
      <c r="J16" s="11" cm="1">
        <f t="array" ref="J16">_xlfn.SINGLE(_xlfn.XLOOKUP(Table_Investimentos_Main[[#This Row],[Data]]&amp;"USD",Table_Cotacoes[Data]&amp;Table_Cotacoes[Ticker],Table_Cotacoes[Valor],""))</f>
        <v>4.8899999999999997</v>
      </c>
      <c r="K16" s="18">
        <f>IF(Table_Investimentos_Main[[#This Row],[Ticker]]&lt;&gt;"",Table_Investimentos_Main[[#This Row],[Quantidade]]*Table_Investimentos_Main[[#This Row],[Cotação Ativo]],Table_Investimentos_Main[[#This Row],[Quantidade]])</f>
        <v>487.97309999999999</v>
      </c>
    </row>
    <row r="17" spans="2:11" x14ac:dyDescent="0.2">
      <c r="B17" s="67">
        <v>45200</v>
      </c>
      <c r="C17" t="s">
        <v>11</v>
      </c>
      <c r="D17" t="s">
        <v>14</v>
      </c>
      <c r="E17" s="3" t="s">
        <v>22</v>
      </c>
      <c r="F17" s="3"/>
      <c r="G17" s="10">
        <v>1.7457879999999999E-2</v>
      </c>
      <c r="H17" s="18" cm="1">
        <f t="array" ref="H17">_xlfn.XLOOKUP(Table_Investimentos_Main[[#This Row],[Data]]&amp;Table_Investimentos_Main[[#This Row],[Ticker]],Table_Cotacoes[Data]&amp;Table_Cotacoes[Ticker],Table_Cotacoes[Valor],"")</f>
        <v>174262.84</v>
      </c>
      <c r="I17" s="5" t="str">
        <f>IF(Table_Investimentos_Main[[#This Row],[Ticker]]&lt;&gt;"",_xlfn.XLOOKUP(Table_Investimentos_Main[[#This Row],[Ticker]],Table_Cotacoes[Ticker],Table_Cotacoes[Moeda Base],""),"BRL")</f>
        <v>BTC</v>
      </c>
      <c r="J17" s="11" cm="1">
        <f t="array" ref="J17">_xlfn.SINGLE(_xlfn.XLOOKUP(Table_Investimentos_Main[[#This Row],[Data]]&amp;"USD",Table_Cotacoes[Data]&amp;Table_Cotacoes[Ticker],Table_Cotacoes[Valor],""))</f>
        <v>5.05</v>
      </c>
      <c r="K17" s="18">
        <f>IF(Table_Investimentos_Main[[#This Row],[Ticker]]&lt;&gt;"",Table_Investimentos_Main[[#This Row],[Quantidade]]*Table_Investimentos_Main[[#This Row],[Cotação Ativo]],Table_Investimentos_Main[[#This Row],[Quantidade]])</f>
        <v>3042.2597491791998</v>
      </c>
    </row>
    <row r="18" spans="2:11" x14ac:dyDescent="0.2">
      <c r="B18" s="67">
        <v>45200</v>
      </c>
      <c r="C18" t="s">
        <v>11</v>
      </c>
      <c r="D18" t="s">
        <v>14</v>
      </c>
      <c r="E18" s="3" t="s">
        <v>12</v>
      </c>
      <c r="F18" s="3"/>
      <c r="G18" s="10">
        <v>0.17919499999999999</v>
      </c>
      <c r="H18" s="18" cm="1">
        <f t="array" ref="H18">_xlfn.XLOOKUP(Table_Investimentos_Main[[#This Row],[Data]]&amp;Table_Investimentos_Main[[#This Row],[Ticker]],Table_Cotacoes[Data]&amp;Table_Cotacoes[Ticker],Table_Cotacoes[Valor],"")</f>
        <v>174262.84</v>
      </c>
      <c r="I18" s="5" t="str">
        <f>IF(Table_Investimentos_Main[[#This Row],[Ticker]]&lt;&gt;"",_xlfn.XLOOKUP(Table_Investimentos_Main[[#This Row],[Ticker]],Table_Cotacoes[Ticker],Table_Cotacoes[Moeda Base],""),"BRL")</f>
        <v>BTC</v>
      </c>
      <c r="J18" s="11" cm="1">
        <f t="array" ref="J18">_xlfn.SINGLE(_xlfn.XLOOKUP(Table_Investimentos_Main[[#This Row],[Data]]&amp;"USD",Table_Cotacoes[Data]&amp;Table_Cotacoes[Ticker],Table_Cotacoes[Valor],""))</f>
        <v>5.05</v>
      </c>
      <c r="K18" s="18">
        <f>IF(Table_Investimentos_Main[[#This Row],[Ticker]]&lt;&gt;"",Table_Investimentos_Main[[#This Row],[Quantidade]]*Table_Investimentos_Main[[#This Row],[Cotação Ativo]],Table_Investimentos_Main[[#This Row],[Quantidade]])</f>
        <v>31227.029613799998</v>
      </c>
    </row>
    <row r="19" spans="2:11" x14ac:dyDescent="0.2">
      <c r="B19" s="67">
        <v>45200</v>
      </c>
      <c r="C19" t="s">
        <v>27</v>
      </c>
      <c r="E19" s="3" t="s">
        <v>27</v>
      </c>
      <c r="F19" s="3"/>
      <c r="G19" s="10">
        <v>5573.41</v>
      </c>
      <c r="H19" s="18" t="str" cm="1">
        <f t="array" ref="H19">_xlfn.XLOOKUP(Table_Investimentos_Main[[#This Row],[Data]]&amp;Table_Investimentos_Main[[#This Row],[Ticker]],Table_Cotacoes[Data]&amp;Table_Cotacoes[Ticker],Table_Cotacoes[Valor],"")</f>
        <v/>
      </c>
      <c r="I19" s="5" t="str">
        <f>IF(Table_Investimentos_Main[[#This Row],[Ticker]]&lt;&gt;"",_xlfn.XLOOKUP(Table_Investimentos_Main[[#This Row],[Ticker]],Table_Cotacoes[Ticker],Table_Cotacoes[Moeda Base],""),"BRL")</f>
        <v>BRL</v>
      </c>
      <c r="J19" s="11" cm="1">
        <f t="array" ref="J19">_xlfn.SINGLE(_xlfn.XLOOKUP(Table_Investimentos_Main[[#This Row],[Data]]&amp;"USD",Table_Cotacoes[Data]&amp;Table_Cotacoes[Ticker],Table_Cotacoes[Valor],""))</f>
        <v>5.05</v>
      </c>
      <c r="K19" s="18">
        <f>IF(Table_Investimentos_Main[[#This Row],[Ticker]]&lt;&gt;"",Table_Investimentos_Main[[#This Row],[Quantidade]]*Table_Investimentos_Main[[#This Row],[Cotação Ativo]],Table_Investimentos_Main[[#This Row],[Quantidade]])</f>
        <v>5573.41</v>
      </c>
    </row>
    <row r="20" spans="2:11" x14ac:dyDescent="0.2">
      <c r="B20" s="67">
        <v>45200</v>
      </c>
      <c r="C20" t="s">
        <v>28</v>
      </c>
      <c r="E20" s="3" t="s">
        <v>19</v>
      </c>
      <c r="F20" s="3"/>
      <c r="G20" s="10">
        <v>975</v>
      </c>
      <c r="H20" s="18" t="str" cm="1">
        <f t="array" ref="H20">_xlfn.XLOOKUP(Table_Investimentos_Main[[#This Row],[Data]]&amp;Table_Investimentos_Main[[#This Row],[Ticker]],Table_Cotacoes[Data]&amp;Table_Cotacoes[Ticker],Table_Cotacoes[Valor],"")</f>
        <v/>
      </c>
      <c r="I20" s="5" t="str">
        <f>IF(Table_Investimentos_Main[[#This Row],[Ticker]]&lt;&gt;"",_xlfn.XLOOKUP(Table_Investimentos_Main[[#This Row],[Ticker]],Table_Cotacoes[Ticker],Table_Cotacoes[Moeda Base],""),"BRL")</f>
        <v>BRL</v>
      </c>
      <c r="J20" s="11" cm="1">
        <f t="array" ref="J20">_xlfn.SINGLE(_xlfn.XLOOKUP(Table_Investimentos_Main[[#This Row],[Data]]&amp;"USD",Table_Cotacoes[Data]&amp;Table_Cotacoes[Ticker],Table_Cotacoes[Valor],""))</f>
        <v>5.05</v>
      </c>
      <c r="K20" s="18">
        <f>IF(Table_Investimentos_Main[[#This Row],[Ticker]]&lt;&gt;"",Table_Investimentos_Main[[#This Row],[Quantidade]]*Table_Investimentos_Main[[#This Row],[Cotação Ativo]],Table_Investimentos_Main[[#This Row],[Quantidade]])</f>
        <v>975</v>
      </c>
    </row>
    <row r="21" spans="2:11" x14ac:dyDescent="0.2">
      <c r="B21" s="67">
        <v>45200</v>
      </c>
      <c r="C21" t="s">
        <v>29</v>
      </c>
      <c r="E21" s="3" t="s">
        <v>19</v>
      </c>
      <c r="F21" s="3"/>
      <c r="G21" s="10">
        <v>2500</v>
      </c>
      <c r="H21" s="18" t="str" cm="1">
        <f t="array" ref="H21">_xlfn.XLOOKUP(Table_Investimentos_Main[[#This Row],[Data]]&amp;Table_Investimentos_Main[[#This Row],[Ticker]],Table_Cotacoes[Data]&amp;Table_Cotacoes[Ticker],Table_Cotacoes[Valor],"")</f>
        <v/>
      </c>
      <c r="I21" s="5" t="str">
        <f>IF(Table_Investimentos_Main[[#This Row],[Ticker]]&lt;&gt;"",_xlfn.XLOOKUP(Table_Investimentos_Main[[#This Row],[Ticker]],Table_Cotacoes[Ticker],Table_Cotacoes[Moeda Base],""),"BRL")</f>
        <v>BRL</v>
      </c>
      <c r="J21" s="11" cm="1">
        <f t="array" ref="J21">_xlfn.SINGLE(_xlfn.XLOOKUP(Table_Investimentos_Main[[#This Row],[Data]]&amp;"USD",Table_Cotacoes[Data]&amp;Table_Cotacoes[Ticker],Table_Cotacoes[Valor],""))</f>
        <v>5.05</v>
      </c>
      <c r="K21" s="18">
        <f>IF(Table_Investimentos_Main[[#This Row],[Ticker]]&lt;&gt;"",Table_Investimentos_Main[[#This Row],[Quantidade]]*Table_Investimentos_Main[[#This Row],[Cotação Ativo]],Table_Investimentos_Main[[#This Row],[Quantidade]])</f>
        <v>2500</v>
      </c>
    </row>
    <row r="22" spans="2:11" x14ac:dyDescent="0.2">
      <c r="B22" s="67">
        <v>45200</v>
      </c>
      <c r="C22" t="s">
        <v>30</v>
      </c>
      <c r="E22" s="3" t="s">
        <v>27</v>
      </c>
      <c r="F22" s="3"/>
      <c r="G22" s="10">
        <v>15748.75</v>
      </c>
      <c r="H22" s="18" t="str" cm="1">
        <f t="array" ref="H22">_xlfn.XLOOKUP(Table_Investimentos_Main[[#This Row],[Data]]&amp;Table_Investimentos_Main[[#This Row],[Ticker]],Table_Cotacoes[Data]&amp;Table_Cotacoes[Ticker],Table_Cotacoes[Valor],"")</f>
        <v/>
      </c>
      <c r="I22" s="5" t="str">
        <f>IF(Table_Investimentos_Main[[#This Row],[Ticker]]&lt;&gt;"",_xlfn.XLOOKUP(Table_Investimentos_Main[[#This Row],[Ticker]],Table_Cotacoes[Ticker],Table_Cotacoes[Moeda Base],""),"BRL")</f>
        <v>BRL</v>
      </c>
      <c r="J22" s="11" cm="1">
        <f t="array" ref="J22">_xlfn.SINGLE(_xlfn.XLOOKUP(Table_Investimentos_Main[[#This Row],[Data]]&amp;"USD",Table_Cotacoes[Data]&amp;Table_Cotacoes[Ticker],Table_Cotacoes[Valor],""))</f>
        <v>5.05</v>
      </c>
      <c r="K22" s="18">
        <f>IF(Table_Investimentos_Main[[#This Row],[Ticker]]&lt;&gt;"",Table_Investimentos_Main[[#This Row],[Quantidade]]*Table_Investimentos_Main[[#This Row],[Cotação Ativo]],Table_Investimentos_Main[[#This Row],[Quantidade]])</f>
        <v>15748.75</v>
      </c>
    </row>
    <row r="23" spans="2:11" x14ac:dyDescent="0.2">
      <c r="B23" s="67">
        <v>45200</v>
      </c>
      <c r="C23" t="s">
        <v>21</v>
      </c>
      <c r="D23" t="s">
        <v>24</v>
      </c>
      <c r="E23" s="3" t="s">
        <v>22</v>
      </c>
      <c r="F23" s="3"/>
      <c r="G23" s="10">
        <v>1017.85</v>
      </c>
      <c r="H23" s="18" cm="1">
        <f t="array" ref="H23">_xlfn.XLOOKUP(Table_Investimentos_Main[[#This Row],[Data]]&amp;Table_Investimentos_Main[[#This Row],[Ticker]],Table_Cotacoes[Data]&amp;Table_Cotacoes[Ticker],Table_Cotacoes[Valor],"")</f>
        <v>5.05</v>
      </c>
      <c r="I23" s="5" t="str">
        <f>IF(Table_Investimentos_Main[[#This Row],[Ticker]]&lt;&gt;"",_xlfn.XLOOKUP(Table_Investimentos_Main[[#This Row],[Ticker]],Table_Cotacoes[Ticker],Table_Cotacoes[Moeda Base],""),"BRL")</f>
        <v>USD</v>
      </c>
      <c r="J23" s="11" cm="1">
        <f t="array" ref="J23">_xlfn.SINGLE(_xlfn.XLOOKUP(Table_Investimentos_Main[[#This Row],[Data]]&amp;"USD",Table_Cotacoes[Data]&amp;Table_Cotacoes[Ticker],Table_Cotacoes[Valor],""))</f>
        <v>5.05</v>
      </c>
      <c r="K23" s="18">
        <f>IF(Table_Investimentos_Main[[#This Row],[Ticker]]&lt;&gt;"",Table_Investimentos_Main[[#This Row],[Quantidade]]*Table_Investimentos_Main[[#This Row],[Cotação Ativo]],Table_Investimentos_Main[[#This Row],[Quantidade]])</f>
        <v>5140.1424999999999</v>
      </c>
    </row>
    <row r="24" spans="2:11" x14ac:dyDescent="0.2">
      <c r="B24" s="67">
        <v>45200</v>
      </c>
      <c r="C24" t="s">
        <v>25</v>
      </c>
      <c r="D24" t="s">
        <v>24</v>
      </c>
      <c r="E24" s="3" t="s">
        <v>22</v>
      </c>
      <c r="F24" s="3"/>
      <c r="G24" s="10">
        <v>2531.36</v>
      </c>
      <c r="H24" s="18" cm="1">
        <f t="array" ref="H24">_xlfn.XLOOKUP(Table_Investimentos_Main[[#This Row],[Data]]&amp;Table_Investimentos_Main[[#This Row],[Ticker]],Table_Cotacoes[Data]&amp;Table_Cotacoes[Ticker],Table_Cotacoes[Valor],"")</f>
        <v>5.05</v>
      </c>
      <c r="I24" s="5" t="str">
        <f>IF(Table_Investimentos_Main[[#This Row],[Ticker]]&lt;&gt;"",_xlfn.XLOOKUP(Table_Investimentos_Main[[#This Row],[Ticker]],Table_Cotacoes[Ticker],Table_Cotacoes[Moeda Base],""),"BRL")</f>
        <v>USD</v>
      </c>
      <c r="J24" s="11" cm="1">
        <f t="array" ref="J24">_xlfn.SINGLE(_xlfn.XLOOKUP(Table_Investimentos_Main[[#This Row],[Data]]&amp;"USD",Table_Cotacoes[Data]&amp;Table_Cotacoes[Ticker],Table_Cotacoes[Valor],""))</f>
        <v>5.05</v>
      </c>
      <c r="K24" s="18">
        <f>IF(Table_Investimentos_Main[[#This Row],[Ticker]]&lt;&gt;"",Table_Investimentos_Main[[#This Row],[Quantidade]]*Table_Investimentos_Main[[#This Row],[Cotação Ativo]],Table_Investimentos_Main[[#This Row],[Quantidade]])</f>
        <v>12783.368</v>
      </c>
    </row>
    <row r="25" spans="2:11" x14ac:dyDescent="0.2">
      <c r="B25" s="67">
        <v>45200</v>
      </c>
      <c r="C25" t="s">
        <v>31</v>
      </c>
      <c r="E25" s="3" t="s">
        <v>19</v>
      </c>
      <c r="F25" s="3"/>
      <c r="G25" s="10">
        <v>30.62</v>
      </c>
      <c r="H25" s="18" t="str" cm="1">
        <f t="array" ref="H25">_xlfn.XLOOKUP(Table_Investimentos_Main[[#This Row],[Data]]&amp;Table_Investimentos_Main[[#This Row],[Ticker]],Table_Cotacoes[Data]&amp;Table_Cotacoes[Ticker],Table_Cotacoes[Valor],"")</f>
        <v/>
      </c>
      <c r="I25" s="5" t="str">
        <f>IF(Table_Investimentos_Main[[#This Row],[Ticker]]&lt;&gt;"",_xlfn.XLOOKUP(Table_Investimentos_Main[[#This Row],[Ticker]],Table_Cotacoes[Ticker],Table_Cotacoes[Moeda Base],""),"BRL")</f>
        <v>BRL</v>
      </c>
      <c r="J25" s="11" cm="1">
        <f t="array" ref="J25">_xlfn.SINGLE(_xlfn.XLOOKUP(Table_Investimentos_Main[[#This Row],[Data]]&amp;"USD",Table_Cotacoes[Data]&amp;Table_Cotacoes[Ticker],Table_Cotacoes[Valor],""))</f>
        <v>5.05</v>
      </c>
      <c r="K25" s="18">
        <f>IF(Table_Investimentos_Main[[#This Row],[Ticker]]&lt;&gt;"",Table_Investimentos_Main[[#This Row],[Quantidade]]*Table_Investimentos_Main[[#This Row],[Cotação Ativo]],Table_Investimentos_Main[[#This Row],[Quantidade]])</f>
        <v>30.62</v>
      </c>
    </row>
    <row r="26" spans="2:11" x14ac:dyDescent="0.2">
      <c r="B26" s="67">
        <v>45200</v>
      </c>
      <c r="C26" t="s">
        <v>26</v>
      </c>
      <c r="D26" t="s">
        <v>24</v>
      </c>
      <c r="E26" s="3" t="s">
        <v>27</v>
      </c>
      <c r="F26" s="3"/>
      <c r="G26" s="10">
        <v>39.94</v>
      </c>
      <c r="H26" s="18" cm="1">
        <f t="array" ref="H26">_xlfn.XLOOKUP(Table_Investimentos_Main[[#This Row],[Data]]&amp;Table_Investimentos_Main[[#This Row],[Ticker]],Table_Cotacoes[Data]&amp;Table_Cotacoes[Ticker],Table_Cotacoes[Valor],"")</f>
        <v>5.05</v>
      </c>
      <c r="I26" s="5" t="str">
        <f>IF(Table_Investimentos_Main[[#This Row],[Ticker]]&lt;&gt;"",_xlfn.XLOOKUP(Table_Investimentos_Main[[#This Row],[Ticker]],Table_Cotacoes[Ticker],Table_Cotacoes[Moeda Base],""),"BRL")</f>
        <v>USD</v>
      </c>
      <c r="J26" s="11" cm="1">
        <f t="array" ref="J26">_xlfn.SINGLE(_xlfn.XLOOKUP(Table_Investimentos_Main[[#This Row],[Data]]&amp;"USD",Table_Cotacoes[Data]&amp;Table_Cotacoes[Ticker],Table_Cotacoes[Valor],""))</f>
        <v>5.05</v>
      </c>
      <c r="K26" s="18">
        <f>IF(Table_Investimentos_Main[[#This Row],[Ticker]]&lt;&gt;"",Table_Investimentos_Main[[#This Row],[Quantidade]]*Table_Investimentos_Main[[#This Row],[Cotação Ativo]],Table_Investimentos_Main[[#This Row],[Quantidade]])</f>
        <v>201.69699999999997</v>
      </c>
    </row>
    <row r="27" spans="2:11" x14ac:dyDescent="0.2">
      <c r="B27" s="67">
        <v>45261</v>
      </c>
      <c r="C27" t="s">
        <v>21</v>
      </c>
      <c r="D27" t="s">
        <v>24</v>
      </c>
      <c r="E27" s="3" t="s">
        <v>22</v>
      </c>
      <c r="F27" s="3"/>
      <c r="G27" s="10">
        <v>1025.8599999999999</v>
      </c>
      <c r="H27" s="18" cm="1">
        <f t="array" ref="H27">_xlfn.XLOOKUP(Table_Investimentos_Main[[#This Row],[Data]]&amp;Table_Investimentos_Main[[#This Row],[Ticker]],Table_Cotacoes[Data]&amp;Table_Cotacoes[Ticker],Table_Cotacoes[Valor],"")</f>
        <v>4.95</v>
      </c>
      <c r="I27" s="5" t="str">
        <f>IF(Table_Investimentos_Main[[#This Row],[Ticker]]&lt;&gt;"",_xlfn.XLOOKUP(Table_Investimentos_Main[[#This Row],[Ticker]],Table_Cotacoes[Ticker],Table_Cotacoes[Moeda Base],""),"BRL")</f>
        <v>USD</v>
      </c>
      <c r="J27" s="11" cm="1">
        <f t="array" ref="J27">_xlfn.SINGLE(_xlfn.XLOOKUP(Table_Investimentos_Main[[#This Row],[Data]]&amp;"USD",Table_Cotacoes[Data]&amp;Table_Cotacoes[Ticker],Table_Cotacoes[Valor],""))</f>
        <v>4.95</v>
      </c>
      <c r="K27" s="18">
        <f>IF(Table_Investimentos_Main[[#This Row],[Ticker]]&lt;&gt;"",Table_Investimentos_Main[[#This Row],[Quantidade]]*Table_Investimentos_Main[[#This Row],[Cotação Ativo]],Table_Investimentos_Main[[#This Row],[Quantidade]])</f>
        <v>5078.0069999999996</v>
      </c>
    </row>
    <row r="28" spans="2:11" x14ac:dyDescent="0.2">
      <c r="B28" s="67">
        <v>45261</v>
      </c>
      <c r="C28" t="s">
        <v>25</v>
      </c>
      <c r="D28" t="s">
        <v>24</v>
      </c>
      <c r="E28" s="3" t="s">
        <v>22</v>
      </c>
      <c r="F28" s="3"/>
      <c r="G28" s="10">
        <v>2539.94</v>
      </c>
      <c r="H28" s="18" cm="1">
        <f t="array" ref="H28">_xlfn.XLOOKUP(Table_Investimentos_Main[[#This Row],[Data]]&amp;Table_Investimentos_Main[[#This Row],[Ticker]],Table_Cotacoes[Data]&amp;Table_Cotacoes[Ticker],Table_Cotacoes[Valor],"")</f>
        <v>4.95</v>
      </c>
      <c r="I28" s="5" t="str">
        <f>IF(Table_Investimentos_Main[[#This Row],[Ticker]]&lt;&gt;"",_xlfn.XLOOKUP(Table_Investimentos_Main[[#This Row],[Ticker]],Table_Cotacoes[Ticker],Table_Cotacoes[Moeda Base],""),"BRL")</f>
        <v>USD</v>
      </c>
      <c r="J28" s="11" cm="1">
        <f t="array" ref="J28">_xlfn.SINGLE(_xlfn.XLOOKUP(Table_Investimentos_Main[[#This Row],[Data]]&amp;"USD",Table_Cotacoes[Data]&amp;Table_Cotacoes[Ticker],Table_Cotacoes[Valor],""))</f>
        <v>4.95</v>
      </c>
      <c r="K28" s="18">
        <f>IF(Table_Investimentos_Main[[#This Row],[Ticker]]&lt;&gt;"",Table_Investimentos_Main[[#This Row],[Quantidade]]*Table_Investimentos_Main[[#This Row],[Cotação Ativo]],Table_Investimentos_Main[[#This Row],[Quantidade]])</f>
        <v>12572.703000000001</v>
      </c>
    </row>
    <row r="29" spans="2:11" x14ac:dyDescent="0.2">
      <c r="B29" s="67">
        <v>45261</v>
      </c>
      <c r="C29" t="s">
        <v>32</v>
      </c>
      <c r="E29" s="3" t="s">
        <v>19</v>
      </c>
      <c r="F29" s="3"/>
      <c r="G29" s="10">
        <v>471.12</v>
      </c>
      <c r="H29" s="18" t="str" cm="1">
        <f t="array" ref="H29">_xlfn.XLOOKUP(Table_Investimentos_Main[[#This Row],[Data]]&amp;Table_Investimentos_Main[[#This Row],[Ticker]],Table_Cotacoes[Data]&amp;Table_Cotacoes[Ticker],Table_Cotacoes[Valor],"")</f>
        <v/>
      </c>
      <c r="I29" s="5" t="str">
        <f>IF(Table_Investimentos_Main[[#This Row],[Ticker]]&lt;&gt;"",_xlfn.XLOOKUP(Table_Investimentos_Main[[#This Row],[Ticker]],Table_Cotacoes[Ticker],Table_Cotacoes[Moeda Base],""),"BRL")</f>
        <v>BRL</v>
      </c>
      <c r="J29" s="11" cm="1">
        <f t="array" ref="J29">_xlfn.SINGLE(_xlfn.XLOOKUP(Table_Investimentos_Main[[#This Row],[Data]]&amp;"USD",Table_Cotacoes[Data]&amp;Table_Cotacoes[Ticker],Table_Cotacoes[Valor],""))</f>
        <v>4.95</v>
      </c>
      <c r="K29" s="18">
        <f>IF(Table_Investimentos_Main[[#This Row],[Ticker]]&lt;&gt;"",Table_Investimentos_Main[[#This Row],[Quantidade]]*Table_Investimentos_Main[[#This Row],[Cotação Ativo]],Table_Investimentos_Main[[#This Row],[Quantidade]])</f>
        <v>471.12</v>
      </c>
    </row>
    <row r="30" spans="2:11" x14ac:dyDescent="0.2">
      <c r="B30" s="67">
        <v>45261</v>
      </c>
      <c r="C30" t="s">
        <v>33</v>
      </c>
      <c r="D30" t="s">
        <v>24</v>
      </c>
      <c r="E30" s="3" t="s">
        <v>27</v>
      </c>
      <c r="F30" s="3"/>
      <c r="G30" s="10">
        <v>39.94</v>
      </c>
      <c r="H30" s="18" cm="1">
        <f t="array" ref="H30">_xlfn.XLOOKUP(Table_Investimentos_Main[[#This Row],[Data]]&amp;Table_Investimentos_Main[[#This Row],[Ticker]],Table_Cotacoes[Data]&amp;Table_Cotacoes[Ticker],Table_Cotacoes[Valor],"")</f>
        <v>4.95</v>
      </c>
      <c r="I30" s="5" t="str">
        <f>IF(Table_Investimentos_Main[[#This Row],[Ticker]]&lt;&gt;"",_xlfn.XLOOKUP(Table_Investimentos_Main[[#This Row],[Ticker]],Table_Cotacoes[Ticker],Table_Cotacoes[Moeda Base],""),"BRL")</f>
        <v>USD</v>
      </c>
      <c r="J30" s="11" cm="1">
        <f t="array" ref="J30">_xlfn.SINGLE(_xlfn.XLOOKUP(Table_Investimentos_Main[[#This Row],[Data]]&amp;"USD",Table_Cotacoes[Data]&amp;Table_Cotacoes[Ticker],Table_Cotacoes[Valor],""))</f>
        <v>4.95</v>
      </c>
      <c r="K30" s="18">
        <f>IF(Table_Investimentos_Main[[#This Row],[Ticker]]&lt;&gt;"",Table_Investimentos_Main[[#This Row],[Quantidade]]*Table_Investimentos_Main[[#This Row],[Cotação Ativo]],Table_Investimentos_Main[[#This Row],[Quantidade]])</f>
        <v>197.703</v>
      </c>
    </row>
    <row r="31" spans="2:11" x14ac:dyDescent="0.2">
      <c r="B31" s="67">
        <v>45261</v>
      </c>
      <c r="C31" t="s">
        <v>11</v>
      </c>
      <c r="D31" t="s">
        <v>14</v>
      </c>
      <c r="E31" s="3" t="s">
        <v>22</v>
      </c>
      <c r="F31" s="3"/>
      <c r="G31" s="10">
        <v>1.7457879999999999E-2</v>
      </c>
      <c r="H31" s="18" cm="1">
        <f t="array" ref="H31">_xlfn.XLOOKUP(Table_Investimentos_Main[[#This Row],[Data]]&amp;Table_Investimentos_Main[[#This Row],[Ticker]],Table_Cotacoes[Data]&amp;Table_Cotacoes[Ticker],Table_Cotacoes[Valor],"")</f>
        <v>207740.79</v>
      </c>
      <c r="I31" s="5" t="str">
        <f>IF(Table_Investimentos_Main[[#This Row],[Ticker]]&lt;&gt;"",_xlfn.XLOOKUP(Table_Investimentos_Main[[#This Row],[Ticker]],Table_Cotacoes[Ticker],Table_Cotacoes[Moeda Base],""),"BRL")</f>
        <v>BTC</v>
      </c>
      <c r="J31" s="11" cm="1">
        <f t="array" ref="J31">_xlfn.SINGLE(_xlfn.XLOOKUP(Table_Investimentos_Main[[#This Row],[Data]]&amp;"USD",Table_Cotacoes[Data]&amp;Table_Cotacoes[Ticker],Table_Cotacoes[Valor],""))</f>
        <v>4.95</v>
      </c>
      <c r="K31" s="18">
        <f>IF(Table_Investimentos_Main[[#This Row],[Ticker]]&lt;&gt;"",Table_Investimentos_Main[[#This Row],[Quantidade]]*Table_Investimentos_Main[[#This Row],[Cotação Ativo]],Table_Investimentos_Main[[#This Row],[Quantidade]])</f>
        <v>3626.7137829251997</v>
      </c>
    </row>
    <row r="32" spans="2:11" x14ac:dyDescent="0.2">
      <c r="B32" s="67">
        <v>45261</v>
      </c>
      <c r="C32" t="s">
        <v>11</v>
      </c>
      <c r="D32" t="s">
        <v>14</v>
      </c>
      <c r="E32" s="3" t="s">
        <v>12</v>
      </c>
      <c r="F32" s="3"/>
      <c r="G32" s="10">
        <v>0.17919499999999999</v>
      </c>
      <c r="H32" s="18" cm="1">
        <f t="array" ref="H32">_xlfn.XLOOKUP(Table_Investimentos_Main[[#This Row],[Data]]&amp;Table_Investimentos_Main[[#This Row],[Ticker]],Table_Cotacoes[Data]&amp;Table_Cotacoes[Ticker],Table_Cotacoes[Valor],"")</f>
        <v>207740.79</v>
      </c>
      <c r="I32" s="5" t="str">
        <f>IF(Table_Investimentos_Main[[#This Row],[Ticker]]&lt;&gt;"",_xlfn.XLOOKUP(Table_Investimentos_Main[[#This Row],[Ticker]],Table_Cotacoes[Ticker],Table_Cotacoes[Moeda Base],""),"BRL")</f>
        <v>BTC</v>
      </c>
      <c r="J32" s="11" cm="1">
        <f t="array" ref="J32">_xlfn.SINGLE(_xlfn.XLOOKUP(Table_Investimentos_Main[[#This Row],[Data]]&amp;"USD",Table_Cotacoes[Data]&amp;Table_Cotacoes[Ticker],Table_Cotacoes[Valor],""))</f>
        <v>4.95</v>
      </c>
      <c r="K32" s="18">
        <f>IF(Table_Investimentos_Main[[#This Row],[Ticker]]&lt;&gt;"",Table_Investimentos_Main[[#This Row],[Quantidade]]*Table_Investimentos_Main[[#This Row],[Cotação Ativo]],Table_Investimentos_Main[[#This Row],[Quantidade]])</f>
        <v>37226.110864050002</v>
      </c>
    </row>
    <row r="33" spans="2:11" x14ac:dyDescent="0.2">
      <c r="B33" s="67">
        <v>45261</v>
      </c>
      <c r="C33" t="s">
        <v>34</v>
      </c>
      <c r="E33" s="3" t="s">
        <v>19</v>
      </c>
      <c r="F33" s="3"/>
      <c r="G33" s="10">
        <v>11887.95</v>
      </c>
      <c r="H33" s="18" t="str" cm="1">
        <f t="array" ref="H33">_xlfn.XLOOKUP(Table_Investimentos_Main[[#This Row],[Data]]&amp;Table_Investimentos_Main[[#This Row],[Ticker]],Table_Cotacoes[Data]&amp;Table_Cotacoes[Ticker],Table_Cotacoes[Valor],"")</f>
        <v/>
      </c>
      <c r="I33" s="5" t="str">
        <f>IF(Table_Investimentos_Main[[#This Row],[Ticker]]&lt;&gt;"",_xlfn.XLOOKUP(Table_Investimentos_Main[[#This Row],[Ticker]],Table_Cotacoes[Ticker],Table_Cotacoes[Moeda Base],""),"BRL")</f>
        <v>BRL</v>
      </c>
      <c r="J33" s="11" cm="1">
        <f t="array" ref="J33">_xlfn.SINGLE(_xlfn.XLOOKUP(Table_Investimentos_Main[[#This Row],[Data]]&amp;"USD",Table_Cotacoes[Data]&amp;Table_Cotacoes[Ticker],Table_Cotacoes[Valor],""))</f>
        <v>4.95</v>
      </c>
      <c r="K33" s="18">
        <f>IF(Table_Investimentos_Main[[#This Row],[Ticker]]&lt;&gt;"",Table_Investimentos_Main[[#This Row],[Quantidade]]*Table_Investimentos_Main[[#This Row],[Cotação Ativo]],Table_Investimentos_Main[[#This Row],[Quantidade]])</f>
        <v>11887.95</v>
      </c>
    </row>
    <row r="34" spans="2:11" x14ac:dyDescent="0.2">
      <c r="B34" s="67">
        <v>45261</v>
      </c>
      <c r="C34" t="s">
        <v>35</v>
      </c>
      <c r="E34" s="3" t="s">
        <v>19</v>
      </c>
      <c r="F34" s="3"/>
      <c r="G34" s="10">
        <v>2567.31</v>
      </c>
      <c r="H34" s="18" t="str" cm="1">
        <f t="array" ref="H34">_xlfn.XLOOKUP(Table_Investimentos_Main[[#This Row],[Data]]&amp;Table_Investimentos_Main[[#This Row],[Ticker]],Table_Cotacoes[Data]&amp;Table_Cotacoes[Ticker],Table_Cotacoes[Valor],"")</f>
        <v/>
      </c>
      <c r="I34" s="5" t="str">
        <f>IF(Table_Investimentos_Main[[#This Row],[Ticker]]&lt;&gt;"",_xlfn.XLOOKUP(Table_Investimentos_Main[[#This Row],[Ticker]],Table_Cotacoes[Ticker],Table_Cotacoes[Moeda Base],""),"BRL")</f>
        <v>BRL</v>
      </c>
      <c r="J34" s="11" cm="1">
        <f t="array" ref="J34">_xlfn.SINGLE(_xlfn.XLOOKUP(Table_Investimentos_Main[[#This Row],[Data]]&amp;"USD",Table_Cotacoes[Data]&amp;Table_Cotacoes[Ticker],Table_Cotacoes[Valor],""))</f>
        <v>4.95</v>
      </c>
      <c r="K34" s="18">
        <f>IF(Table_Investimentos_Main[[#This Row],[Ticker]]&lt;&gt;"",Table_Investimentos_Main[[#This Row],[Quantidade]]*Table_Investimentos_Main[[#This Row],[Cotação Ativo]],Table_Investimentos_Main[[#This Row],[Quantidade]])</f>
        <v>2567.31</v>
      </c>
    </row>
    <row r="35" spans="2:11" x14ac:dyDescent="0.2">
      <c r="B35" s="67">
        <v>45261</v>
      </c>
      <c r="C35" t="s">
        <v>30</v>
      </c>
      <c r="E35" s="3" t="s">
        <v>27</v>
      </c>
      <c r="F35" s="3"/>
      <c r="G35" s="10">
        <v>15900.21</v>
      </c>
      <c r="H35" s="18" t="str" cm="1">
        <f t="array" ref="H35">_xlfn.XLOOKUP(Table_Investimentos_Main[[#This Row],[Data]]&amp;Table_Investimentos_Main[[#This Row],[Ticker]],Table_Cotacoes[Data]&amp;Table_Cotacoes[Ticker],Table_Cotacoes[Valor],"")</f>
        <v/>
      </c>
      <c r="I35" s="5" t="str">
        <f>IF(Table_Investimentos_Main[[#This Row],[Ticker]]&lt;&gt;"",_xlfn.XLOOKUP(Table_Investimentos_Main[[#This Row],[Ticker]],Table_Cotacoes[Ticker],Table_Cotacoes[Moeda Base],""),"BRL")</f>
        <v>BRL</v>
      </c>
      <c r="J35" s="11" cm="1">
        <f t="array" ref="J35">_xlfn.SINGLE(_xlfn.XLOOKUP(Table_Investimentos_Main[[#This Row],[Data]]&amp;"USD",Table_Cotacoes[Data]&amp;Table_Cotacoes[Ticker],Table_Cotacoes[Valor],""))</f>
        <v>4.95</v>
      </c>
      <c r="K35" s="18">
        <f>IF(Table_Investimentos_Main[[#This Row],[Ticker]]&lt;&gt;"",Table_Investimentos_Main[[#This Row],[Quantidade]]*Table_Investimentos_Main[[#This Row],[Cotação Ativo]],Table_Investimentos_Main[[#This Row],[Quantidade]])</f>
        <v>15900.21</v>
      </c>
    </row>
    <row r="36" spans="2:11" x14ac:dyDescent="0.2">
      <c r="B36" s="67">
        <v>45292</v>
      </c>
      <c r="C36" t="s">
        <v>21</v>
      </c>
      <c r="D36" t="s">
        <v>24</v>
      </c>
      <c r="E36" s="3" t="s">
        <v>22</v>
      </c>
      <c r="F36" s="3"/>
      <c r="G36" s="10">
        <v>1044.7</v>
      </c>
      <c r="H36" s="18" cm="1">
        <f t="array" ref="H36">_xlfn.XLOOKUP(Table_Investimentos_Main[[#This Row],[Data]]&amp;Table_Investimentos_Main[[#This Row],[Ticker]],Table_Cotacoes[Data]&amp;Table_Cotacoes[Ticker],Table_Cotacoes[Valor],"")</f>
        <v>4.9800000000000004</v>
      </c>
      <c r="I36" s="5" t="str">
        <f>IF(Table_Investimentos_Main[[#This Row],[Ticker]]&lt;&gt;"",_xlfn.XLOOKUP(Table_Investimentos_Main[[#This Row],[Ticker]],Table_Cotacoes[Ticker],Table_Cotacoes[Moeda Base],""),"BRL")</f>
        <v>USD</v>
      </c>
      <c r="J36" s="11" cm="1">
        <f t="array" ref="J36">_xlfn.SINGLE(_xlfn.XLOOKUP(Table_Investimentos_Main[[#This Row],[Data]]&amp;"USD",Table_Cotacoes[Data]&amp;Table_Cotacoes[Ticker],Table_Cotacoes[Valor],""))</f>
        <v>4.9800000000000004</v>
      </c>
      <c r="K36" s="18">
        <f>IF(Table_Investimentos_Main[[#This Row],[Ticker]]&lt;&gt;"",Table_Investimentos_Main[[#This Row],[Quantidade]]*Table_Investimentos_Main[[#This Row],[Cotação Ativo]],Table_Investimentos_Main[[#This Row],[Quantidade]])</f>
        <v>5202.6060000000007</v>
      </c>
    </row>
    <row r="37" spans="2:11" x14ac:dyDescent="0.2">
      <c r="B37" s="67">
        <v>45292</v>
      </c>
      <c r="C37" t="s">
        <v>25</v>
      </c>
      <c r="D37" t="s">
        <v>24</v>
      </c>
      <c r="E37" s="3" t="s">
        <v>22</v>
      </c>
      <c r="F37" s="3"/>
      <c r="G37" s="10">
        <v>2568.1799999999998</v>
      </c>
      <c r="H37" s="18" cm="1">
        <f t="array" ref="H37">_xlfn.XLOOKUP(Table_Investimentos_Main[[#This Row],[Data]]&amp;Table_Investimentos_Main[[#This Row],[Ticker]],Table_Cotacoes[Data]&amp;Table_Cotacoes[Ticker],Table_Cotacoes[Valor],"")</f>
        <v>4.9800000000000004</v>
      </c>
      <c r="I37" s="5" t="str">
        <f>IF(Table_Investimentos_Main[[#This Row],[Ticker]]&lt;&gt;"",_xlfn.XLOOKUP(Table_Investimentos_Main[[#This Row],[Ticker]],Table_Cotacoes[Ticker],Table_Cotacoes[Moeda Base],""),"BRL")</f>
        <v>USD</v>
      </c>
      <c r="J37" s="11" cm="1">
        <f t="array" ref="J37">_xlfn.SINGLE(_xlfn.XLOOKUP(Table_Investimentos_Main[[#This Row],[Data]]&amp;"USD",Table_Cotacoes[Data]&amp;Table_Cotacoes[Ticker],Table_Cotacoes[Valor],""))</f>
        <v>4.9800000000000004</v>
      </c>
      <c r="K37" s="18">
        <f>IF(Table_Investimentos_Main[[#This Row],[Ticker]]&lt;&gt;"",Table_Investimentos_Main[[#This Row],[Quantidade]]*Table_Investimentos_Main[[#This Row],[Cotação Ativo]],Table_Investimentos_Main[[#This Row],[Quantidade]])</f>
        <v>12789.536400000001</v>
      </c>
    </row>
    <row r="38" spans="2:11" x14ac:dyDescent="0.2">
      <c r="B38" s="67">
        <v>45292</v>
      </c>
      <c r="C38" t="s">
        <v>32</v>
      </c>
      <c r="E38" s="3" t="s">
        <v>19</v>
      </c>
      <c r="F38" s="3"/>
      <c r="G38" s="10">
        <v>366.73</v>
      </c>
      <c r="H38" s="18" t="str" cm="1">
        <f t="array" ref="H38">_xlfn.XLOOKUP(Table_Investimentos_Main[[#This Row],[Data]]&amp;Table_Investimentos_Main[[#This Row],[Ticker]],Table_Cotacoes[Data]&amp;Table_Cotacoes[Ticker],Table_Cotacoes[Valor],"")</f>
        <v/>
      </c>
      <c r="I38" s="5" t="str">
        <f>IF(Table_Investimentos_Main[[#This Row],[Ticker]]&lt;&gt;"",_xlfn.XLOOKUP(Table_Investimentos_Main[[#This Row],[Ticker]],Table_Cotacoes[Ticker],Table_Cotacoes[Moeda Base],""),"BRL")</f>
        <v>BRL</v>
      </c>
      <c r="J38" s="11" cm="1">
        <f t="array" ref="J38">_xlfn.SINGLE(_xlfn.XLOOKUP(Table_Investimentos_Main[[#This Row],[Data]]&amp;"USD",Table_Cotacoes[Data]&amp;Table_Cotacoes[Ticker],Table_Cotacoes[Valor],""))</f>
        <v>4.9800000000000004</v>
      </c>
      <c r="K38" s="18">
        <f>IF(Table_Investimentos_Main[[#This Row],[Ticker]]&lt;&gt;"",Table_Investimentos_Main[[#This Row],[Quantidade]]*Table_Investimentos_Main[[#This Row],[Cotação Ativo]],Table_Investimentos_Main[[#This Row],[Quantidade]])</f>
        <v>366.73</v>
      </c>
    </row>
    <row r="39" spans="2:11" x14ac:dyDescent="0.2">
      <c r="B39" s="67">
        <v>45292</v>
      </c>
      <c r="C39" t="s">
        <v>33</v>
      </c>
      <c r="D39" t="s">
        <v>24</v>
      </c>
      <c r="E39" s="3" t="s">
        <v>27</v>
      </c>
      <c r="F39" s="3"/>
      <c r="G39" s="10">
        <v>39.94</v>
      </c>
      <c r="H39" s="18" cm="1">
        <f t="array" ref="H39">_xlfn.XLOOKUP(Table_Investimentos_Main[[#This Row],[Data]]&amp;Table_Investimentos_Main[[#This Row],[Ticker]],Table_Cotacoes[Data]&amp;Table_Cotacoes[Ticker],Table_Cotacoes[Valor],"")</f>
        <v>4.9800000000000004</v>
      </c>
      <c r="I39" s="5" t="str">
        <f>IF(Table_Investimentos_Main[[#This Row],[Ticker]]&lt;&gt;"",_xlfn.XLOOKUP(Table_Investimentos_Main[[#This Row],[Ticker]],Table_Cotacoes[Ticker],Table_Cotacoes[Moeda Base],""),"BRL")</f>
        <v>USD</v>
      </c>
      <c r="J39" s="11" cm="1">
        <f t="array" ref="J39">_xlfn.SINGLE(_xlfn.XLOOKUP(Table_Investimentos_Main[[#This Row],[Data]]&amp;"USD",Table_Cotacoes[Data]&amp;Table_Cotacoes[Ticker],Table_Cotacoes[Valor],""))</f>
        <v>4.9800000000000004</v>
      </c>
      <c r="K39" s="18">
        <f>IF(Table_Investimentos_Main[[#This Row],[Ticker]]&lt;&gt;"",Table_Investimentos_Main[[#This Row],[Quantidade]]*Table_Investimentos_Main[[#This Row],[Cotação Ativo]],Table_Investimentos_Main[[#This Row],[Quantidade]])</f>
        <v>198.90120000000002</v>
      </c>
    </row>
    <row r="40" spans="2:11" x14ac:dyDescent="0.2">
      <c r="B40" s="67">
        <v>45292</v>
      </c>
      <c r="C40" t="s">
        <v>11</v>
      </c>
      <c r="D40" t="s">
        <v>14</v>
      </c>
      <c r="E40" s="3" t="s">
        <v>22</v>
      </c>
      <c r="F40" s="3"/>
      <c r="G40" s="10">
        <v>0.02</v>
      </c>
      <c r="H40" s="18" cm="1">
        <f t="array" ref="H40">_xlfn.XLOOKUP(Table_Investimentos_Main[[#This Row],[Data]]&amp;Table_Investimentos_Main[[#This Row],[Ticker]],Table_Cotacoes[Data]&amp;Table_Cotacoes[Ticker],Table_Cotacoes[Valor],"")</f>
        <v>213280</v>
      </c>
      <c r="I40" s="5" t="str">
        <f>IF(Table_Investimentos_Main[[#This Row],[Ticker]]&lt;&gt;"",_xlfn.XLOOKUP(Table_Investimentos_Main[[#This Row],[Ticker]],Table_Cotacoes[Ticker],Table_Cotacoes[Moeda Base],""),"BRL")</f>
        <v>BTC</v>
      </c>
      <c r="J40" s="11" cm="1">
        <f t="array" ref="J40">_xlfn.SINGLE(_xlfn.XLOOKUP(Table_Investimentos_Main[[#This Row],[Data]]&amp;"USD",Table_Cotacoes[Data]&amp;Table_Cotacoes[Ticker],Table_Cotacoes[Valor],""))</f>
        <v>4.9800000000000004</v>
      </c>
      <c r="K40" s="18">
        <f>IF(Table_Investimentos_Main[[#This Row],[Ticker]]&lt;&gt;"",Table_Investimentos_Main[[#This Row],[Quantidade]]*Table_Investimentos_Main[[#This Row],[Cotação Ativo]],Table_Investimentos_Main[[#This Row],[Quantidade]])</f>
        <v>4265.6000000000004</v>
      </c>
    </row>
    <row r="41" spans="2:11" x14ac:dyDescent="0.2">
      <c r="B41" s="67">
        <v>45292</v>
      </c>
      <c r="C41" t="s">
        <v>11</v>
      </c>
      <c r="D41" t="s">
        <v>14</v>
      </c>
      <c r="E41" s="3" t="s">
        <v>37</v>
      </c>
      <c r="F41" s="3"/>
      <c r="G41" s="10">
        <v>0.18</v>
      </c>
      <c r="H41" s="18" cm="1">
        <f t="array" ref="H41">_xlfn.XLOOKUP(Table_Investimentos_Main[[#This Row],[Data]]&amp;Table_Investimentos_Main[[#This Row],[Ticker]],Table_Cotacoes[Data]&amp;Table_Cotacoes[Ticker],Table_Cotacoes[Valor],"")</f>
        <v>213280</v>
      </c>
      <c r="I41" s="5" t="str">
        <f>IF(Table_Investimentos_Main[[#This Row],[Ticker]]&lt;&gt;"",_xlfn.XLOOKUP(Table_Investimentos_Main[[#This Row],[Ticker]],Table_Cotacoes[Ticker],Table_Cotacoes[Moeda Base],""),"BRL")</f>
        <v>BTC</v>
      </c>
      <c r="J41" s="11" cm="1">
        <f t="array" ref="J41">_xlfn.SINGLE(_xlfn.XLOOKUP(Table_Investimentos_Main[[#This Row],[Data]]&amp;"USD",Table_Cotacoes[Data]&amp;Table_Cotacoes[Ticker],Table_Cotacoes[Valor],""))</f>
        <v>4.9800000000000004</v>
      </c>
      <c r="K41" s="18">
        <f>IF(Table_Investimentos_Main[[#This Row],[Ticker]]&lt;&gt;"",Table_Investimentos_Main[[#This Row],[Quantidade]]*Table_Investimentos_Main[[#This Row],[Cotação Ativo]],Table_Investimentos_Main[[#This Row],[Quantidade]])</f>
        <v>38390.400000000001</v>
      </c>
    </row>
    <row r="42" spans="2:11" x14ac:dyDescent="0.2">
      <c r="B42" s="67">
        <v>45292</v>
      </c>
      <c r="C42" t="s">
        <v>34</v>
      </c>
      <c r="E42" s="3" t="s">
        <v>19</v>
      </c>
      <c r="F42" s="3"/>
      <c r="G42" s="10">
        <v>29644.52</v>
      </c>
      <c r="H42" s="18" t="str" cm="1">
        <f t="array" ref="H42">_xlfn.XLOOKUP(Table_Investimentos_Main[[#This Row],[Data]]&amp;Table_Investimentos_Main[[#This Row],[Ticker]],Table_Cotacoes[Data]&amp;Table_Cotacoes[Ticker],Table_Cotacoes[Valor],"")</f>
        <v/>
      </c>
      <c r="I42" s="5" t="str">
        <f>IF(Table_Investimentos_Main[[#This Row],[Ticker]]&lt;&gt;"",_xlfn.XLOOKUP(Table_Investimentos_Main[[#This Row],[Ticker]],Table_Cotacoes[Ticker],Table_Cotacoes[Moeda Base],""),"BRL")</f>
        <v>BRL</v>
      </c>
      <c r="J42" s="11" cm="1">
        <f t="array" ref="J42">_xlfn.SINGLE(_xlfn.XLOOKUP(Table_Investimentos_Main[[#This Row],[Data]]&amp;"USD",Table_Cotacoes[Data]&amp;Table_Cotacoes[Ticker],Table_Cotacoes[Valor],""))</f>
        <v>4.9800000000000004</v>
      </c>
      <c r="K42" s="18">
        <f>IF(Table_Investimentos_Main[[#This Row],[Ticker]]&lt;&gt;"",Table_Investimentos_Main[[#This Row],[Quantidade]]*Table_Investimentos_Main[[#This Row],[Cotação Ativo]],Table_Investimentos_Main[[#This Row],[Quantidade]])</f>
        <v>29644.52</v>
      </c>
    </row>
    <row r="43" spans="2:11" x14ac:dyDescent="0.2">
      <c r="B43" s="67">
        <v>45292</v>
      </c>
      <c r="C43" t="s">
        <v>35</v>
      </c>
      <c r="E43" s="3" t="s">
        <v>19</v>
      </c>
      <c r="F43" s="3"/>
      <c r="G43" s="10">
        <v>2910.35</v>
      </c>
      <c r="H43" s="18" t="str" cm="1">
        <f t="array" ref="H43">_xlfn.XLOOKUP(Table_Investimentos_Main[[#This Row],[Data]]&amp;Table_Investimentos_Main[[#This Row],[Ticker]],Table_Cotacoes[Data]&amp;Table_Cotacoes[Ticker],Table_Cotacoes[Valor],"")</f>
        <v/>
      </c>
      <c r="I43" s="5" t="str">
        <f>IF(Table_Investimentos_Main[[#This Row],[Ticker]]&lt;&gt;"",_xlfn.XLOOKUP(Table_Investimentos_Main[[#This Row],[Ticker]],Table_Cotacoes[Ticker],Table_Cotacoes[Moeda Base],""),"BRL")</f>
        <v>BRL</v>
      </c>
      <c r="J43" s="11" cm="1">
        <f t="array" ref="J43">_xlfn.SINGLE(_xlfn.XLOOKUP(Table_Investimentos_Main[[#This Row],[Data]]&amp;"USD",Table_Cotacoes[Data]&amp;Table_Cotacoes[Ticker],Table_Cotacoes[Valor],""))</f>
        <v>4.9800000000000004</v>
      </c>
      <c r="K43" s="18">
        <f>IF(Table_Investimentos_Main[[#This Row],[Ticker]]&lt;&gt;"",Table_Investimentos_Main[[#This Row],[Quantidade]]*Table_Investimentos_Main[[#This Row],[Cotação Ativo]],Table_Investimentos_Main[[#This Row],[Quantidade]])</f>
        <v>2910.35</v>
      </c>
    </row>
    <row r="44" spans="2:11" x14ac:dyDescent="0.2">
      <c r="B44" s="67">
        <v>45323</v>
      </c>
      <c r="C44" t="s">
        <v>35</v>
      </c>
      <c r="E44" s="3" t="s">
        <v>19</v>
      </c>
      <c r="F44" s="3"/>
      <c r="G44" s="10">
        <v>2916.4</v>
      </c>
      <c r="H44" s="18" t="str" cm="1">
        <f t="array" ref="H44">_xlfn.XLOOKUP(Table_Investimentos_Main[[#This Row],[Data]]&amp;Table_Investimentos_Main[[#This Row],[Ticker]],Table_Cotacoes[Data]&amp;Table_Cotacoes[Ticker],Table_Cotacoes[Valor],"")</f>
        <v/>
      </c>
      <c r="I44" s="5" t="str">
        <f>IF(Table_Investimentos_Main[[#This Row],[Ticker]]&lt;&gt;"",_xlfn.XLOOKUP(Table_Investimentos_Main[[#This Row],[Ticker]],Table_Cotacoes[Ticker],Table_Cotacoes[Moeda Base],""),"BRL")</f>
        <v>BRL</v>
      </c>
      <c r="J44" s="11" cm="1">
        <f t="array" ref="J44">_xlfn.SINGLE(_xlfn.XLOOKUP(Table_Investimentos_Main[[#This Row],[Data]]&amp;"USD",Table_Cotacoes[Data]&amp;Table_Cotacoes[Ticker],Table_Cotacoes[Valor],""))</f>
        <v>4.97</v>
      </c>
      <c r="K44" s="18">
        <f>IF(Table_Investimentos_Main[[#This Row],[Ticker]]&lt;&gt;"",Table_Investimentos_Main[[#This Row],[Quantidade]]*Table_Investimentos_Main[[#This Row],[Cotação Ativo]],Table_Investimentos_Main[[#This Row],[Quantidade]])</f>
        <v>2916.4</v>
      </c>
    </row>
    <row r="45" spans="2:11" x14ac:dyDescent="0.2">
      <c r="B45" s="67">
        <v>45323</v>
      </c>
      <c r="C45" t="s">
        <v>34</v>
      </c>
      <c r="E45" s="3" t="s">
        <v>19</v>
      </c>
      <c r="F45" s="3"/>
      <c r="G45" s="10">
        <v>19156.669999999998</v>
      </c>
      <c r="H45" s="18" t="str" cm="1">
        <f t="array" ref="H45">_xlfn.XLOOKUP(Table_Investimentos_Main[[#This Row],[Data]]&amp;Table_Investimentos_Main[[#This Row],[Ticker]],Table_Cotacoes[Data]&amp;Table_Cotacoes[Ticker],Table_Cotacoes[Valor],"")</f>
        <v/>
      </c>
      <c r="I45" s="5" t="str">
        <f>IF(Table_Investimentos_Main[[#This Row],[Ticker]]&lt;&gt;"",_xlfn.XLOOKUP(Table_Investimentos_Main[[#This Row],[Ticker]],Table_Cotacoes[Ticker],Table_Cotacoes[Moeda Base],""),"BRL")</f>
        <v>BRL</v>
      </c>
      <c r="J45" s="11" cm="1">
        <f t="array" ref="J45">_xlfn.SINGLE(_xlfn.XLOOKUP(Table_Investimentos_Main[[#This Row],[Data]]&amp;"USD",Table_Cotacoes[Data]&amp;Table_Cotacoes[Ticker],Table_Cotacoes[Valor],""))</f>
        <v>4.97</v>
      </c>
      <c r="K45" s="18">
        <f>IF(Table_Investimentos_Main[[#This Row],[Ticker]]&lt;&gt;"",Table_Investimentos_Main[[#This Row],[Quantidade]]*Table_Investimentos_Main[[#This Row],[Cotação Ativo]],Table_Investimentos_Main[[#This Row],[Quantidade]])</f>
        <v>19156.669999999998</v>
      </c>
    </row>
    <row r="46" spans="2:11" x14ac:dyDescent="0.2">
      <c r="B46" s="67">
        <v>45323</v>
      </c>
      <c r="C46" t="s">
        <v>32</v>
      </c>
      <c r="E46" s="3" t="s">
        <v>19</v>
      </c>
      <c r="F46" s="3"/>
      <c r="G46" s="10">
        <v>470.37</v>
      </c>
      <c r="H46" s="18" t="str" cm="1">
        <f t="array" ref="H46">_xlfn.XLOOKUP(Table_Investimentos_Main[[#This Row],[Data]]&amp;Table_Investimentos_Main[[#This Row],[Ticker]],Table_Cotacoes[Data]&amp;Table_Cotacoes[Ticker],Table_Cotacoes[Valor],"")</f>
        <v/>
      </c>
      <c r="I46" s="5" t="str">
        <f>IF(Table_Investimentos_Main[[#This Row],[Ticker]]&lt;&gt;"",_xlfn.XLOOKUP(Table_Investimentos_Main[[#This Row],[Ticker]],Table_Cotacoes[Ticker],Table_Cotacoes[Moeda Base],""),"BRL")</f>
        <v>BRL</v>
      </c>
      <c r="J46" s="11" cm="1">
        <f t="array" ref="J46">_xlfn.SINGLE(_xlfn.XLOOKUP(Table_Investimentos_Main[[#This Row],[Data]]&amp;"USD",Table_Cotacoes[Data]&amp;Table_Cotacoes[Ticker],Table_Cotacoes[Valor],""))</f>
        <v>4.97</v>
      </c>
      <c r="K46" s="18">
        <f>IF(Table_Investimentos_Main[[#This Row],[Ticker]]&lt;&gt;"",Table_Investimentos_Main[[#This Row],[Quantidade]]*Table_Investimentos_Main[[#This Row],[Cotação Ativo]],Table_Investimentos_Main[[#This Row],[Quantidade]])</f>
        <v>470.37</v>
      </c>
    </row>
    <row r="47" spans="2:11" x14ac:dyDescent="0.2">
      <c r="B47" s="67">
        <v>45323</v>
      </c>
      <c r="C47" t="s">
        <v>38</v>
      </c>
      <c r="E47" s="3" t="s">
        <v>39</v>
      </c>
      <c r="F47" s="3"/>
      <c r="G47" s="10">
        <v>148.0799999999999</v>
      </c>
      <c r="H47" s="18" t="str" cm="1">
        <f t="array" ref="H47">_xlfn.XLOOKUP(Table_Investimentos_Main[[#This Row],[Data]]&amp;Table_Investimentos_Main[[#This Row],[Ticker]],Table_Cotacoes[Data]&amp;Table_Cotacoes[Ticker],Table_Cotacoes[Valor],"")</f>
        <v/>
      </c>
      <c r="I47" s="5" t="str">
        <f>IF(Table_Investimentos_Main[[#This Row],[Ticker]]&lt;&gt;"",_xlfn.XLOOKUP(Table_Investimentos_Main[[#This Row],[Ticker]],Table_Cotacoes[Ticker],Table_Cotacoes[Moeda Base],""),"BRL")</f>
        <v>BRL</v>
      </c>
      <c r="J47" s="11" cm="1">
        <f t="array" ref="J47">_xlfn.SINGLE(_xlfn.XLOOKUP(Table_Investimentos_Main[[#This Row],[Data]]&amp;"USD",Table_Cotacoes[Data]&amp;Table_Cotacoes[Ticker],Table_Cotacoes[Valor],""))</f>
        <v>4.97</v>
      </c>
      <c r="K47" s="18">
        <f>IF(Table_Investimentos_Main[[#This Row],[Ticker]]&lt;&gt;"",Table_Investimentos_Main[[#This Row],[Quantidade]]*Table_Investimentos_Main[[#This Row],[Cotação Ativo]],Table_Investimentos_Main[[#This Row],[Quantidade]])</f>
        <v>148.0799999999999</v>
      </c>
    </row>
    <row r="48" spans="2:11" x14ac:dyDescent="0.2">
      <c r="B48" s="67">
        <v>45323</v>
      </c>
      <c r="C48" t="s">
        <v>40</v>
      </c>
      <c r="E48" s="3" t="s">
        <v>39</v>
      </c>
      <c r="F48" s="3"/>
      <c r="G48" s="10">
        <v>9851.92</v>
      </c>
      <c r="H48" s="18" t="str" cm="1">
        <f t="array" ref="H48">_xlfn.XLOOKUP(Table_Investimentos_Main[[#This Row],[Data]]&amp;Table_Investimentos_Main[[#This Row],[Ticker]],Table_Cotacoes[Data]&amp;Table_Cotacoes[Ticker],Table_Cotacoes[Valor],"")</f>
        <v/>
      </c>
      <c r="I48" s="5" t="str">
        <f>IF(Table_Investimentos_Main[[#This Row],[Ticker]]&lt;&gt;"",_xlfn.XLOOKUP(Table_Investimentos_Main[[#This Row],[Ticker]],Table_Cotacoes[Ticker],Table_Cotacoes[Moeda Base],""),"BRL")</f>
        <v>BRL</v>
      </c>
      <c r="J48" s="11" cm="1">
        <f t="array" ref="J48">_xlfn.SINGLE(_xlfn.XLOOKUP(Table_Investimentos_Main[[#This Row],[Data]]&amp;"USD",Table_Cotacoes[Data]&amp;Table_Cotacoes[Ticker],Table_Cotacoes[Valor],""))</f>
        <v>4.97</v>
      </c>
      <c r="K48" s="18">
        <f>IF(Table_Investimentos_Main[[#This Row],[Ticker]]&lt;&gt;"",Table_Investimentos_Main[[#This Row],[Quantidade]]*Table_Investimentos_Main[[#This Row],[Cotação Ativo]],Table_Investimentos_Main[[#This Row],[Quantidade]])</f>
        <v>9851.92</v>
      </c>
    </row>
    <row r="49" spans="2:11" x14ac:dyDescent="0.2">
      <c r="B49" s="67">
        <v>45323</v>
      </c>
      <c r="C49" t="s">
        <v>41</v>
      </c>
      <c r="D49" t="s">
        <v>14</v>
      </c>
      <c r="E49" s="3" t="s">
        <v>12</v>
      </c>
      <c r="F49" s="3"/>
      <c r="G49" s="10">
        <v>0.17919499999999999</v>
      </c>
      <c r="H49" s="18" cm="1">
        <f t="array" ref="H49">_xlfn.XLOOKUP(Table_Investimentos_Main[[#This Row],[Data]]&amp;Table_Investimentos_Main[[#This Row],[Ticker]],Table_Cotacoes[Data]&amp;Table_Cotacoes[Ticker],Table_Cotacoes[Valor],"")</f>
        <v>258315</v>
      </c>
      <c r="I49" s="5" t="str">
        <f>IF(Table_Investimentos_Main[[#This Row],[Ticker]]&lt;&gt;"",_xlfn.XLOOKUP(Table_Investimentos_Main[[#This Row],[Ticker]],Table_Cotacoes[Ticker],Table_Cotacoes[Moeda Base],""),"BRL")</f>
        <v>BTC</v>
      </c>
      <c r="J49" s="11" cm="1">
        <f t="array" ref="J49">_xlfn.SINGLE(_xlfn.XLOOKUP(Table_Investimentos_Main[[#This Row],[Data]]&amp;"USD",Table_Cotacoes[Data]&amp;Table_Cotacoes[Ticker],Table_Cotacoes[Valor],""))</f>
        <v>4.97</v>
      </c>
      <c r="K49" s="18">
        <f>IF(Table_Investimentos_Main[[#This Row],[Ticker]]&lt;&gt;"",Table_Investimentos_Main[[#This Row],[Quantidade]]*Table_Investimentos_Main[[#This Row],[Cotação Ativo]],Table_Investimentos_Main[[#This Row],[Quantidade]])</f>
        <v>46288.756425</v>
      </c>
    </row>
    <row r="50" spans="2:11" x14ac:dyDescent="0.2">
      <c r="B50" s="67">
        <v>45323</v>
      </c>
      <c r="C50" t="s">
        <v>42</v>
      </c>
      <c r="D50" t="s">
        <v>14</v>
      </c>
      <c r="E50" s="3" t="s">
        <v>22</v>
      </c>
      <c r="F50" s="3"/>
      <c r="G50" s="10">
        <v>1.7457879999999999E-2</v>
      </c>
      <c r="H50" s="18" cm="1">
        <f t="array" ref="H50">_xlfn.XLOOKUP(Table_Investimentos_Main[[#This Row],[Data]]&amp;Table_Investimentos_Main[[#This Row],[Ticker]],Table_Cotacoes[Data]&amp;Table_Cotacoes[Ticker],Table_Cotacoes[Valor],"")</f>
        <v>258315</v>
      </c>
      <c r="I50" s="5" t="str">
        <f>IF(Table_Investimentos_Main[[#This Row],[Ticker]]&lt;&gt;"",_xlfn.XLOOKUP(Table_Investimentos_Main[[#This Row],[Ticker]],Table_Cotacoes[Ticker],Table_Cotacoes[Moeda Base],""),"BRL")</f>
        <v>BTC</v>
      </c>
      <c r="J50" s="11" cm="1">
        <f t="array" ref="J50">_xlfn.SINGLE(_xlfn.XLOOKUP(Table_Investimentos_Main[[#This Row],[Data]]&amp;"USD",Table_Cotacoes[Data]&amp;Table_Cotacoes[Ticker],Table_Cotacoes[Valor],""))</f>
        <v>4.97</v>
      </c>
      <c r="K50" s="18">
        <f>IF(Table_Investimentos_Main[[#This Row],[Ticker]]&lt;&gt;"",Table_Investimentos_Main[[#This Row],[Quantidade]]*Table_Investimentos_Main[[#This Row],[Cotação Ativo]],Table_Investimentos_Main[[#This Row],[Quantidade]])</f>
        <v>4509.6322721999995</v>
      </c>
    </row>
    <row r="51" spans="2:11" x14ac:dyDescent="0.2">
      <c r="B51" s="67">
        <v>45323</v>
      </c>
      <c r="C51" t="s">
        <v>43</v>
      </c>
      <c r="D51" t="s">
        <v>14</v>
      </c>
      <c r="E51" s="3" t="s">
        <v>22</v>
      </c>
      <c r="F51" s="3"/>
      <c r="G51" s="10">
        <v>7.6949100000000001E-3</v>
      </c>
      <c r="H51" s="18" cm="1">
        <f t="array" ref="H51">_xlfn.XLOOKUP(Table_Investimentos_Main[[#This Row],[Data]]&amp;Table_Investimentos_Main[[#This Row],[Ticker]],Table_Cotacoes[Data]&amp;Table_Cotacoes[Ticker],Table_Cotacoes[Valor],"")</f>
        <v>258315</v>
      </c>
      <c r="I51" s="5" t="str">
        <f>IF(Table_Investimentos_Main[[#This Row],[Ticker]]&lt;&gt;"",_xlfn.XLOOKUP(Table_Investimentos_Main[[#This Row],[Ticker]],Table_Cotacoes[Ticker],Table_Cotacoes[Moeda Base],""),"BRL")</f>
        <v>BTC</v>
      </c>
      <c r="J51" s="11" cm="1">
        <f t="array" ref="J51">_xlfn.SINGLE(_xlfn.XLOOKUP(Table_Investimentos_Main[[#This Row],[Data]]&amp;"USD",Table_Cotacoes[Data]&amp;Table_Cotacoes[Ticker],Table_Cotacoes[Valor],""))</f>
        <v>4.97</v>
      </c>
      <c r="K51" s="18">
        <f>IF(Table_Investimentos_Main[[#This Row],[Ticker]]&lt;&gt;"",Table_Investimentos_Main[[#This Row],[Quantidade]]*Table_Investimentos_Main[[#This Row],[Cotação Ativo]],Table_Investimentos_Main[[#This Row],[Quantidade]])</f>
        <v>1987.7106766500001</v>
      </c>
    </row>
    <row r="52" spans="2:11" x14ac:dyDescent="0.2">
      <c r="B52" s="67">
        <v>45323</v>
      </c>
      <c r="C52" t="s">
        <v>44</v>
      </c>
      <c r="D52" t="s">
        <v>24</v>
      </c>
      <c r="E52" s="3" t="s">
        <v>22</v>
      </c>
      <c r="F52" s="3"/>
      <c r="G52" s="10">
        <v>3620.55</v>
      </c>
      <c r="H52" s="18" cm="1">
        <f t="array" ref="H52">_xlfn.XLOOKUP(Table_Investimentos_Main[[#This Row],[Data]]&amp;Table_Investimentos_Main[[#This Row],[Ticker]],Table_Cotacoes[Data]&amp;Table_Cotacoes[Ticker],Table_Cotacoes[Valor],"")</f>
        <v>4.97</v>
      </c>
      <c r="I52" s="5" t="str">
        <f>IF(Table_Investimentos_Main[[#This Row],[Ticker]]&lt;&gt;"",_xlfn.XLOOKUP(Table_Investimentos_Main[[#This Row],[Ticker]],Table_Cotacoes[Ticker],Table_Cotacoes[Moeda Base],""),"BRL")</f>
        <v>USD</v>
      </c>
      <c r="J52" s="11" cm="1">
        <f t="array" ref="J52">_xlfn.SINGLE(_xlfn.XLOOKUP(Table_Investimentos_Main[[#This Row],[Data]]&amp;"USD",Table_Cotacoes[Data]&amp;Table_Cotacoes[Ticker],Table_Cotacoes[Valor],""))</f>
        <v>4.97</v>
      </c>
      <c r="K52" s="18">
        <f>IF(Table_Investimentos_Main[[#This Row],[Ticker]]&lt;&gt;"",Table_Investimentos_Main[[#This Row],[Quantidade]]*Table_Investimentos_Main[[#This Row],[Cotação Ativo]],Table_Investimentos_Main[[#This Row],[Quantidade]])</f>
        <v>17994.1335</v>
      </c>
    </row>
    <row r="53" spans="2:11" x14ac:dyDescent="0.2">
      <c r="B53" s="67">
        <v>45352</v>
      </c>
      <c r="C53" t="s">
        <v>35</v>
      </c>
      <c r="E53" s="3" t="s">
        <v>19</v>
      </c>
      <c r="F53" s="3"/>
      <c r="G53" s="10">
        <v>39.57</v>
      </c>
      <c r="H53" s="18" t="str" cm="1">
        <f t="array" ref="H53">_xlfn.XLOOKUP(Table_Investimentos_Main[[#This Row],[Data]]&amp;Table_Investimentos_Main[[#This Row],[Ticker]],Table_Cotacoes[Data]&amp;Table_Cotacoes[Ticker],Table_Cotacoes[Valor],"")</f>
        <v/>
      </c>
      <c r="I53" s="5" t="str">
        <f>IF(Table_Investimentos_Main[[#This Row],[Ticker]]&lt;&gt;"",_xlfn.XLOOKUP(Table_Investimentos_Main[[#This Row],[Ticker]],Table_Cotacoes[Ticker],Table_Cotacoes[Moeda Base],""),"BRL")</f>
        <v>BRL</v>
      </c>
      <c r="J53" s="11" cm="1">
        <f t="array" ref="J53">_xlfn.SINGLE(_xlfn.XLOOKUP(Table_Investimentos_Main[[#This Row],[Data]]&amp;"USD",Table_Cotacoes[Data]&amp;Table_Cotacoes[Ticker],Table_Cotacoes[Valor],""))</f>
        <v>4.97</v>
      </c>
      <c r="K53" s="18">
        <f>IF(Table_Investimentos_Main[[#This Row],[Ticker]]&lt;&gt;"",Table_Investimentos_Main[[#This Row],[Quantidade]]*Table_Investimentos_Main[[#This Row],[Cotação Ativo]],Table_Investimentos_Main[[#This Row],[Quantidade]])</f>
        <v>39.57</v>
      </c>
    </row>
    <row r="54" spans="2:11" x14ac:dyDescent="0.2">
      <c r="B54" s="67">
        <v>45352</v>
      </c>
      <c r="C54" t="s">
        <v>34</v>
      </c>
      <c r="E54" s="3" t="s">
        <v>19</v>
      </c>
      <c r="F54" s="3"/>
      <c r="G54" s="10">
        <v>21231.66</v>
      </c>
      <c r="H54" s="18" t="str" cm="1">
        <f t="array" ref="H54">_xlfn.XLOOKUP(Table_Investimentos_Main[[#This Row],[Data]]&amp;Table_Investimentos_Main[[#This Row],[Ticker]],Table_Cotacoes[Data]&amp;Table_Cotacoes[Ticker],Table_Cotacoes[Valor],"")</f>
        <v/>
      </c>
      <c r="I54" s="5" t="str">
        <f>IF(Table_Investimentos_Main[[#This Row],[Ticker]]&lt;&gt;"",_xlfn.XLOOKUP(Table_Investimentos_Main[[#This Row],[Ticker]],Table_Cotacoes[Ticker],Table_Cotacoes[Moeda Base],""),"BRL")</f>
        <v>BRL</v>
      </c>
      <c r="J54" s="11" cm="1">
        <f t="array" ref="J54">_xlfn.SINGLE(_xlfn.XLOOKUP(Table_Investimentos_Main[[#This Row],[Data]]&amp;"USD",Table_Cotacoes[Data]&amp;Table_Cotacoes[Ticker],Table_Cotacoes[Valor],""))</f>
        <v>4.97</v>
      </c>
      <c r="K54" s="18">
        <f>IF(Table_Investimentos_Main[[#This Row],[Ticker]]&lt;&gt;"",Table_Investimentos_Main[[#This Row],[Quantidade]]*Table_Investimentos_Main[[#This Row],[Cotação Ativo]],Table_Investimentos_Main[[#This Row],[Quantidade]])</f>
        <v>21231.66</v>
      </c>
    </row>
    <row r="55" spans="2:11" x14ac:dyDescent="0.2">
      <c r="B55" s="67">
        <v>45352</v>
      </c>
      <c r="C55" t="s">
        <v>32</v>
      </c>
      <c r="E55" s="3" t="s">
        <v>19</v>
      </c>
      <c r="F55" s="3"/>
      <c r="G55" s="10">
        <v>487.27</v>
      </c>
      <c r="H55" s="18" t="str" cm="1">
        <f t="array" ref="H55">_xlfn.XLOOKUP(Table_Investimentos_Main[[#This Row],[Data]]&amp;Table_Investimentos_Main[[#This Row],[Ticker]],Table_Cotacoes[Data]&amp;Table_Cotacoes[Ticker],Table_Cotacoes[Valor],"")</f>
        <v/>
      </c>
      <c r="I55" s="5" t="str">
        <f>IF(Table_Investimentos_Main[[#This Row],[Ticker]]&lt;&gt;"",_xlfn.XLOOKUP(Table_Investimentos_Main[[#This Row],[Ticker]],Table_Cotacoes[Ticker],Table_Cotacoes[Moeda Base],""),"BRL")</f>
        <v>BRL</v>
      </c>
      <c r="J55" s="11" cm="1">
        <f t="array" ref="J55">_xlfn.SINGLE(_xlfn.XLOOKUP(Table_Investimentos_Main[[#This Row],[Data]]&amp;"USD",Table_Cotacoes[Data]&amp;Table_Cotacoes[Ticker],Table_Cotacoes[Valor],""))</f>
        <v>4.97</v>
      </c>
      <c r="K55" s="18">
        <f>IF(Table_Investimentos_Main[[#This Row],[Ticker]]&lt;&gt;"",Table_Investimentos_Main[[#This Row],[Quantidade]]*Table_Investimentos_Main[[#This Row],[Cotação Ativo]],Table_Investimentos_Main[[#This Row],[Quantidade]])</f>
        <v>487.27</v>
      </c>
    </row>
    <row r="56" spans="2:11" x14ac:dyDescent="0.2">
      <c r="B56" s="67">
        <v>45352</v>
      </c>
      <c r="C56" t="s">
        <v>40</v>
      </c>
      <c r="E56" s="3" t="s">
        <v>39</v>
      </c>
      <c r="F56" s="3"/>
      <c r="G56" s="10">
        <v>9933.0499999999993</v>
      </c>
      <c r="H56" s="18" t="str" cm="1">
        <f t="array" ref="H56">_xlfn.XLOOKUP(Table_Investimentos_Main[[#This Row],[Data]]&amp;Table_Investimentos_Main[[#This Row],[Ticker]],Table_Cotacoes[Data]&amp;Table_Cotacoes[Ticker],Table_Cotacoes[Valor],"")</f>
        <v/>
      </c>
      <c r="I56" s="5" t="str">
        <f>IF(Table_Investimentos_Main[[#This Row],[Ticker]]&lt;&gt;"",_xlfn.XLOOKUP(Table_Investimentos_Main[[#This Row],[Ticker]],Table_Cotacoes[Ticker],Table_Cotacoes[Moeda Base],""),"BRL")</f>
        <v>BRL</v>
      </c>
      <c r="J56" s="11" cm="1">
        <f t="array" ref="J56">_xlfn.SINGLE(_xlfn.XLOOKUP(Table_Investimentos_Main[[#This Row],[Data]]&amp;"USD",Table_Cotacoes[Data]&amp;Table_Cotacoes[Ticker],Table_Cotacoes[Valor],""))</f>
        <v>4.97</v>
      </c>
      <c r="K56" s="18">
        <f>IF(Table_Investimentos_Main[[#This Row],[Ticker]]&lt;&gt;"",Table_Investimentos_Main[[#This Row],[Quantidade]]*Table_Investimentos_Main[[#This Row],[Cotação Ativo]],Table_Investimentos_Main[[#This Row],[Quantidade]])</f>
        <v>9933.0499999999993</v>
      </c>
    </row>
    <row r="57" spans="2:11" x14ac:dyDescent="0.2">
      <c r="B57" s="67">
        <v>45352</v>
      </c>
      <c r="C57" t="s">
        <v>41</v>
      </c>
      <c r="D57" t="s">
        <v>14</v>
      </c>
      <c r="E57" s="3" t="s">
        <v>37</v>
      </c>
      <c r="F57" s="3"/>
      <c r="G57" s="10">
        <v>0.17919499999999999</v>
      </c>
      <c r="H57" s="18" cm="1">
        <f t="array" ref="H57">_xlfn.XLOOKUP(Table_Investimentos_Main[[#This Row],[Data]]&amp;Table_Investimentos_Main[[#This Row],[Ticker]],Table_Cotacoes[Data]&amp;Table_Cotacoes[Ticker],Table_Cotacoes[Valor],"")</f>
        <v>365000</v>
      </c>
      <c r="I57" s="5" t="str">
        <f>IF(Table_Investimentos_Main[[#This Row],[Ticker]]&lt;&gt;"",_xlfn.XLOOKUP(Table_Investimentos_Main[[#This Row],[Ticker]],Table_Cotacoes[Ticker],Table_Cotacoes[Moeda Base],""),"BRL")</f>
        <v>BTC</v>
      </c>
      <c r="J57" s="11" cm="1">
        <f t="array" ref="J57">_xlfn.SINGLE(_xlfn.XLOOKUP(Table_Investimentos_Main[[#This Row],[Data]]&amp;"USD",Table_Cotacoes[Data]&amp;Table_Cotacoes[Ticker],Table_Cotacoes[Valor],""))</f>
        <v>4.97</v>
      </c>
      <c r="K57" s="18">
        <f>IF(Table_Investimentos_Main[[#This Row],[Ticker]]&lt;&gt;"",Table_Investimentos_Main[[#This Row],[Quantidade]]*Table_Investimentos_Main[[#This Row],[Cotação Ativo]],Table_Investimentos_Main[[#This Row],[Quantidade]])</f>
        <v>65406.174999999996</v>
      </c>
    </row>
    <row r="58" spans="2:11" x14ac:dyDescent="0.2">
      <c r="B58" s="67">
        <v>45352</v>
      </c>
      <c r="C58" t="s">
        <v>44</v>
      </c>
      <c r="D58" t="s">
        <v>24</v>
      </c>
      <c r="E58" s="3" t="s">
        <v>22</v>
      </c>
      <c r="F58" s="3"/>
      <c r="G58" s="10">
        <v>5282.2</v>
      </c>
      <c r="H58" s="18" cm="1">
        <f t="array" ref="H58">_xlfn.XLOOKUP(Table_Investimentos_Main[[#This Row],[Data]]&amp;Table_Investimentos_Main[[#This Row],[Ticker]],Table_Cotacoes[Data]&amp;Table_Cotacoes[Ticker],Table_Cotacoes[Valor],"")</f>
        <v>4.97</v>
      </c>
      <c r="I58" s="5" t="str">
        <f>IF(Table_Investimentos_Main[[#This Row],[Ticker]]&lt;&gt;"",_xlfn.XLOOKUP(Table_Investimentos_Main[[#This Row],[Ticker]],Table_Cotacoes[Ticker],Table_Cotacoes[Moeda Base],""),"BRL")</f>
        <v>USD</v>
      </c>
      <c r="J58" s="11" cm="1">
        <f t="array" ref="J58">_xlfn.SINGLE(_xlfn.XLOOKUP(Table_Investimentos_Main[[#This Row],[Data]]&amp;"USD",Table_Cotacoes[Data]&amp;Table_Cotacoes[Ticker],Table_Cotacoes[Valor],""))</f>
        <v>4.97</v>
      </c>
      <c r="K58" s="18">
        <f>IF(Table_Investimentos_Main[[#This Row],[Ticker]]&lt;&gt;"",Table_Investimentos_Main[[#This Row],[Quantidade]]*Table_Investimentos_Main[[#This Row],[Cotação Ativo]],Table_Investimentos_Main[[#This Row],[Quantidade]])</f>
        <v>26252.533999999996</v>
      </c>
    </row>
    <row r="59" spans="2:11" x14ac:dyDescent="0.2">
      <c r="B59" s="67">
        <v>45383</v>
      </c>
      <c r="C59" t="s">
        <v>45</v>
      </c>
      <c r="E59" s="3" t="s">
        <v>46</v>
      </c>
      <c r="F59" s="3"/>
      <c r="G59" s="10">
        <v>30106.639999999999</v>
      </c>
      <c r="H59" s="18" t="str" cm="1">
        <f t="array" ref="H59">_xlfn.XLOOKUP(Table_Investimentos_Main[[#This Row],[Data]]&amp;Table_Investimentos_Main[[#This Row],[Ticker]],Table_Cotacoes[Data]&amp;Table_Cotacoes[Ticker],Table_Cotacoes[Valor],"")</f>
        <v/>
      </c>
      <c r="I59" s="5" t="str">
        <f>IF(Table_Investimentos_Main[[#This Row],[Ticker]]&lt;&gt;"",_xlfn.XLOOKUP(Table_Investimentos_Main[[#This Row],[Ticker]],Table_Cotacoes[Ticker],Table_Cotacoes[Moeda Base],""),"BRL")</f>
        <v>BRL</v>
      </c>
      <c r="J59" s="11" cm="1">
        <f t="array" ref="J59">_xlfn.SINGLE(_xlfn.XLOOKUP(Table_Investimentos_Main[[#This Row],[Data]]&amp;"USD",Table_Cotacoes[Data]&amp;Table_Cotacoes[Ticker],Table_Cotacoes[Valor],""))</f>
        <v>5.1162999999999998</v>
      </c>
      <c r="K59" s="18">
        <f>IF(Table_Investimentos_Main[[#This Row],[Ticker]]&lt;&gt;"",Table_Investimentos_Main[[#This Row],[Quantidade]]*Table_Investimentos_Main[[#This Row],[Cotação Ativo]],Table_Investimentos_Main[[#This Row],[Quantidade]])</f>
        <v>30106.639999999999</v>
      </c>
    </row>
    <row r="60" spans="2:11" x14ac:dyDescent="0.2">
      <c r="B60" s="67">
        <v>45383</v>
      </c>
      <c r="C60" t="s">
        <v>32</v>
      </c>
      <c r="E60" s="3" t="s">
        <v>46</v>
      </c>
      <c r="F60" s="3"/>
      <c r="G60" s="10">
        <v>279.33999999999997</v>
      </c>
      <c r="H60" s="18" t="str" cm="1">
        <f t="array" ref="H60">_xlfn.XLOOKUP(Table_Investimentos_Main[[#This Row],[Data]]&amp;Table_Investimentos_Main[[#This Row],[Ticker]],Table_Cotacoes[Data]&amp;Table_Cotacoes[Ticker],Table_Cotacoes[Valor],"")</f>
        <v/>
      </c>
      <c r="I60" s="5" t="str">
        <f>IF(Table_Investimentos_Main[[#This Row],[Ticker]]&lt;&gt;"",_xlfn.XLOOKUP(Table_Investimentos_Main[[#This Row],[Ticker]],Table_Cotacoes[Ticker],Table_Cotacoes[Moeda Base],""),"BRL")</f>
        <v>BRL</v>
      </c>
      <c r="J60" s="11" cm="1">
        <f t="array" ref="J60">_xlfn.SINGLE(_xlfn.XLOOKUP(Table_Investimentos_Main[[#This Row],[Data]]&amp;"USD",Table_Cotacoes[Data]&amp;Table_Cotacoes[Ticker],Table_Cotacoes[Valor],""))</f>
        <v>5.1162999999999998</v>
      </c>
      <c r="K60" s="18">
        <f>IF(Table_Investimentos_Main[[#This Row],[Ticker]]&lt;&gt;"",Table_Investimentos_Main[[#This Row],[Quantidade]]*Table_Investimentos_Main[[#This Row],[Cotação Ativo]],Table_Investimentos_Main[[#This Row],[Quantidade]])</f>
        <v>279.33999999999997</v>
      </c>
    </row>
    <row r="61" spans="2:11" x14ac:dyDescent="0.2">
      <c r="B61" s="67">
        <v>45383</v>
      </c>
      <c r="C61" t="s">
        <v>41</v>
      </c>
      <c r="D61" t="s">
        <v>14</v>
      </c>
      <c r="E61" s="3" t="s">
        <v>37</v>
      </c>
      <c r="F61" s="3"/>
      <c r="G61" s="10">
        <v>0.17919499999999999</v>
      </c>
      <c r="H61" s="18" cm="1">
        <f t="array" ref="H61">_xlfn.XLOOKUP(Table_Investimentos_Main[[#This Row],[Data]]&amp;Table_Investimentos_Main[[#This Row],[Ticker]],Table_Cotacoes[Data]&amp;Table_Cotacoes[Ticker],Table_Cotacoes[Valor],"")</f>
        <v>301966</v>
      </c>
      <c r="I61" s="5" t="str">
        <f>IF(Table_Investimentos_Main[[#This Row],[Ticker]]&lt;&gt;"",_xlfn.XLOOKUP(Table_Investimentos_Main[[#This Row],[Ticker]],Table_Cotacoes[Ticker],Table_Cotacoes[Moeda Base],""),"BRL")</f>
        <v>BTC</v>
      </c>
      <c r="J61" s="11" cm="1">
        <f t="array" ref="J61">_xlfn.SINGLE(_xlfn.XLOOKUP(Table_Investimentos_Main[[#This Row],[Data]]&amp;"USD",Table_Cotacoes[Data]&amp;Table_Cotacoes[Ticker],Table_Cotacoes[Valor],""))</f>
        <v>5.1162999999999998</v>
      </c>
      <c r="K61" s="18">
        <f>IF(Table_Investimentos_Main[[#This Row],[Ticker]]&lt;&gt;"",Table_Investimentos_Main[[#This Row],[Quantidade]]*Table_Investimentos_Main[[#This Row],[Cotação Ativo]],Table_Investimentos_Main[[#This Row],[Quantidade]])</f>
        <v>54110.79737</v>
      </c>
    </row>
    <row r="62" spans="2:11" x14ac:dyDescent="0.2">
      <c r="B62" s="67">
        <v>45383</v>
      </c>
      <c r="C62" t="s">
        <v>44</v>
      </c>
      <c r="D62" t="s">
        <v>24</v>
      </c>
      <c r="E62" s="3" t="s">
        <v>22</v>
      </c>
      <c r="F62" s="3"/>
      <c r="G62" s="10">
        <v>3437.1</v>
      </c>
      <c r="H62" s="18" cm="1">
        <f t="array" ref="H62">_xlfn.XLOOKUP(Table_Investimentos_Main[[#This Row],[Data]]&amp;Table_Investimentos_Main[[#This Row],[Ticker]],Table_Cotacoes[Data]&amp;Table_Cotacoes[Ticker],Table_Cotacoes[Valor],"")</f>
        <v>5.1162999999999998</v>
      </c>
      <c r="I62" s="5" t="str">
        <f>IF(Table_Investimentos_Main[[#This Row],[Ticker]]&lt;&gt;"",_xlfn.XLOOKUP(Table_Investimentos_Main[[#This Row],[Ticker]],Table_Cotacoes[Ticker],Table_Cotacoes[Moeda Base],""),"BRL")</f>
        <v>USD</v>
      </c>
      <c r="J62" s="11" cm="1">
        <f t="array" ref="J62">_xlfn.SINGLE(_xlfn.XLOOKUP(Table_Investimentos_Main[[#This Row],[Data]]&amp;"USD",Table_Cotacoes[Data]&amp;Table_Cotacoes[Ticker],Table_Cotacoes[Valor],""))</f>
        <v>5.1162999999999998</v>
      </c>
      <c r="K62" s="18">
        <f>IF(Table_Investimentos_Main[[#This Row],[Ticker]]&lt;&gt;"",Table_Investimentos_Main[[#This Row],[Quantidade]]*Table_Investimentos_Main[[#This Row],[Cotação Ativo]],Table_Investimentos_Main[[#This Row],[Quantidade]])</f>
        <v>17585.23473</v>
      </c>
    </row>
    <row r="63" spans="2:11" x14ac:dyDescent="0.2">
      <c r="B63" s="67">
        <v>45383</v>
      </c>
      <c r="C63" t="s">
        <v>42</v>
      </c>
      <c r="D63" t="s">
        <v>14</v>
      </c>
      <c r="E63" s="3" t="s">
        <v>22</v>
      </c>
      <c r="F63" s="3"/>
      <c r="G63" s="10">
        <v>4.6271050000000001E-2</v>
      </c>
      <c r="H63" s="18" cm="1">
        <f t="array" ref="H63">_xlfn.XLOOKUP(Table_Investimentos_Main[[#This Row],[Data]]&amp;Table_Investimentos_Main[[#This Row],[Ticker]],Table_Cotacoes[Data]&amp;Table_Cotacoes[Ticker],Table_Cotacoes[Valor],"")</f>
        <v>301966</v>
      </c>
      <c r="I63" s="5" t="str">
        <f>IF(Table_Investimentos_Main[[#This Row],[Ticker]]&lt;&gt;"",_xlfn.XLOOKUP(Table_Investimentos_Main[[#This Row],[Ticker]],Table_Cotacoes[Ticker],Table_Cotacoes[Moeda Base],""),"BRL")</f>
        <v>BTC</v>
      </c>
      <c r="J63" s="11" cm="1">
        <f t="array" ref="J63">_xlfn.SINGLE(_xlfn.XLOOKUP(Table_Investimentos_Main[[#This Row],[Data]]&amp;"USD",Table_Cotacoes[Data]&amp;Table_Cotacoes[Ticker],Table_Cotacoes[Valor],""))</f>
        <v>5.1162999999999998</v>
      </c>
      <c r="K63" s="18">
        <f>IF(Table_Investimentos_Main[[#This Row],[Ticker]]&lt;&gt;"",Table_Investimentos_Main[[#This Row],[Quantidade]]*Table_Investimentos_Main[[#This Row],[Cotação Ativo]],Table_Investimentos_Main[[#This Row],[Quantidade]])</f>
        <v>13972.283884300001</v>
      </c>
    </row>
    <row r="64" spans="2:11" x14ac:dyDescent="0.2">
      <c r="B64" s="67">
        <v>45413</v>
      </c>
      <c r="C64" t="s">
        <v>45</v>
      </c>
      <c r="E64" s="3" t="s">
        <v>46</v>
      </c>
      <c r="F64" s="3"/>
      <c r="G64" s="10">
        <v>16611</v>
      </c>
      <c r="H64" s="18" t="str" cm="1">
        <f t="array" ref="H64">_xlfn.XLOOKUP(Table_Investimentos_Main[[#This Row],[Data]]&amp;Table_Investimentos_Main[[#This Row],[Ticker]],Table_Cotacoes[Data]&amp;Table_Cotacoes[Ticker],Table_Cotacoes[Valor],"")</f>
        <v/>
      </c>
      <c r="I64" s="5" t="str">
        <f>IF(Table_Investimentos_Main[[#This Row],[Ticker]]&lt;&gt;"",_xlfn.XLOOKUP(Table_Investimentos_Main[[#This Row],[Ticker]],Table_Cotacoes[Ticker],Table_Cotacoes[Moeda Base],""),"BRL")</f>
        <v>BRL</v>
      </c>
      <c r="J64" s="11" cm="1">
        <f t="array" ref="J64">_xlfn.SINGLE(_xlfn.XLOOKUP(Table_Investimentos_Main[[#This Row],[Data]]&amp;"USD",Table_Cotacoes[Data]&amp;Table_Cotacoes[Ticker],Table_Cotacoes[Valor],""))</f>
        <v>5.1550000000000002</v>
      </c>
      <c r="K64" s="18">
        <f>IF(Table_Investimentos_Main[[#This Row],[Ticker]]&lt;&gt;"",Table_Investimentos_Main[[#This Row],[Quantidade]]*Table_Investimentos_Main[[#This Row],[Cotação Ativo]],Table_Investimentos_Main[[#This Row],[Quantidade]])</f>
        <v>16611</v>
      </c>
    </row>
    <row r="65" spans="2:11" x14ac:dyDescent="0.2">
      <c r="B65" s="67">
        <v>45413</v>
      </c>
      <c r="C65" t="s">
        <v>41</v>
      </c>
      <c r="D65" t="s">
        <v>14</v>
      </c>
      <c r="E65" s="3" t="s">
        <v>37</v>
      </c>
      <c r="F65" s="3"/>
      <c r="G65" s="10">
        <v>0.17919499999999999</v>
      </c>
      <c r="H65" s="18" cm="1">
        <f t="array" ref="H65">_xlfn.XLOOKUP(Table_Investimentos_Main[[#This Row],[Data]]&amp;Table_Investimentos_Main[[#This Row],[Ticker]],Table_Cotacoes[Data]&amp;Table_Cotacoes[Ticker],Table_Cotacoes[Valor],"")</f>
        <v>355704</v>
      </c>
      <c r="I65" s="5" t="str">
        <f>IF(Table_Investimentos_Main[[#This Row],[Ticker]]&lt;&gt;"",_xlfn.XLOOKUP(Table_Investimentos_Main[[#This Row],[Ticker]],Table_Cotacoes[Ticker],Table_Cotacoes[Moeda Base],""),"BRL")</f>
        <v>BTC</v>
      </c>
      <c r="J65" s="11" cm="1">
        <f t="array" ref="J65">_xlfn.SINGLE(_xlfn.XLOOKUP(Table_Investimentos_Main[[#This Row],[Data]]&amp;"USD",Table_Cotacoes[Data]&amp;Table_Cotacoes[Ticker],Table_Cotacoes[Valor],""))</f>
        <v>5.1550000000000002</v>
      </c>
      <c r="K65" s="18">
        <f>IF(Table_Investimentos_Main[[#This Row],[Ticker]]&lt;&gt;"",Table_Investimentos_Main[[#This Row],[Quantidade]]*Table_Investimentos_Main[[#This Row],[Cotação Ativo]],Table_Investimentos_Main[[#This Row],[Quantidade]])</f>
        <v>63740.378279999997</v>
      </c>
    </row>
    <row r="66" spans="2:11" x14ac:dyDescent="0.2">
      <c r="B66" s="67">
        <v>45413</v>
      </c>
      <c r="C66" t="s">
        <v>44</v>
      </c>
      <c r="D66" t="s">
        <v>24</v>
      </c>
      <c r="E66" s="3" t="s">
        <v>22</v>
      </c>
      <c r="F66" s="3"/>
      <c r="G66" s="10">
        <v>3444</v>
      </c>
      <c r="H66" s="18" cm="1">
        <f t="array" ref="H66">_xlfn.XLOOKUP(Table_Investimentos_Main[[#This Row],[Data]]&amp;Table_Investimentos_Main[[#This Row],[Ticker]],Table_Cotacoes[Data]&amp;Table_Cotacoes[Ticker],Table_Cotacoes[Valor],"")</f>
        <v>5.1550000000000002</v>
      </c>
      <c r="I66" s="5" t="str">
        <f>IF(Table_Investimentos_Main[[#This Row],[Ticker]]&lt;&gt;"",_xlfn.XLOOKUP(Table_Investimentos_Main[[#This Row],[Ticker]],Table_Cotacoes[Ticker],Table_Cotacoes[Moeda Base],""),"BRL")</f>
        <v>USD</v>
      </c>
      <c r="J66" s="11" cm="1">
        <f t="array" ref="J66">_xlfn.SINGLE(_xlfn.XLOOKUP(Table_Investimentos_Main[[#This Row],[Data]]&amp;"USD",Table_Cotacoes[Data]&amp;Table_Cotacoes[Ticker],Table_Cotacoes[Valor],""))</f>
        <v>5.1550000000000002</v>
      </c>
      <c r="K66" s="18">
        <f>IF(Table_Investimentos_Main[[#This Row],[Ticker]]&lt;&gt;"",Table_Investimentos_Main[[#This Row],[Quantidade]]*Table_Investimentos_Main[[#This Row],[Cotação Ativo]],Table_Investimentos_Main[[#This Row],[Quantidade]])</f>
        <v>17753.82</v>
      </c>
    </row>
    <row r="67" spans="2:11" x14ac:dyDescent="0.2">
      <c r="B67" s="67">
        <v>45413</v>
      </c>
      <c r="C67" t="s">
        <v>42</v>
      </c>
      <c r="D67" t="s">
        <v>14</v>
      </c>
      <c r="E67" s="3" t="s">
        <v>22</v>
      </c>
      <c r="F67" s="3"/>
      <c r="G67" s="10">
        <v>7.9121449999999996E-2</v>
      </c>
      <c r="H67" s="18" cm="1">
        <f t="array" ref="H67">_xlfn.XLOOKUP(Table_Investimentos_Main[[#This Row],[Data]]&amp;Table_Investimentos_Main[[#This Row],[Ticker]],Table_Cotacoes[Data]&amp;Table_Cotacoes[Ticker],Table_Cotacoes[Valor],"")</f>
        <v>355704</v>
      </c>
      <c r="I67" s="5" t="str">
        <f>IF(Table_Investimentos_Main[[#This Row],[Ticker]]&lt;&gt;"",_xlfn.XLOOKUP(Table_Investimentos_Main[[#This Row],[Ticker]],Table_Cotacoes[Ticker],Table_Cotacoes[Moeda Base],""),"BRL")</f>
        <v>BTC</v>
      </c>
      <c r="J67" s="11" cm="1">
        <f t="array" ref="J67">_xlfn.SINGLE(_xlfn.XLOOKUP(Table_Investimentos_Main[[#This Row],[Data]]&amp;"USD",Table_Cotacoes[Data]&amp;Table_Cotacoes[Ticker],Table_Cotacoes[Valor],""))</f>
        <v>5.1550000000000002</v>
      </c>
      <c r="K67" s="18">
        <f>IF(Table_Investimentos_Main[[#This Row],[Ticker]]&lt;&gt;"",Table_Investimentos_Main[[#This Row],[Quantidade]]*Table_Investimentos_Main[[#This Row],[Cotação Ativo]],Table_Investimentos_Main[[#This Row],[Quantidade]])</f>
        <v>28143.816250799999</v>
      </c>
    </row>
    <row r="68" spans="2:11" x14ac:dyDescent="0.2">
      <c r="B68" s="67">
        <v>45444</v>
      </c>
      <c r="C68" t="s">
        <v>47</v>
      </c>
      <c r="E68" s="3" t="s">
        <v>46</v>
      </c>
      <c r="F68" s="3"/>
      <c r="G68" s="10">
        <v>13103.07</v>
      </c>
      <c r="H68" s="18" t="str" cm="1">
        <f t="array" ref="H68">_xlfn.XLOOKUP(Table_Investimentos_Main[[#This Row],[Data]]&amp;Table_Investimentos_Main[[#This Row],[Ticker]],Table_Cotacoes[Data]&amp;Table_Cotacoes[Ticker],Table_Cotacoes[Valor],"")</f>
        <v/>
      </c>
      <c r="I68" s="5" t="str">
        <f>IF(Table_Investimentos_Main[[#This Row],[Ticker]]&lt;&gt;"",_xlfn.XLOOKUP(Table_Investimentos_Main[[#This Row],[Ticker]],Table_Cotacoes[Ticker],Table_Cotacoes[Moeda Base],""),"BRL")</f>
        <v>BRL</v>
      </c>
      <c r="J68" s="11" cm="1">
        <f t="array" ref="J68">_xlfn.SINGLE(_xlfn.XLOOKUP(Table_Investimentos_Main[[#This Row],[Data]]&amp;"USD",Table_Cotacoes[Data]&amp;Table_Cotacoes[Ticker],Table_Cotacoes[Valor],""))</f>
        <v>5.43</v>
      </c>
      <c r="K68" s="18">
        <f>IF(Table_Investimentos_Main[[#This Row],[Ticker]]&lt;&gt;"",Table_Investimentos_Main[[#This Row],[Quantidade]]*Table_Investimentos_Main[[#This Row],[Cotação Ativo]],Table_Investimentos_Main[[#This Row],[Quantidade]])</f>
        <v>13103.07</v>
      </c>
    </row>
    <row r="69" spans="2:11" x14ac:dyDescent="0.2">
      <c r="B69" s="67">
        <v>45444</v>
      </c>
      <c r="C69" t="s">
        <v>45</v>
      </c>
      <c r="E69" s="3" t="s">
        <v>46</v>
      </c>
      <c r="F69" s="3"/>
      <c r="G69" s="10">
        <v>5331.61</v>
      </c>
      <c r="H69" s="18" t="str" cm="1">
        <f t="array" ref="H69">_xlfn.XLOOKUP(Table_Investimentos_Main[[#This Row],[Data]]&amp;Table_Investimentos_Main[[#This Row],[Ticker]],Table_Cotacoes[Data]&amp;Table_Cotacoes[Ticker],Table_Cotacoes[Valor],"")</f>
        <v/>
      </c>
      <c r="I69" s="5" t="str">
        <f>IF(Table_Investimentos_Main[[#This Row],[Ticker]]&lt;&gt;"",_xlfn.XLOOKUP(Table_Investimentos_Main[[#This Row],[Ticker]],Table_Cotacoes[Ticker],Table_Cotacoes[Moeda Base],""),"BRL")</f>
        <v>BRL</v>
      </c>
      <c r="J69" s="11" cm="1">
        <f t="array" ref="J69">_xlfn.SINGLE(_xlfn.XLOOKUP(Table_Investimentos_Main[[#This Row],[Data]]&amp;"USD",Table_Cotacoes[Data]&amp;Table_Cotacoes[Ticker],Table_Cotacoes[Valor],""))</f>
        <v>5.43</v>
      </c>
      <c r="K69" s="18">
        <f>IF(Table_Investimentos_Main[[#This Row],[Ticker]]&lt;&gt;"",Table_Investimentos_Main[[#This Row],[Quantidade]]*Table_Investimentos_Main[[#This Row],[Cotação Ativo]],Table_Investimentos_Main[[#This Row],[Quantidade]])</f>
        <v>5331.61</v>
      </c>
    </row>
    <row r="70" spans="2:11" x14ac:dyDescent="0.2">
      <c r="B70" s="67">
        <v>45444</v>
      </c>
      <c r="C70" t="s">
        <v>41</v>
      </c>
      <c r="D70" t="s">
        <v>14</v>
      </c>
      <c r="E70" s="3" t="s">
        <v>37</v>
      </c>
      <c r="F70" s="3"/>
      <c r="G70" s="10">
        <v>0.17919499999999999</v>
      </c>
      <c r="H70" s="18" cm="1">
        <f t="array" ref="H70">_xlfn.XLOOKUP(Table_Investimentos_Main[[#This Row],[Data]]&amp;Table_Investimentos_Main[[#This Row],[Ticker]],Table_Cotacoes[Data]&amp;Table_Cotacoes[Ticker],Table_Cotacoes[Valor],"")</f>
        <v>346000</v>
      </c>
      <c r="I70" s="5" t="str">
        <f>IF(Table_Investimentos_Main[[#This Row],[Ticker]]&lt;&gt;"",_xlfn.XLOOKUP(Table_Investimentos_Main[[#This Row],[Ticker]],Table_Cotacoes[Ticker],Table_Cotacoes[Moeda Base],""),"BRL")</f>
        <v>BTC</v>
      </c>
      <c r="J70" s="11" cm="1">
        <f t="array" ref="J70">_xlfn.SINGLE(_xlfn.XLOOKUP(Table_Investimentos_Main[[#This Row],[Data]]&amp;"USD",Table_Cotacoes[Data]&amp;Table_Cotacoes[Ticker],Table_Cotacoes[Valor],""))</f>
        <v>5.43</v>
      </c>
      <c r="K70" s="18">
        <f>IF(Table_Investimentos_Main[[#This Row],[Ticker]]&lt;&gt;"",Table_Investimentos_Main[[#This Row],[Quantidade]]*Table_Investimentos_Main[[#This Row],[Cotação Ativo]],Table_Investimentos_Main[[#This Row],[Quantidade]])</f>
        <v>62001.47</v>
      </c>
    </row>
    <row r="71" spans="2:11" x14ac:dyDescent="0.2">
      <c r="B71" s="67">
        <v>45444</v>
      </c>
      <c r="C71" t="s">
        <v>44</v>
      </c>
      <c r="D71" t="s">
        <v>24</v>
      </c>
      <c r="E71" s="3" t="s">
        <v>22</v>
      </c>
      <c r="F71" s="3"/>
      <c r="G71" s="10">
        <v>3458</v>
      </c>
      <c r="H71" s="18" cm="1">
        <f t="array" ref="H71">_xlfn.XLOOKUP(Table_Investimentos_Main[[#This Row],[Data]]&amp;Table_Investimentos_Main[[#This Row],[Ticker]],Table_Cotacoes[Data]&amp;Table_Cotacoes[Ticker],Table_Cotacoes[Valor],"")</f>
        <v>5.43</v>
      </c>
      <c r="I71" s="5" t="str">
        <f>IF(Table_Investimentos_Main[[#This Row],[Ticker]]&lt;&gt;"",_xlfn.XLOOKUP(Table_Investimentos_Main[[#This Row],[Ticker]],Table_Cotacoes[Ticker],Table_Cotacoes[Moeda Base],""),"BRL")</f>
        <v>USD</v>
      </c>
      <c r="J71" s="11" cm="1">
        <f t="array" ref="J71">_xlfn.SINGLE(_xlfn.XLOOKUP(Table_Investimentos_Main[[#This Row],[Data]]&amp;"USD",Table_Cotacoes[Data]&amp;Table_Cotacoes[Ticker],Table_Cotacoes[Valor],""))</f>
        <v>5.43</v>
      </c>
      <c r="K71" s="18">
        <f>IF(Table_Investimentos_Main[[#This Row],[Ticker]]&lt;&gt;"",Table_Investimentos_Main[[#This Row],[Quantidade]]*Table_Investimentos_Main[[#This Row],[Cotação Ativo]],Table_Investimentos_Main[[#This Row],[Quantidade]])</f>
        <v>18776.939999999999</v>
      </c>
    </row>
    <row r="72" spans="2:11" x14ac:dyDescent="0.2">
      <c r="B72" s="67">
        <v>45444</v>
      </c>
      <c r="C72" t="s">
        <v>42</v>
      </c>
      <c r="D72" t="s">
        <v>14</v>
      </c>
      <c r="E72" s="3" t="s">
        <v>22</v>
      </c>
      <c r="F72" s="3"/>
      <c r="G72" s="10">
        <v>7.9121449999999996E-2</v>
      </c>
      <c r="H72" s="18" cm="1">
        <f t="array" ref="H72">_xlfn.XLOOKUP(Table_Investimentos_Main[[#This Row],[Data]]&amp;Table_Investimentos_Main[[#This Row],[Ticker]],Table_Cotacoes[Data]&amp;Table_Cotacoes[Ticker],Table_Cotacoes[Valor],"")</f>
        <v>346000</v>
      </c>
      <c r="I72" s="5" t="str">
        <f>IF(Table_Investimentos_Main[[#This Row],[Ticker]]&lt;&gt;"",_xlfn.XLOOKUP(Table_Investimentos_Main[[#This Row],[Ticker]],Table_Cotacoes[Ticker],Table_Cotacoes[Moeda Base],""),"BRL")</f>
        <v>BTC</v>
      </c>
      <c r="J72" s="11" cm="1">
        <f t="array" ref="J72">_xlfn.SINGLE(_xlfn.XLOOKUP(Table_Investimentos_Main[[#This Row],[Data]]&amp;"USD",Table_Cotacoes[Data]&amp;Table_Cotacoes[Ticker],Table_Cotacoes[Valor],""))</f>
        <v>5.43</v>
      </c>
      <c r="K72" s="18">
        <f>IF(Table_Investimentos_Main[[#This Row],[Ticker]]&lt;&gt;"",Table_Investimentos_Main[[#This Row],[Quantidade]]*Table_Investimentos_Main[[#This Row],[Cotação Ativo]],Table_Investimentos_Main[[#This Row],[Quantidade]])</f>
        <v>27376.021699999998</v>
      </c>
    </row>
    <row r="73" spans="2:11" x14ac:dyDescent="0.2">
      <c r="B73" s="67">
        <v>45444</v>
      </c>
      <c r="C73" t="s">
        <v>48</v>
      </c>
      <c r="D73" t="s">
        <v>24</v>
      </c>
      <c r="E73" s="3" t="s">
        <v>22</v>
      </c>
      <c r="F73" s="3"/>
      <c r="G73" s="10">
        <v>548</v>
      </c>
      <c r="H73" s="18" cm="1">
        <f t="array" ref="H73">_xlfn.XLOOKUP(Table_Investimentos_Main[[#This Row],[Data]]&amp;Table_Investimentos_Main[[#This Row],[Ticker]],Table_Cotacoes[Data]&amp;Table_Cotacoes[Ticker],Table_Cotacoes[Valor],"")</f>
        <v>5.43</v>
      </c>
      <c r="I73" s="5" t="str">
        <f>IF(Table_Investimentos_Main[[#This Row],[Ticker]]&lt;&gt;"",_xlfn.XLOOKUP(Table_Investimentos_Main[[#This Row],[Ticker]],Table_Cotacoes[Ticker],Table_Cotacoes[Moeda Base],""),"BRL")</f>
        <v>USD</v>
      </c>
      <c r="J73" s="11" cm="1">
        <f t="array" ref="J73">_xlfn.SINGLE(_xlfn.XLOOKUP(Table_Investimentos_Main[[#This Row],[Data]]&amp;"USD",Table_Cotacoes[Data]&amp;Table_Cotacoes[Ticker],Table_Cotacoes[Valor],""))</f>
        <v>5.43</v>
      </c>
      <c r="K73" s="18">
        <f>IF(Table_Investimentos_Main[[#This Row],[Ticker]]&lt;&gt;"",Table_Investimentos_Main[[#This Row],[Quantidade]]*Table_Investimentos_Main[[#This Row],[Cotação Ativo]],Table_Investimentos_Main[[#This Row],[Quantidade]])</f>
        <v>2975.64</v>
      </c>
    </row>
    <row r="74" spans="2:11" x14ac:dyDescent="0.2">
      <c r="B74" s="67">
        <v>45444</v>
      </c>
      <c r="C74" t="s">
        <v>49</v>
      </c>
      <c r="D74" t="s">
        <v>24</v>
      </c>
      <c r="E74" s="3" t="s">
        <v>22</v>
      </c>
      <c r="F74" s="3"/>
      <c r="G74" s="10">
        <v>245</v>
      </c>
      <c r="H74" s="18" cm="1">
        <f t="array" ref="H74">_xlfn.XLOOKUP(Table_Investimentos_Main[[#This Row],[Data]]&amp;Table_Investimentos_Main[[#This Row],[Ticker]],Table_Cotacoes[Data]&amp;Table_Cotacoes[Ticker],Table_Cotacoes[Valor],"")</f>
        <v>5.43</v>
      </c>
      <c r="I74" s="5" t="str">
        <f>IF(Table_Investimentos_Main[[#This Row],[Ticker]]&lt;&gt;"",_xlfn.XLOOKUP(Table_Investimentos_Main[[#This Row],[Ticker]],Table_Cotacoes[Ticker],Table_Cotacoes[Moeda Base],""),"BRL")</f>
        <v>USD</v>
      </c>
      <c r="J74" s="11" cm="1">
        <f t="array" ref="J74">_xlfn.SINGLE(_xlfn.XLOOKUP(Table_Investimentos_Main[[#This Row],[Data]]&amp;"USD",Table_Cotacoes[Data]&amp;Table_Cotacoes[Ticker],Table_Cotacoes[Valor],""))</f>
        <v>5.43</v>
      </c>
      <c r="K74" s="18">
        <f>IF(Table_Investimentos_Main[[#This Row],[Ticker]]&lt;&gt;"",Table_Investimentos_Main[[#This Row],[Quantidade]]*Table_Investimentos_Main[[#This Row],[Cotação Ativo]],Table_Investimentos_Main[[#This Row],[Quantidade]])</f>
        <v>1330.35</v>
      </c>
    </row>
    <row r="75" spans="2:11" x14ac:dyDescent="0.2">
      <c r="B75" s="67">
        <v>45505</v>
      </c>
      <c r="C75" t="s">
        <v>47</v>
      </c>
      <c r="E75" s="3" t="s">
        <v>46</v>
      </c>
      <c r="F75" s="3"/>
      <c r="G75" s="10">
        <v>11305.1</v>
      </c>
      <c r="H75" s="18" t="str" cm="1">
        <f t="array" ref="H75">_xlfn.XLOOKUP(Table_Investimentos_Main[[#This Row],[Data]]&amp;Table_Investimentos_Main[[#This Row],[Ticker]],Table_Cotacoes[Data]&amp;Table_Cotacoes[Ticker],Table_Cotacoes[Valor],"")</f>
        <v/>
      </c>
      <c r="I75" s="5" t="str">
        <f>IF(Table_Investimentos_Main[[#This Row],[Ticker]]&lt;&gt;"",_xlfn.XLOOKUP(Table_Investimentos_Main[[#This Row],[Ticker]],Table_Cotacoes[Ticker],Table_Cotacoes[Moeda Base],""),"BRL")</f>
        <v>BRL</v>
      </c>
      <c r="J75" s="11" cm="1">
        <f t="array" ref="J75">_xlfn.SINGLE(_xlfn.XLOOKUP(Table_Investimentos_Main[[#This Row],[Data]]&amp;"USD",Table_Cotacoes[Data]&amp;Table_Cotacoes[Ticker],Table_Cotacoes[Valor],""))</f>
        <v>5.5</v>
      </c>
      <c r="K75" s="18">
        <f>IF(Table_Investimentos_Main[[#This Row],[Ticker]]&lt;&gt;"",Table_Investimentos_Main[[#This Row],[Quantidade]]*Table_Investimentos_Main[[#This Row],[Cotação Ativo]],Table_Investimentos_Main[[#This Row],[Quantidade]])</f>
        <v>11305.1</v>
      </c>
    </row>
    <row r="76" spans="2:11" x14ac:dyDescent="0.2">
      <c r="B76" s="67">
        <v>45505</v>
      </c>
      <c r="C76" t="s">
        <v>45</v>
      </c>
      <c r="E76" s="3" t="s">
        <v>46</v>
      </c>
      <c r="F76" s="3"/>
      <c r="G76" s="10">
        <v>3002.8</v>
      </c>
      <c r="H76" s="18" t="str" cm="1">
        <f t="array" ref="H76">_xlfn.XLOOKUP(Table_Investimentos_Main[[#This Row],[Data]]&amp;Table_Investimentos_Main[[#This Row],[Ticker]],Table_Cotacoes[Data]&amp;Table_Cotacoes[Ticker],Table_Cotacoes[Valor],"")</f>
        <v/>
      </c>
      <c r="I76" s="5" t="str">
        <f>IF(Table_Investimentos_Main[[#This Row],[Ticker]]&lt;&gt;"",_xlfn.XLOOKUP(Table_Investimentos_Main[[#This Row],[Ticker]],Table_Cotacoes[Ticker],Table_Cotacoes[Moeda Base],""),"BRL")</f>
        <v>BRL</v>
      </c>
      <c r="J76" s="11" cm="1">
        <f t="array" ref="J76">_xlfn.SINGLE(_xlfn.XLOOKUP(Table_Investimentos_Main[[#This Row],[Data]]&amp;"USD",Table_Cotacoes[Data]&amp;Table_Cotacoes[Ticker],Table_Cotacoes[Valor],""))</f>
        <v>5.5</v>
      </c>
      <c r="K76" s="18">
        <f>IF(Table_Investimentos_Main[[#This Row],[Ticker]]&lt;&gt;"",Table_Investimentos_Main[[#This Row],[Quantidade]]*Table_Investimentos_Main[[#This Row],[Cotação Ativo]],Table_Investimentos_Main[[#This Row],[Quantidade]])</f>
        <v>3002.8</v>
      </c>
    </row>
    <row r="77" spans="2:11" x14ac:dyDescent="0.2">
      <c r="B77" s="67">
        <v>45505</v>
      </c>
      <c r="C77" t="s">
        <v>41</v>
      </c>
      <c r="D77" t="s">
        <v>14</v>
      </c>
      <c r="E77" s="3" t="s">
        <v>37</v>
      </c>
      <c r="F77" s="3"/>
      <c r="G77" s="10">
        <v>0.25825710000000002</v>
      </c>
      <c r="H77" s="18" cm="1">
        <f t="array" ref="H77">_xlfn.XLOOKUP(Table_Investimentos_Main[[#This Row],[Data]]&amp;Table_Investimentos_Main[[#This Row],[Ticker]],Table_Cotacoes[Data]&amp;Table_Cotacoes[Ticker],Table_Cotacoes[Valor],"")</f>
        <v>339653.67</v>
      </c>
      <c r="I77" s="5" t="str">
        <f>IF(Table_Investimentos_Main[[#This Row],[Ticker]]&lt;&gt;"",_xlfn.XLOOKUP(Table_Investimentos_Main[[#This Row],[Ticker]],Table_Cotacoes[Ticker],Table_Cotacoes[Moeda Base],""),"BRL")</f>
        <v>BTC</v>
      </c>
      <c r="J77" s="11" cm="1">
        <f t="array" ref="J77">_xlfn.SINGLE(_xlfn.XLOOKUP(Table_Investimentos_Main[[#This Row],[Data]]&amp;"USD",Table_Cotacoes[Data]&amp;Table_Cotacoes[Ticker],Table_Cotacoes[Valor],""))</f>
        <v>5.5</v>
      </c>
      <c r="K77" s="18">
        <f>IF(Table_Investimentos_Main[[#This Row],[Ticker]]&lt;&gt;"",Table_Investimentos_Main[[#This Row],[Quantidade]]*Table_Investimentos_Main[[#This Row],[Cotação Ativo]],Table_Investimentos_Main[[#This Row],[Quantidade]])</f>
        <v>87717.971818556995</v>
      </c>
    </row>
    <row r="78" spans="2:11" x14ac:dyDescent="0.2">
      <c r="B78" s="67">
        <v>45505</v>
      </c>
      <c r="C78" t="s">
        <v>44</v>
      </c>
      <c r="D78" t="s">
        <v>24</v>
      </c>
      <c r="E78" s="3" t="s">
        <v>22</v>
      </c>
      <c r="F78" s="3"/>
      <c r="G78" s="10">
        <v>3412</v>
      </c>
      <c r="H78" s="18" cm="1">
        <f t="array" ref="H78">_xlfn.XLOOKUP(Table_Investimentos_Main[[#This Row],[Data]]&amp;Table_Investimentos_Main[[#This Row],[Ticker]],Table_Cotacoes[Data]&amp;Table_Cotacoes[Ticker],Table_Cotacoes[Valor],"")</f>
        <v>5.5</v>
      </c>
      <c r="I78" s="5" t="str">
        <f>IF(Table_Investimentos_Main[[#This Row],[Ticker]]&lt;&gt;"",_xlfn.XLOOKUP(Table_Investimentos_Main[[#This Row],[Ticker]],Table_Cotacoes[Ticker],Table_Cotacoes[Moeda Base],""),"BRL")</f>
        <v>USD</v>
      </c>
      <c r="J78" s="11" cm="1">
        <f t="array" ref="J78">_xlfn.SINGLE(_xlfn.XLOOKUP(Table_Investimentos_Main[[#This Row],[Data]]&amp;"USD",Table_Cotacoes[Data]&amp;Table_Cotacoes[Ticker],Table_Cotacoes[Valor],""))</f>
        <v>5.5</v>
      </c>
      <c r="K78" s="18">
        <f>IF(Table_Investimentos_Main[[#This Row],[Ticker]]&lt;&gt;"",Table_Investimentos_Main[[#This Row],[Quantidade]]*Table_Investimentos_Main[[#This Row],[Cotação Ativo]],Table_Investimentos_Main[[#This Row],[Quantidade]])</f>
        <v>18766</v>
      </c>
    </row>
    <row r="79" spans="2:11" x14ac:dyDescent="0.2">
      <c r="B79" s="67">
        <v>45505</v>
      </c>
      <c r="C79" t="s">
        <v>42</v>
      </c>
      <c r="D79" t="s">
        <v>14</v>
      </c>
      <c r="E79" s="3" t="s">
        <v>22</v>
      </c>
      <c r="F79" s="3"/>
      <c r="G79" s="10">
        <v>1.584414E-2</v>
      </c>
      <c r="H79" s="18" cm="1">
        <f t="array" ref="H79">_xlfn.XLOOKUP(Table_Investimentos_Main[[#This Row],[Data]]&amp;Table_Investimentos_Main[[#This Row],[Ticker]],Table_Cotacoes[Data]&amp;Table_Cotacoes[Ticker],Table_Cotacoes[Valor],"")</f>
        <v>339653.67</v>
      </c>
      <c r="I79" s="5" t="str">
        <f>IF(Table_Investimentos_Main[[#This Row],[Ticker]]&lt;&gt;"",_xlfn.XLOOKUP(Table_Investimentos_Main[[#This Row],[Ticker]],Table_Cotacoes[Ticker],Table_Cotacoes[Moeda Base],""),"BRL")</f>
        <v>BTC</v>
      </c>
      <c r="J79" s="11" cm="1">
        <f t="array" ref="J79">_xlfn.SINGLE(_xlfn.XLOOKUP(Table_Investimentos_Main[[#This Row],[Data]]&amp;"USD",Table_Cotacoes[Data]&amp;Table_Cotacoes[Ticker],Table_Cotacoes[Valor],""))</f>
        <v>5.5</v>
      </c>
      <c r="K79" s="18">
        <f>IF(Table_Investimentos_Main[[#This Row],[Ticker]]&lt;&gt;"",Table_Investimentos_Main[[#This Row],[Quantidade]]*Table_Investimentos_Main[[#This Row],[Cotação Ativo]],Table_Investimentos_Main[[#This Row],[Quantidade]])</f>
        <v>5381.5202989937998</v>
      </c>
    </row>
    <row r="80" spans="2:11" x14ac:dyDescent="0.2">
      <c r="B80" s="67">
        <v>45505</v>
      </c>
      <c r="C80" t="s">
        <v>48</v>
      </c>
      <c r="D80" t="s">
        <v>24</v>
      </c>
      <c r="E80" s="3" t="s">
        <v>22</v>
      </c>
      <c r="F80" s="3"/>
      <c r="G80" s="10">
        <v>413.9</v>
      </c>
      <c r="H80" s="18" cm="1">
        <f t="array" ref="H80">_xlfn.XLOOKUP(Table_Investimentos_Main[[#This Row],[Data]]&amp;Table_Investimentos_Main[[#This Row],[Ticker]],Table_Cotacoes[Data]&amp;Table_Cotacoes[Ticker],Table_Cotacoes[Valor],"")</f>
        <v>5.5</v>
      </c>
      <c r="I80" s="5" t="str">
        <f>IF(Table_Investimentos_Main[[#This Row],[Ticker]]&lt;&gt;"",_xlfn.XLOOKUP(Table_Investimentos_Main[[#This Row],[Ticker]],Table_Cotacoes[Ticker],Table_Cotacoes[Moeda Base],""),"BRL")</f>
        <v>USD</v>
      </c>
      <c r="J80" s="11" cm="1">
        <f t="array" ref="J80">_xlfn.SINGLE(_xlfn.XLOOKUP(Table_Investimentos_Main[[#This Row],[Data]]&amp;"USD",Table_Cotacoes[Data]&amp;Table_Cotacoes[Ticker],Table_Cotacoes[Valor],""))</f>
        <v>5.5</v>
      </c>
      <c r="K80" s="18">
        <f>IF(Table_Investimentos_Main[[#This Row],[Ticker]]&lt;&gt;"",Table_Investimentos_Main[[#This Row],[Quantidade]]*Table_Investimentos_Main[[#This Row],[Cotação Ativo]],Table_Investimentos_Main[[#This Row],[Quantidade]])</f>
        <v>2276.4499999999998</v>
      </c>
    </row>
    <row r="81" spans="2:11" x14ac:dyDescent="0.2">
      <c r="B81" s="67">
        <v>45505</v>
      </c>
      <c r="C81" t="s">
        <v>49</v>
      </c>
      <c r="D81" t="s">
        <v>24</v>
      </c>
      <c r="E81" s="3" t="s">
        <v>22</v>
      </c>
      <c r="F81" s="3"/>
      <c r="G81" s="10">
        <v>718.98</v>
      </c>
      <c r="H81" s="18" cm="1">
        <f t="array" ref="H81">_xlfn.XLOOKUP(Table_Investimentos_Main[[#This Row],[Data]]&amp;Table_Investimentos_Main[[#This Row],[Ticker]],Table_Cotacoes[Data]&amp;Table_Cotacoes[Ticker],Table_Cotacoes[Valor],"")</f>
        <v>5.5</v>
      </c>
      <c r="I81" s="5" t="str">
        <f>IF(Table_Investimentos_Main[[#This Row],[Ticker]]&lt;&gt;"",_xlfn.XLOOKUP(Table_Investimentos_Main[[#This Row],[Ticker]],Table_Cotacoes[Ticker],Table_Cotacoes[Moeda Base],""),"BRL")</f>
        <v>USD</v>
      </c>
      <c r="J81" s="11" cm="1">
        <f t="array" ref="J81">_xlfn.SINGLE(_xlfn.XLOOKUP(Table_Investimentos_Main[[#This Row],[Data]]&amp;"USD",Table_Cotacoes[Data]&amp;Table_Cotacoes[Ticker],Table_Cotacoes[Valor],""))</f>
        <v>5.5</v>
      </c>
      <c r="K81" s="18">
        <f>IF(Table_Investimentos_Main[[#This Row],[Ticker]]&lt;&gt;"",Table_Investimentos_Main[[#This Row],[Quantidade]]*Table_Investimentos_Main[[#This Row],[Cotação Ativo]],Table_Investimentos_Main[[#This Row],[Quantidade]])</f>
        <v>3954.3900000000003</v>
      </c>
    </row>
    <row r="82" spans="2:11" x14ac:dyDescent="0.2">
      <c r="B82" s="67">
        <v>45536</v>
      </c>
      <c r="C82" t="s">
        <v>47</v>
      </c>
      <c r="E82" s="3" t="s">
        <v>46</v>
      </c>
      <c r="F82" s="3"/>
      <c r="G82" s="10">
        <v>2355.31</v>
      </c>
      <c r="H82" s="18" t="str" cm="1">
        <f t="array" ref="H82">_xlfn.XLOOKUP(Table_Investimentos_Main[[#This Row],[Data]]&amp;Table_Investimentos_Main[[#This Row],[Ticker]],Table_Cotacoes[Data]&amp;Table_Cotacoes[Ticker],Table_Cotacoes[Valor],"")</f>
        <v/>
      </c>
      <c r="I82" s="5" t="str">
        <f>IF(Table_Investimentos_Main[[#This Row],[Ticker]]&lt;&gt;"",_xlfn.XLOOKUP(Table_Investimentos_Main[[#This Row],[Ticker]],Table_Cotacoes[Ticker],Table_Cotacoes[Moeda Base],""),"BRL")</f>
        <v>BRL</v>
      </c>
      <c r="J82" s="11" cm="1">
        <f t="array" ref="J82">_xlfn.SINGLE(_xlfn.XLOOKUP(Table_Investimentos_Main[[#This Row],[Data]]&amp;"USD",Table_Cotacoes[Data]&amp;Table_Cotacoes[Ticker],Table_Cotacoes[Valor],""))</f>
        <v>5.52</v>
      </c>
      <c r="K82" s="18">
        <f>IF(Table_Investimentos_Main[[#This Row],[Ticker]]&lt;&gt;"",Table_Investimentos_Main[[#This Row],[Quantidade]]*Table_Investimentos_Main[[#This Row],[Cotação Ativo]],Table_Investimentos_Main[[#This Row],[Quantidade]])</f>
        <v>2355.31</v>
      </c>
    </row>
    <row r="83" spans="2:11" x14ac:dyDescent="0.2">
      <c r="B83" s="67">
        <v>45536</v>
      </c>
      <c r="C83" t="s">
        <v>45</v>
      </c>
      <c r="E83" s="3" t="s">
        <v>46</v>
      </c>
      <c r="F83" s="3"/>
      <c r="G83" s="10">
        <v>950</v>
      </c>
      <c r="H83" s="18" t="str" cm="1">
        <f t="array" ref="H83">_xlfn.XLOOKUP(Table_Investimentos_Main[[#This Row],[Data]]&amp;Table_Investimentos_Main[[#This Row],[Ticker]],Table_Cotacoes[Data]&amp;Table_Cotacoes[Ticker],Table_Cotacoes[Valor],"")</f>
        <v/>
      </c>
      <c r="I83" s="5" t="str">
        <f>IF(Table_Investimentos_Main[[#This Row],[Ticker]]&lt;&gt;"",_xlfn.XLOOKUP(Table_Investimentos_Main[[#This Row],[Ticker]],Table_Cotacoes[Ticker],Table_Cotacoes[Moeda Base],""),"BRL")</f>
        <v>BRL</v>
      </c>
      <c r="J83" s="11" cm="1">
        <f t="array" ref="J83">_xlfn.SINGLE(_xlfn.XLOOKUP(Table_Investimentos_Main[[#This Row],[Data]]&amp;"USD",Table_Cotacoes[Data]&amp;Table_Cotacoes[Ticker],Table_Cotacoes[Valor],""))</f>
        <v>5.52</v>
      </c>
      <c r="K83" s="18">
        <f>IF(Table_Investimentos_Main[[#This Row],[Ticker]]&lt;&gt;"",Table_Investimentos_Main[[#This Row],[Quantidade]]*Table_Investimentos_Main[[#This Row],[Cotação Ativo]],Table_Investimentos_Main[[#This Row],[Quantidade]])</f>
        <v>950</v>
      </c>
    </row>
    <row r="84" spans="2:11" x14ac:dyDescent="0.2">
      <c r="B84" s="67">
        <v>45536</v>
      </c>
      <c r="C84" t="s">
        <v>41</v>
      </c>
      <c r="D84" t="s">
        <v>14</v>
      </c>
      <c r="E84" s="3" t="s">
        <v>37</v>
      </c>
      <c r="F84" s="3"/>
      <c r="G84" s="10">
        <v>0.25825710000000002</v>
      </c>
      <c r="H84" s="18" cm="1">
        <f t="array" ref="H84">_xlfn.XLOOKUP(Table_Investimentos_Main[[#This Row],[Data]]&amp;Table_Investimentos_Main[[#This Row],[Ticker]],Table_Cotacoes[Data]&amp;Table_Cotacoes[Ticker],Table_Cotacoes[Valor],"")</f>
        <v>348333.72</v>
      </c>
      <c r="I84" s="5" t="str">
        <f>IF(Table_Investimentos_Main[[#This Row],[Ticker]]&lt;&gt;"",_xlfn.XLOOKUP(Table_Investimentos_Main[[#This Row],[Ticker]],Table_Cotacoes[Ticker],Table_Cotacoes[Moeda Base],""),"BRL")</f>
        <v>BTC</v>
      </c>
      <c r="J84" s="11" cm="1">
        <f t="array" ref="J84">_xlfn.SINGLE(_xlfn.XLOOKUP(Table_Investimentos_Main[[#This Row],[Data]]&amp;"USD",Table_Cotacoes[Data]&amp;Table_Cotacoes[Ticker],Table_Cotacoes[Valor],""))</f>
        <v>5.52</v>
      </c>
      <c r="K84" s="18">
        <f>IF(Table_Investimentos_Main[[#This Row],[Ticker]]&lt;&gt;"",Table_Investimentos_Main[[#This Row],[Quantidade]]*Table_Investimentos_Main[[#This Row],[Cotação Ativo]],Table_Investimentos_Main[[#This Row],[Quantidade]])</f>
        <v>89959.656359411994</v>
      </c>
    </row>
    <row r="85" spans="2:11" x14ac:dyDescent="0.2">
      <c r="B85" s="67">
        <v>45536</v>
      </c>
      <c r="C85" t="s">
        <v>42</v>
      </c>
      <c r="D85" t="s">
        <v>14</v>
      </c>
      <c r="E85" s="3" t="s">
        <v>22</v>
      </c>
      <c r="F85" s="3"/>
      <c r="G85" s="10">
        <v>1.584414E-2</v>
      </c>
      <c r="H85" s="18" cm="1">
        <f t="array" ref="H85">_xlfn.XLOOKUP(Table_Investimentos_Main[[#This Row],[Data]]&amp;Table_Investimentos_Main[[#This Row],[Ticker]],Table_Cotacoes[Data]&amp;Table_Cotacoes[Ticker],Table_Cotacoes[Valor],"")</f>
        <v>348333.72</v>
      </c>
      <c r="I85" s="5" t="str">
        <f>IF(Table_Investimentos_Main[[#This Row],[Ticker]]&lt;&gt;"",_xlfn.XLOOKUP(Table_Investimentos_Main[[#This Row],[Ticker]],Table_Cotacoes[Ticker],Table_Cotacoes[Moeda Base],""),"BRL")</f>
        <v>BTC</v>
      </c>
      <c r="J85" s="11" cm="1">
        <f t="array" ref="J85">_xlfn.SINGLE(_xlfn.XLOOKUP(Table_Investimentos_Main[[#This Row],[Data]]&amp;"USD",Table_Cotacoes[Data]&amp;Table_Cotacoes[Ticker],Table_Cotacoes[Valor],""))</f>
        <v>5.52</v>
      </c>
      <c r="K85" s="18">
        <f>IF(Table_Investimentos_Main[[#This Row],[Ticker]]&lt;&gt;"",Table_Investimentos_Main[[#This Row],[Quantidade]]*Table_Investimentos_Main[[#This Row],[Cotação Ativo]],Table_Investimentos_Main[[#This Row],[Quantidade]])</f>
        <v>5519.0482264007996</v>
      </c>
    </row>
    <row r="86" spans="2:11" x14ac:dyDescent="0.2">
      <c r="B86" s="67">
        <v>45536</v>
      </c>
      <c r="C86" t="s">
        <v>50</v>
      </c>
      <c r="D86" t="s">
        <v>14</v>
      </c>
      <c r="E86" s="3" t="s">
        <v>22</v>
      </c>
      <c r="F86" s="3"/>
      <c r="G86" s="10">
        <v>1.9630000000000002E-2</v>
      </c>
      <c r="H86" s="18" cm="1">
        <f t="array" ref="H86">_xlfn.XLOOKUP(Table_Investimentos_Main[[#This Row],[Data]]&amp;Table_Investimentos_Main[[#This Row],[Ticker]],Table_Cotacoes[Data]&amp;Table_Cotacoes[Ticker],Table_Cotacoes[Valor],"")</f>
        <v>348333.72</v>
      </c>
      <c r="I86" s="5" t="str">
        <f>IF(Table_Investimentos_Main[[#This Row],[Ticker]]&lt;&gt;"",_xlfn.XLOOKUP(Table_Investimentos_Main[[#This Row],[Ticker]],Table_Cotacoes[Ticker],Table_Cotacoes[Moeda Base],""),"BRL")</f>
        <v>BTC</v>
      </c>
      <c r="J86" s="11" cm="1">
        <f t="array" ref="J86">_xlfn.SINGLE(_xlfn.XLOOKUP(Table_Investimentos_Main[[#This Row],[Data]]&amp;"USD",Table_Cotacoes[Data]&amp;Table_Cotacoes[Ticker],Table_Cotacoes[Valor],""))</f>
        <v>5.52</v>
      </c>
      <c r="K86" s="18">
        <f>IF(Table_Investimentos_Main[[#This Row],[Ticker]]&lt;&gt;"",Table_Investimentos_Main[[#This Row],[Quantidade]]*Table_Investimentos_Main[[#This Row],[Cotação Ativo]],Table_Investimentos_Main[[#This Row],[Quantidade]])</f>
        <v>6837.7909235999996</v>
      </c>
    </row>
    <row r="87" spans="2:11" x14ac:dyDescent="0.2">
      <c r="B87" s="67">
        <v>45536</v>
      </c>
      <c r="C87" t="s">
        <v>44</v>
      </c>
      <c r="D87" t="s">
        <v>24</v>
      </c>
      <c r="E87" s="3" t="s">
        <v>22</v>
      </c>
      <c r="F87" s="3"/>
      <c r="G87" s="10">
        <v>3418.33</v>
      </c>
      <c r="H87" s="18" cm="1">
        <f t="array" ref="H87">_xlfn.XLOOKUP(Table_Investimentos_Main[[#This Row],[Data]]&amp;Table_Investimentos_Main[[#This Row],[Ticker]],Table_Cotacoes[Data]&amp;Table_Cotacoes[Ticker],Table_Cotacoes[Valor],"")</f>
        <v>5.52</v>
      </c>
      <c r="I87" s="5" t="str">
        <f>IF(Table_Investimentos_Main[[#This Row],[Ticker]]&lt;&gt;"",_xlfn.XLOOKUP(Table_Investimentos_Main[[#This Row],[Ticker]],Table_Cotacoes[Ticker],Table_Cotacoes[Moeda Base],""),"BRL")</f>
        <v>USD</v>
      </c>
      <c r="J87" s="11" cm="1">
        <f t="array" ref="J87">_xlfn.SINGLE(_xlfn.XLOOKUP(Table_Investimentos_Main[[#This Row],[Data]]&amp;"USD",Table_Cotacoes[Data]&amp;Table_Cotacoes[Ticker],Table_Cotacoes[Valor],""))</f>
        <v>5.52</v>
      </c>
      <c r="K87" s="18">
        <f>IF(Table_Investimentos_Main[[#This Row],[Ticker]]&lt;&gt;"",Table_Investimentos_Main[[#This Row],[Quantidade]]*Table_Investimentos_Main[[#This Row],[Cotação Ativo]],Table_Investimentos_Main[[#This Row],[Quantidade]])</f>
        <v>18869.1816</v>
      </c>
    </row>
    <row r="88" spans="2:11" x14ac:dyDescent="0.2">
      <c r="B88" s="67">
        <v>45536</v>
      </c>
      <c r="C88" t="s">
        <v>48</v>
      </c>
      <c r="D88" t="s">
        <v>24</v>
      </c>
      <c r="E88" s="3" t="s">
        <v>22</v>
      </c>
      <c r="F88" s="3"/>
      <c r="G88" s="10">
        <v>413.59</v>
      </c>
      <c r="H88" s="18" cm="1">
        <f t="array" ref="H88">_xlfn.XLOOKUP(Table_Investimentos_Main[[#This Row],[Data]]&amp;Table_Investimentos_Main[[#This Row],[Ticker]],Table_Cotacoes[Data]&amp;Table_Cotacoes[Ticker],Table_Cotacoes[Valor],"")</f>
        <v>5.52</v>
      </c>
      <c r="I88" s="5" t="str">
        <f>IF(Table_Investimentos_Main[[#This Row],[Ticker]]&lt;&gt;"",_xlfn.XLOOKUP(Table_Investimentos_Main[[#This Row],[Ticker]],Table_Cotacoes[Ticker],Table_Cotacoes[Moeda Base],""),"BRL")</f>
        <v>USD</v>
      </c>
      <c r="J88" s="11" cm="1">
        <f t="array" ref="J88">_xlfn.SINGLE(_xlfn.XLOOKUP(Table_Investimentos_Main[[#This Row],[Data]]&amp;"USD",Table_Cotacoes[Data]&amp;Table_Cotacoes[Ticker],Table_Cotacoes[Valor],""))</f>
        <v>5.52</v>
      </c>
      <c r="K88" s="18">
        <f>IF(Table_Investimentos_Main[[#This Row],[Ticker]]&lt;&gt;"",Table_Investimentos_Main[[#This Row],[Quantidade]]*Table_Investimentos_Main[[#This Row],[Cotação Ativo]],Table_Investimentos_Main[[#This Row],[Quantidade]])</f>
        <v>2283.0167999999999</v>
      </c>
    </row>
    <row r="89" spans="2:11" x14ac:dyDescent="0.2">
      <c r="B89" s="67">
        <v>45536</v>
      </c>
      <c r="C89" t="s">
        <v>49</v>
      </c>
      <c r="D89" t="s">
        <v>24</v>
      </c>
      <c r="E89" s="3" t="s">
        <v>22</v>
      </c>
      <c r="F89" s="3"/>
      <c r="G89" s="10">
        <v>676.47</v>
      </c>
      <c r="H89" s="18" cm="1">
        <f t="array" ref="H89">_xlfn.XLOOKUP(Table_Investimentos_Main[[#This Row],[Data]]&amp;Table_Investimentos_Main[[#This Row],[Ticker]],Table_Cotacoes[Data]&amp;Table_Cotacoes[Ticker],Table_Cotacoes[Valor],"")</f>
        <v>5.52</v>
      </c>
      <c r="I89" s="5" t="str">
        <f>IF(Table_Investimentos_Main[[#This Row],[Ticker]]&lt;&gt;"",_xlfn.XLOOKUP(Table_Investimentos_Main[[#This Row],[Ticker]],Table_Cotacoes[Ticker],Table_Cotacoes[Moeda Base],""),"BRL")</f>
        <v>USD</v>
      </c>
      <c r="J89" s="11" cm="1">
        <f t="array" ref="J89">_xlfn.SINGLE(_xlfn.XLOOKUP(Table_Investimentos_Main[[#This Row],[Data]]&amp;"USD",Table_Cotacoes[Data]&amp;Table_Cotacoes[Ticker],Table_Cotacoes[Valor],""))</f>
        <v>5.52</v>
      </c>
      <c r="K89" s="18">
        <f>IF(Table_Investimentos_Main[[#This Row],[Ticker]]&lt;&gt;"",Table_Investimentos_Main[[#This Row],[Quantidade]]*Table_Investimentos_Main[[#This Row],[Cotação Ativo]],Table_Investimentos_Main[[#This Row],[Quantidade]])</f>
        <v>3734.1143999999999</v>
      </c>
    </row>
    <row r="90" spans="2:11" x14ac:dyDescent="0.2">
      <c r="B90" s="67">
        <v>45536</v>
      </c>
      <c r="C90" t="s">
        <v>51</v>
      </c>
      <c r="D90" t="s">
        <v>24</v>
      </c>
      <c r="E90" s="3" t="s">
        <v>52</v>
      </c>
      <c r="F90" s="3"/>
      <c r="G90" s="10">
        <v>912.37</v>
      </c>
      <c r="H90" s="18" cm="1">
        <f t="array" ref="H90">_xlfn.XLOOKUP(Table_Investimentos_Main[[#This Row],[Data]]&amp;Table_Investimentos_Main[[#This Row],[Ticker]],Table_Cotacoes[Data]&amp;Table_Cotacoes[Ticker],Table_Cotacoes[Valor],"")</f>
        <v>5.52</v>
      </c>
      <c r="I90" s="5" t="str">
        <f>IF(Table_Investimentos_Main[[#This Row],[Ticker]]&lt;&gt;"",_xlfn.XLOOKUP(Table_Investimentos_Main[[#This Row],[Ticker]],Table_Cotacoes[Ticker],Table_Cotacoes[Moeda Base],""),"BRL")</f>
        <v>USD</v>
      </c>
      <c r="J90" s="11" cm="1">
        <f t="array" ref="J90">_xlfn.SINGLE(_xlfn.XLOOKUP(Table_Investimentos_Main[[#This Row],[Data]]&amp;"USD",Table_Cotacoes[Data]&amp;Table_Cotacoes[Ticker],Table_Cotacoes[Valor],""))</f>
        <v>5.52</v>
      </c>
      <c r="K90" s="18">
        <f>IF(Table_Investimentos_Main[[#This Row],[Ticker]]&lt;&gt;"",Table_Investimentos_Main[[#This Row],[Quantidade]]*Table_Investimentos_Main[[#This Row],[Cotação Ativo]],Table_Investimentos_Main[[#This Row],[Quantidade]])</f>
        <v>5036.2824000000001</v>
      </c>
    </row>
    <row r="91" spans="2:11" x14ac:dyDescent="0.2">
      <c r="B91" s="67">
        <v>45566</v>
      </c>
      <c r="C91" t="s">
        <v>47</v>
      </c>
      <c r="E91" s="3" t="s">
        <v>46</v>
      </c>
      <c r="F91" s="3"/>
      <c r="G91" s="10">
        <v>1769.97</v>
      </c>
      <c r="H91" s="18" t="str" cm="1">
        <f t="array" ref="H91">_xlfn.XLOOKUP(Table_Investimentos_Main[[#This Row],[Data]]&amp;Table_Investimentos_Main[[#This Row],[Ticker]],Table_Cotacoes[Data]&amp;Table_Cotacoes[Ticker],Table_Cotacoes[Valor],"")</f>
        <v/>
      </c>
      <c r="I91" s="5" t="str">
        <f>IF(Table_Investimentos_Main[[#This Row],[Ticker]]&lt;&gt;"",_xlfn.XLOOKUP(Table_Investimentos_Main[[#This Row],[Ticker]],Table_Cotacoes[Ticker],Table_Cotacoes[Moeda Base],""),"BRL")</f>
        <v>BRL</v>
      </c>
      <c r="J91" s="11" cm="1">
        <f t="array" ref="J91">_xlfn.SINGLE(_xlfn.XLOOKUP(Table_Investimentos_Main[[#This Row],[Data]]&amp;"USD",Table_Cotacoes[Data]&amp;Table_Cotacoes[Ticker],Table_Cotacoes[Valor],""))</f>
        <v>5.76</v>
      </c>
      <c r="K91" s="18">
        <f>IF(Table_Investimentos_Main[[#This Row],[Ticker]]&lt;&gt;"",Table_Investimentos_Main[[#This Row],[Quantidade]]*Table_Investimentos_Main[[#This Row],[Cotação Ativo]],Table_Investimentos_Main[[#This Row],[Quantidade]])</f>
        <v>1769.97</v>
      </c>
    </row>
    <row r="92" spans="2:11" x14ac:dyDescent="0.2">
      <c r="B92" s="67">
        <v>45566</v>
      </c>
      <c r="C92" t="s">
        <v>45</v>
      </c>
      <c r="E92" s="3" t="s">
        <v>46</v>
      </c>
      <c r="F92" s="3"/>
      <c r="G92" s="10">
        <v>2003.1</v>
      </c>
      <c r="H92" s="18" t="str" cm="1">
        <f t="array" ref="H92">_xlfn.XLOOKUP(Table_Investimentos_Main[[#This Row],[Data]]&amp;Table_Investimentos_Main[[#This Row],[Ticker]],Table_Cotacoes[Data]&amp;Table_Cotacoes[Ticker],Table_Cotacoes[Valor],"")</f>
        <v/>
      </c>
      <c r="I92" s="5" t="str">
        <f>IF(Table_Investimentos_Main[[#This Row],[Ticker]]&lt;&gt;"",_xlfn.XLOOKUP(Table_Investimentos_Main[[#This Row],[Ticker]],Table_Cotacoes[Ticker],Table_Cotacoes[Moeda Base],""),"BRL")</f>
        <v>BRL</v>
      </c>
      <c r="J92" s="11" cm="1">
        <f t="array" ref="J92">_xlfn.SINGLE(_xlfn.XLOOKUP(Table_Investimentos_Main[[#This Row],[Data]]&amp;"USD",Table_Cotacoes[Data]&amp;Table_Cotacoes[Ticker],Table_Cotacoes[Valor],""))</f>
        <v>5.76</v>
      </c>
      <c r="K92" s="18">
        <f>IF(Table_Investimentos_Main[[#This Row],[Ticker]]&lt;&gt;"",Table_Investimentos_Main[[#This Row],[Quantidade]]*Table_Investimentos_Main[[#This Row],[Cotação Ativo]],Table_Investimentos_Main[[#This Row],[Quantidade]])</f>
        <v>2003.1</v>
      </c>
    </row>
    <row r="93" spans="2:11" x14ac:dyDescent="0.2">
      <c r="B93" s="67">
        <v>45566</v>
      </c>
      <c r="C93" t="s">
        <v>41</v>
      </c>
      <c r="D93" t="s">
        <v>14</v>
      </c>
      <c r="E93" s="3" t="s">
        <v>37</v>
      </c>
      <c r="F93" s="3"/>
      <c r="G93" s="10">
        <v>0.25825710000000002</v>
      </c>
      <c r="H93" s="18" cm="1">
        <f t="array" ref="H93">_xlfn.XLOOKUP(Table_Investimentos_Main[[#This Row],[Data]]&amp;Table_Investimentos_Main[[#This Row],[Ticker]],Table_Cotacoes[Data]&amp;Table_Cotacoes[Ticker],Table_Cotacoes[Valor],"")</f>
        <v>418028.58</v>
      </c>
      <c r="I93" s="5" t="str">
        <f>IF(Table_Investimentos_Main[[#This Row],[Ticker]]&lt;&gt;"",_xlfn.XLOOKUP(Table_Investimentos_Main[[#This Row],[Ticker]],Table_Cotacoes[Ticker],Table_Cotacoes[Moeda Base],""),"BRL")</f>
        <v>BTC</v>
      </c>
      <c r="J93" s="11" cm="1">
        <f t="array" ref="J93">_xlfn.SINGLE(_xlfn.XLOOKUP(Table_Investimentos_Main[[#This Row],[Data]]&amp;"USD",Table_Cotacoes[Data]&amp;Table_Cotacoes[Ticker],Table_Cotacoes[Valor],""))</f>
        <v>5.76</v>
      </c>
      <c r="K93" s="18">
        <f>IF(Table_Investimentos_Main[[#This Row],[Ticker]]&lt;&gt;"",Table_Investimentos_Main[[#This Row],[Quantidade]]*Table_Investimentos_Main[[#This Row],[Cotação Ativo]],Table_Investimentos_Main[[#This Row],[Quantidade]])</f>
        <v>107958.84878791802</v>
      </c>
    </row>
    <row r="94" spans="2:11" x14ac:dyDescent="0.2">
      <c r="B94" s="67">
        <v>45566</v>
      </c>
      <c r="C94" t="s">
        <v>42</v>
      </c>
      <c r="D94" t="s">
        <v>14</v>
      </c>
      <c r="E94" s="3" t="s">
        <v>22</v>
      </c>
      <c r="F94" s="3"/>
      <c r="G94" s="10">
        <v>1.584414E-2</v>
      </c>
      <c r="H94" s="18" cm="1">
        <f t="array" ref="H94">_xlfn.XLOOKUP(Table_Investimentos_Main[[#This Row],[Data]]&amp;Table_Investimentos_Main[[#This Row],[Ticker]],Table_Cotacoes[Data]&amp;Table_Cotacoes[Ticker],Table_Cotacoes[Valor],"")</f>
        <v>418028.58</v>
      </c>
      <c r="I94" s="5" t="str">
        <f>IF(Table_Investimentos_Main[[#This Row],[Ticker]]&lt;&gt;"",_xlfn.XLOOKUP(Table_Investimentos_Main[[#This Row],[Ticker]],Table_Cotacoes[Ticker],Table_Cotacoes[Moeda Base],""),"BRL")</f>
        <v>BTC</v>
      </c>
      <c r="J94" s="11" cm="1">
        <f t="array" ref="J94">_xlfn.SINGLE(_xlfn.XLOOKUP(Table_Investimentos_Main[[#This Row],[Data]]&amp;"USD",Table_Cotacoes[Data]&amp;Table_Cotacoes[Ticker],Table_Cotacoes[Valor],""))</f>
        <v>5.76</v>
      </c>
      <c r="K94" s="18">
        <f>IF(Table_Investimentos_Main[[#This Row],[Ticker]]&lt;&gt;"",Table_Investimentos_Main[[#This Row],[Quantidade]]*Table_Investimentos_Main[[#This Row],[Cotação Ativo]],Table_Investimentos_Main[[#This Row],[Quantidade]])</f>
        <v>6623.3033455211998</v>
      </c>
    </row>
    <row r="95" spans="2:11" x14ac:dyDescent="0.2">
      <c r="B95" s="67">
        <v>45566</v>
      </c>
      <c r="C95" t="s">
        <v>50</v>
      </c>
      <c r="D95" t="s">
        <v>14</v>
      </c>
      <c r="E95" s="3" t="s">
        <v>22</v>
      </c>
      <c r="F95" s="3"/>
      <c r="G95" s="10">
        <v>1.9630000000000002E-2</v>
      </c>
      <c r="H95" s="18" cm="1">
        <f t="array" ref="H95">_xlfn.XLOOKUP(Table_Investimentos_Main[[#This Row],[Data]]&amp;Table_Investimentos_Main[[#This Row],[Ticker]],Table_Cotacoes[Data]&amp;Table_Cotacoes[Ticker],Table_Cotacoes[Valor],"")</f>
        <v>418028.58</v>
      </c>
      <c r="I95" s="5" t="str">
        <f>IF(Table_Investimentos_Main[[#This Row],[Ticker]]&lt;&gt;"",_xlfn.XLOOKUP(Table_Investimentos_Main[[#This Row],[Ticker]],Table_Cotacoes[Ticker],Table_Cotacoes[Moeda Base],""),"BRL")</f>
        <v>BTC</v>
      </c>
      <c r="J95" s="11" cm="1">
        <f t="array" ref="J95">_xlfn.SINGLE(_xlfn.XLOOKUP(Table_Investimentos_Main[[#This Row],[Data]]&amp;"USD",Table_Cotacoes[Data]&amp;Table_Cotacoes[Ticker],Table_Cotacoes[Valor],""))</f>
        <v>5.76</v>
      </c>
      <c r="K95" s="18">
        <f>IF(Table_Investimentos_Main[[#This Row],[Ticker]]&lt;&gt;"",Table_Investimentos_Main[[#This Row],[Quantidade]]*Table_Investimentos_Main[[#This Row],[Cotação Ativo]],Table_Investimentos_Main[[#This Row],[Quantidade]])</f>
        <v>8205.9010254000004</v>
      </c>
    </row>
    <row r="96" spans="2:11" x14ac:dyDescent="0.2">
      <c r="B96" s="67">
        <v>45566</v>
      </c>
      <c r="C96" t="s">
        <v>44</v>
      </c>
      <c r="D96" t="s">
        <v>24</v>
      </c>
      <c r="E96" s="3" t="s">
        <v>22</v>
      </c>
      <c r="F96" s="3"/>
      <c r="G96" s="10">
        <v>3432</v>
      </c>
      <c r="H96" s="18" cm="1">
        <f t="array" ref="H96">_xlfn.XLOOKUP(Table_Investimentos_Main[[#This Row],[Data]]&amp;Table_Investimentos_Main[[#This Row],[Ticker]],Table_Cotacoes[Data]&amp;Table_Cotacoes[Ticker],Table_Cotacoes[Valor],"")</f>
        <v>5.76</v>
      </c>
      <c r="I96" s="5" t="str">
        <f>IF(Table_Investimentos_Main[[#This Row],[Ticker]]&lt;&gt;"",_xlfn.XLOOKUP(Table_Investimentos_Main[[#This Row],[Ticker]],Table_Cotacoes[Ticker],Table_Cotacoes[Moeda Base],""),"BRL")</f>
        <v>USD</v>
      </c>
      <c r="J96" s="11" cm="1">
        <f t="array" ref="J96">_xlfn.SINGLE(_xlfn.XLOOKUP(Table_Investimentos_Main[[#This Row],[Data]]&amp;"USD",Table_Cotacoes[Data]&amp;Table_Cotacoes[Ticker],Table_Cotacoes[Valor],""))</f>
        <v>5.76</v>
      </c>
      <c r="K96" s="18">
        <f>IF(Table_Investimentos_Main[[#This Row],[Ticker]]&lt;&gt;"",Table_Investimentos_Main[[#This Row],[Quantidade]]*Table_Investimentos_Main[[#This Row],[Cotação Ativo]],Table_Investimentos_Main[[#This Row],[Quantidade]])</f>
        <v>19768.32</v>
      </c>
    </row>
    <row r="97" spans="2:11" x14ac:dyDescent="0.2">
      <c r="B97" s="67">
        <v>45566</v>
      </c>
      <c r="C97" t="s">
        <v>48</v>
      </c>
      <c r="D97" t="s">
        <v>24</v>
      </c>
      <c r="E97" s="3" t="s">
        <v>22</v>
      </c>
      <c r="F97" s="3"/>
      <c r="G97" s="10">
        <v>422.39</v>
      </c>
      <c r="H97" s="18" cm="1">
        <f t="array" ref="H97">_xlfn.XLOOKUP(Table_Investimentos_Main[[#This Row],[Data]]&amp;Table_Investimentos_Main[[#This Row],[Ticker]],Table_Cotacoes[Data]&amp;Table_Cotacoes[Ticker],Table_Cotacoes[Valor],"")</f>
        <v>5.76</v>
      </c>
      <c r="I97" s="5" t="str">
        <f>IF(Table_Investimentos_Main[[#This Row],[Ticker]]&lt;&gt;"",_xlfn.XLOOKUP(Table_Investimentos_Main[[#This Row],[Ticker]],Table_Cotacoes[Ticker],Table_Cotacoes[Moeda Base],""),"BRL")</f>
        <v>USD</v>
      </c>
      <c r="J97" s="11" cm="1">
        <f t="array" ref="J97">_xlfn.SINGLE(_xlfn.XLOOKUP(Table_Investimentos_Main[[#This Row],[Data]]&amp;"USD",Table_Cotacoes[Data]&amp;Table_Cotacoes[Ticker],Table_Cotacoes[Valor],""))</f>
        <v>5.76</v>
      </c>
      <c r="K97" s="18">
        <f>IF(Table_Investimentos_Main[[#This Row],[Ticker]]&lt;&gt;"",Table_Investimentos_Main[[#This Row],[Quantidade]]*Table_Investimentos_Main[[#This Row],[Cotação Ativo]],Table_Investimentos_Main[[#This Row],[Quantidade]])</f>
        <v>2432.9663999999998</v>
      </c>
    </row>
    <row r="98" spans="2:11" x14ac:dyDescent="0.2">
      <c r="B98" s="67">
        <v>45566</v>
      </c>
      <c r="C98" t="s">
        <v>49</v>
      </c>
      <c r="D98" t="s">
        <v>24</v>
      </c>
      <c r="E98" s="3" t="s">
        <v>22</v>
      </c>
      <c r="F98" s="3"/>
      <c r="G98" s="10">
        <v>836.11</v>
      </c>
      <c r="H98" s="18" cm="1">
        <f t="array" ref="H98">_xlfn.XLOOKUP(Table_Investimentos_Main[[#This Row],[Data]]&amp;Table_Investimentos_Main[[#This Row],[Ticker]],Table_Cotacoes[Data]&amp;Table_Cotacoes[Ticker],Table_Cotacoes[Valor],"")</f>
        <v>5.76</v>
      </c>
      <c r="I98" s="5" t="str">
        <f>IF(Table_Investimentos_Main[[#This Row],[Ticker]]&lt;&gt;"",_xlfn.XLOOKUP(Table_Investimentos_Main[[#This Row],[Ticker]],Table_Cotacoes[Ticker],Table_Cotacoes[Moeda Base],""),"BRL")</f>
        <v>USD</v>
      </c>
      <c r="J98" s="11" cm="1">
        <f t="array" ref="J98">_xlfn.SINGLE(_xlfn.XLOOKUP(Table_Investimentos_Main[[#This Row],[Data]]&amp;"USD",Table_Cotacoes[Data]&amp;Table_Cotacoes[Ticker],Table_Cotacoes[Valor],""))</f>
        <v>5.76</v>
      </c>
      <c r="K98" s="18">
        <f>IF(Table_Investimentos_Main[[#This Row],[Ticker]]&lt;&gt;"",Table_Investimentos_Main[[#This Row],[Quantidade]]*Table_Investimentos_Main[[#This Row],[Cotação Ativo]],Table_Investimentos_Main[[#This Row],[Quantidade]])</f>
        <v>4815.9935999999998</v>
      </c>
    </row>
    <row r="99" spans="2:11" x14ac:dyDescent="0.2">
      <c r="B99" s="67">
        <v>45566</v>
      </c>
      <c r="C99" t="s">
        <v>51</v>
      </c>
      <c r="D99" t="s">
        <v>24</v>
      </c>
      <c r="E99" s="3" t="s">
        <v>52</v>
      </c>
      <c r="F99" s="3"/>
      <c r="G99" s="10">
        <v>931.33</v>
      </c>
      <c r="H99" s="18" cm="1">
        <f t="array" ref="H99">_xlfn.XLOOKUP(Table_Investimentos_Main[[#This Row],[Data]]&amp;Table_Investimentos_Main[[#This Row],[Ticker]],Table_Cotacoes[Data]&amp;Table_Cotacoes[Ticker],Table_Cotacoes[Valor],"")</f>
        <v>5.76</v>
      </c>
      <c r="I99" s="5" t="str">
        <f>IF(Table_Investimentos_Main[[#This Row],[Ticker]]&lt;&gt;"",_xlfn.XLOOKUP(Table_Investimentos_Main[[#This Row],[Ticker]],Table_Cotacoes[Ticker],Table_Cotacoes[Moeda Base],""),"BRL")</f>
        <v>USD</v>
      </c>
      <c r="J99" s="11" cm="1">
        <f t="array" ref="J99">_xlfn.SINGLE(_xlfn.XLOOKUP(Table_Investimentos_Main[[#This Row],[Data]]&amp;"USD",Table_Cotacoes[Data]&amp;Table_Cotacoes[Ticker],Table_Cotacoes[Valor],""))</f>
        <v>5.76</v>
      </c>
      <c r="K99" s="18">
        <f>IF(Table_Investimentos_Main[[#This Row],[Ticker]]&lt;&gt;"",Table_Investimentos_Main[[#This Row],[Quantidade]]*Table_Investimentos_Main[[#This Row],[Cotação Ativo]],Table_Investimentos_Main[[#This Row],[Quantidade]])</f>
        <v>5364.4607999999998</v>
      </c>
    </row>
    <row r="100" spans="2:11" x14ac:dyDescent="0.2">
      <c r="B100" s="67">
        <v>45597</v>
      </c>
      <c r="C100" t="s">
        <v>47</v>
      </c>
      <c r="E100" s="3" t="s">
        <v>46</v>
      </c>
      <c r="F100" s="3"/>
      <c r="G100" s="10">
        <v>1774.82</v>
      </c>
      <c r="H100" s="18" t="str" cm="1">
        <f t="array" ref="H100">_xlfn.XLOOKUP(Table_Investimentos_Main[[#This Row],[Data]]&amp;Table_Investimentos_Main[[#This Row],[Ticker]],Table_Cotacoes[Data]&amp;Table_Cotacoes[Ticker],Table_Cotacoes[Valor],"")</f>
        <v/>
      </c>
      <c r="I100" s="5" t="str">
        <f>IF(Table_Investimentos_Main[[#This Row],[Ticker]]&lt;&gt;"",_xlfn.XLOOKUP(Table_Investimentos_Main[[#This Row],[Ticker]],Table_Cotacoes[Ticker],Table_Cotacoes[Moeda Base],""),"BRL")</f>
        <v>BRL</v>
      </c>
      <c r="J100" s="11" cm="1">
        <f t="array" ref="J100">_xlfn.SINGLE(_xlfn.XLOOKUP(Table_Investimentos_Main[[#This Row],[Data]]&amp;"USD",Table_Cotacoes[Data]&amp;Table_Cotacoes[Ticker],Table_Cotacoes[Valor],""))</f>
        <v>5.81</v>
      </c>
      <c r="K100" s="18">
        <f>IF(Table_Investimentos_Main[[#This Row],[Ticker]]&lt;&gt;"",Table_Investimentos_Main[[#This Row],[Quantidade]]*Table_Investimentos_Main[[#This Row],[Cotação Ativo]],Table_Investimentos_Main[[#This Row],[Quantidade]])</f>
        <v>1774.82</v>
      </c>
    </row>
    <row r="101" spans="2:11" x14ac:dyDescent="0.2">
      <c r="B101" s="67">
        <v>45597</v>
      </c>
      <c r="C101" t="s">
        <v>45</v>
      </c>
      <c r="E101" s="3" t="s">
        <v>46</v>
      </c>
      <c r="F101" s="3"/>
      <c r="G101" s="10">
        <v>7107.21</v>
      </c>
      <c r="H101" s="18" t="str" cm="1">
        <f t="array" ref="H101">_xlfn.XLOOKUP(Table_Investimentos_Main[[#This Row],[Data]]&amp;Table_Investimentos_Main[[#This Row],[Ticker]],Table_Cotacoes[Data]&amp;Table_Cotacoes[Ticker],Table_Cotacoes[Valor],"")</f>
        <v/>
      </c>
      <c r="I101" s="5" t="str">
        <f>IF(Table_Investimentos_Main[[#This Row],[Ticker]]&lt;&gt;"",_xlfn.XLOOKUP(Table_Investimentos_Main[[#This Row],[Ticker]],Table_Cotacoes[Ticker],Table_Cotacoes[Moeda Base],""),"BRL")</f>
        <v>BRL</v>
      </c>
      <c r="J101" s="11" cm="1">
        <f t="array" ref="J101">_xlfn.SINGLE(_xlfn.XLOOKUP(Table_Investimentos_Main[[#This Row],[Data]]&amp;"USD",Table_Cotacoes[Data]&amp;Table_Cotacoes[Ticker],Table_Cotacoes[Valor],""))</f>
        <v>5.81</v>
      </c>
      <c r="K101" s="18">
        <f>IF(Table_Investimentos_Main[[#This Row],[Ticker]]&lt;&gt;"",Table_Investimentos_Main[[#This Row],[Quantidade]]*Table_Investimentos_Main[[#This Row],[Cotação Ativo]],Table_Investimentos_Main[[#This Row],[Quantidade]])</f>
        <v>7107.21</v>
      </c>
    </row>
    <row r="102" spans="2:11" x14ac:dyDescent="0.2">
      <c r="B102" s="67">
        <v>45597</v>
      </c>
      <c r="C102" t="s">
        <v>41</v>
      </c>
      <c r="D102" t="s">
        <v>14</v>
      </c>
      <c r="E102" s="3" t="s">
        <v>37</v>
      </c>
      <c r="F102" s="3"/>
      <c r="G102" s="10">
        <v>0.25825710000000002</v>
      </c>
      <c r="H102" s="18" cm="1">
        <f t="array" ref="H102">_xlfn.XLOOKUP(Table_Investimentos_Main[[#This Row],[Data]]&amp;Table_Investimentos_Main[[#This Row],[Ticker]],Table_Cotacoes[Data]&amp;Table_Cotacoes[Ticker],Table_Cotacoes[Valor],"")</f>
        <v>569958.14</v>
      </c>
      <c r="I102" s="5" t="str">
        <f>IF(Table_Investimentos_Main[[#This Row],[Ticker]]&lt;&gt;"",_xlfn.XLOOKUP(Table_Investimentos_Main[[#This Row],[Ticker]],Table_Cotacoes[Ticker],Table_Cotacoes[Moeda Base],""),"BRL")</f>
        <v>BTC</v>
      </c>
      <c r="J102" s="11" cm="1">
        <f t="array" ref="J102">_xlfn.SINGLE(_xlfn.XLOOKUP(Table_Investimentos_Main[[#This Row],[Data]]&amp;"USD",Table_Cotacoes[Data]&amp;Table_Cotacoes[Ticker],Table_Cotacoes[Valor],""))</f>
        <v>5.81</v>
      </c>
      <c r="K102" s="18">
        <f>IF(Table_Investimentos_Main[[#This Row],[Ticker]]&lt;&gt;"",Table_Investimentos_Main[[#This Row],[Quantidade]]*Table_Investimentos_Main[[#This Row],[Cotação Ativo]],Table_Investimentos_Main[[#This Row],[Quantidade]])</f>
        <v>147195.73635779403</v>
      </c>
    </row>
    <row r="103" spans="2:11" x14ac:dyDescent="0.2">
      <c r="B103" s="67">
        <v>45597</v>
      </c>
      <c r="C103" t="s">
        <v>42</v>
      </c>
      <c r="D103" t="s">
        <v>14</v>
      </c>
      <c r="E103" s="3" t="s">
        <v>22</v>
      </c>
      <c r="F103" s="3"/>
      <c r="G103" s="10">
        <v>1.584414E-2</v>
      </c>
      <c r="H103" s="18" cm="1">
        <f t="array" ref="H103">_xlfn.XLOOKUP(Table_Investimentos_Main[[#This Row],[Data]]&amp;Table_Investimentos_Main[[#This Row],[Ticker]],Table_Cotacoes[Data]&amp;Table_Cotacoes[Ticker],Table_Cotacoes[Valor],"")</f>
        <v>569958.14</v>
      </c>
      <c r="I103" s="5" t="str">
        <f>IF(Table_Investimentos_Main[[#This Row],[Ticker]]&lt;&gt;"",_xlfn.XLOOKUP(Table_Investimentos_Main[[#This Row],[Ticker]],Table_Cotacoes[Ticker],Table_Cotacoes[Moeda Base],""),"BRL")</f>
        <v>BTC</v>
      </c>
      <c r="J103" s="11" cm="1">
        <f t="array" ref="J103">_xlfn.SINGLE(_xlfn.XLOOKUP(Table_Investimentos_Main[[#This Row],[Data]]&amp;"USD",Table_Cotacoes[Data]&amp;Table_Cotacoes[Ticker],Table_Cotacoes[Valor],""))</f>
        <v>5.81</v>
      </c>
      <c r="K103" s="18">
        <f>IF(Table_Investimentos_Main[[#This Row],[Ticker]]&lt;&gt;"",Table_Investimentos_Main[[#This Row],[Quantidade]]*Table_Investimentos_Main[[#This Row],[Cotação Ativo]],Table_Investimentos_Main[[#This Row],[Quantidade]])</f>
        <v>9030.4965642995994</v>
      </c>
    </row>
    <row r="104" spans="2:11" x14ac:dyDescent="0.2">
      <c r="B104" s="67">
        <v>45597</v>
      </c>
      <c r="C104" t="s">
        <v>53</v>
      </c>
      <c r="D104" t="s">
        <v>24</v>
      </c>
      <c r="E104" s="3" t="s">
        <v>22</v>
      </c>
      <c r="F104" s="3"/>
      <c r="G104" s="10">
        <v>1719</v>
      </c>
      <c r="H104" s="18" cm="1">
        <f t="array" ref="H104">_xlfn.XLOOKUP(Table_Investimentos_Main[[#This Row],[Data]]&amp;Table_Investimentos_Main[[#This Row],[Ticker]],Table_Cotacoes[Data]&amp;Table_Cotacoes[Ticker],Table_Cotacoes[Valor],"")</f>
        <v>5.81</v>
      </c>
      <c r="I104" s="5" t="str">
        <f>IF(Table_Investimentos_Main[[#This Row],[Ticker]]&lt;&gt;"",_xlfn.XLOOKUP(Table_Investimentos_Main[[#This Row],[Ticker]],Table_Cotacoes[Ticker],Table_Cotacoes[Moeda Base],""),"BRL")</f>
        <v>USD</v>
      </c>
      <c r="J104" s="11" cm="1">
        <f t="array" ref="J104">_xlfn.SINGLE(_xlfn.XLOOKUP(Table_Investimentos_Main[[#This Row],[Data]]&amp;"USD",Table_Cotacoes[Data]&amp;Table_Cotacoes[Ticker],Table_Cotacoes[Valor],""))</f>
        <v>5.81</v>
      </c>
      <c r="K104" s="18">
        <f>IF(Table_Investimentos_Main[[#This Row],[Ticker]]&lt;&gt;"",Table_Investimentos_Main[[#This Row],[Quantidade]]*Table_Investimentos_Main[[#This Row],[Cotação Ativo]],Table_Investimentos_Main[[#This Row],[Quantidade]])</f>
        <v>9987.39</v>
      </c>
    </row>
    <row r="105" spans="2:11" x14ac:dyDescent="0.2">
      <c r="B105" s="67">
        <v>45597</v>
      </c>
      <c r="C105" t="s">
        <v>44</v>
      </c>
      <c r="D105" t="s">
        <v>24</v>
      </c>
      <c r="E105" s="3" t="s">
        <v>22</v>
      </c>
      <c r="F105" s="3"/>
      <c r="G105" s="10">
        <v>2911</v>
      </c>
      <c r="H105" s="18" cm="1">
        <f t="array" ref="H105">_xlfn.XLOOKUP(Table_Investimentos_Main[[#This Row],[Data]]&amp;Table_Investimentos_Main[[#This Row],[Ticker]],Table_Cotacoes[Data]&amp;Table_Cotacoes[Ticker],Table_Cotacoes[Valor],"")</f>
        <v>5.81</v>
      </c>
      <c r="I105" s="5" t="str">
        <f>IF(Table_Investimentos_Main[[#This Row],[Ticker]]&lt;&gt;"",_xlfn.XLOOKUP(Table_Investimentos_Main[[#This Row],[Ticker]],Table_Cotacoes[Ticker],Table_Cotacoes[Moeda Base],""),"BRL")</f>
        <v>USD</v>
      </c>
      <c r="J105" s="11" cm="1">
        <f t="array" ref="J105">_xlfn.SINGLE(_xlfn.XLOOKUP(Table_Investimentos_Main[[#This Row],[Data]]&amp;"USD",Table_Cotacoes[Data]&amp;Table_Cotacoes[Ticker],Table_Cotacoes[Valor],""))</f>
        <v>5.81</v>
      </c>
      <c r="K105" s="18">
        <f>IF(Table_Investimentos_Main[[#This Row],[Ticker]]&lt;&gt;"",Table_Investimentos_Main[[#This Row],[Quantidade]]*Table_Investimentos_Main[[#This Row],[Cotação Ativo]],Table_Investimentos_Main[[#This Row],[Quantidade]])</f>
        <v>16912.91</v>
      </c>
    </row>
    <row r="106" spans="2:11" x14ac:dyDescent="0.2">
      <c r="B106" s="67">
        <v>45597</v>
      </c>
      <c r="C106" t="s">
        <v>49</v>
      </c>
      <c r="D106" t="s">
        <v>24</v>
      </c>
      <c r="E106" s="3" t="s">
        <v>22</v>
      </c>
      <c r="F106" s="3"/>
      <c r="G106" s="10">
        <v>1187</v>
      </c>
      <c r="H106" s="18" cm="1">
        <f t="array" ref="H106">_xlfn.XLOOKUP(Table_Investimentos_Main[[#This Row],[Data]]&amp;Table_Investimentos_Main[[#This Row],[Ticker]],Table_Cotacoes[Data]&amp;Table_Cotacoes[Ticker],Table_Cotacoes[Valor],"")</f>
        <v>5.81</v>
      </c>
      <c r="I106" s="5" t="str">
        <f>IF(Table_Investimentos_Main[[#This Row],[Ticker]]&lt;&gt;"",_xlfn.XLOOKUP(Table_Investimentos_Main[[#This Row],[Ticker]],Table_Cotacoes[Ticker],Table_Cotacoes[Moeda Base],""),"BRL")</f>
        <v>USD</v>
      </c>
      <c r="J106" s="11" cm="1">
        <f t="array" ref="J106">_xlfn.SINGLE(_xlfn.XLOOKUP(Table_Investimentos_Main[[#This Row],[Data]]&amp;"USD",Table_Cotacoes[Data]&amp;Table_Cotacoes[Ticker],Table_Cotacoes[Valor],""))</f>
        <v>5.81</v>
      </c>
      <c r="K106" s="18">
        <f>IF(Table_Investimentos_Main[[#This Row],[Ticker]]&lt;&gt;"",Table_Investimentos_Main[[#This Row],[Quantidade]]*Table_Investimentos_Main[[#This Row],[Cotação Ativo]],Table_Investimentos_Main[[#This Row],[Quantidade]])</f>
        <v>6896.4699999999993</v>
      </c>
    </row>
    <row r="107" spans="2:11" x14ac:dyDescent="0.2">
      <c r="B107" s="67">
        <v>45597</v>
      </c>
      <c r="C107" t="s">
        <v>51</v>
      </c>
      <c r="D107" t="s">
        <v>24</v>
      </c>
      <c r="E107" s="3" t="s">
        <v>52</v>
      </c>
      <c r="F107" s="3"/>
      <c r="G107" s="10">
        <v>947.25</v>
      </c>
      <c r="H107" s="18" cm="1">
        <f t="array" ref="H107">_xlfn.XLOOKUP(Table_Investimentos_Main[[#This Row],[Data]]&amp;Table_Investimentos_Main[[#This Row],[Ticker]],Table_Cotacoes[Data]&amp;Table_Cotacoes[Ticker],Table_Cotacoes[Valor],"")</f>
        <v>5.81</v>
      </c>
      <c r="I107" s="5" t="str">
        <f>IF(Table_Investimentos_Main[[#This Row],[Ticker]]&lt;&gt;"",_xlfn.XLOOKUP(Table_Investimentos_Main[[#This Row],[Ticker]],Table_Cotacoes[Ticker],Table_Cotacoes[Moeda Base],""),"BRL")</f>
        <v>USD</v>
      </c>
      <c r="J107" s="11" cm="1">
        <f t="array" ref="J107">_xlfn.SINGLE(_xlfn.XLOOKUP(Table_Investimentos_Main[[#This Row],[Data]]&amp;"USD",Table_Cotacoes[Data]&amp;Table_Cotacoes[Ticker],Table_Cotacoes[Valor],""))</f>
        <v>5.81</v>
      </c>
      <c r="K107" s="18">
        <f>IF(Table_Investimentos_Main[[#This Row],[Ticker]]&lt;&gt;"",Table_Investimentos_Main[[#This Row],[Quantidade]]*Table_Investimentos_Main[[#This Row],[Cotação Ativo]],Table_Investimentos_Main[[#This Row],[Quantidade]])</f>
        <v>5503.5225</v>
      </c>
    </row>
    <row r="108" spans="2:11" x14ac:dyDescent="0.2">
      <c r="B108" s="67">
        <v>45627</v>
      </c>
      <c r="C108" t="s">
        <v>47</v>
      </c>
      <c r="E108" s="3" t="s">
        <v>46</v>
      </c>
      <c r="F108" s="3"/>
      <c r="G108" s="10">
        <v>3718.75</v>
      </c>
      <c r="H108" s="18" t="str" cm="1">
        <f t="array" ref="H108">_xlfn.XLOOKUP(Table_Investimentos_Main[[#This Row],[Data]]&amp;Table_Investimentos_Main[[#This Row],[Ticker]],Table_Cotacoes[Data]&amp;Table_Cotacoes[Ticker],Table_Cotacoes[Valor],"")</f>
        <v/>
      </c>
      <c r="I108" s="5" t="str">
        <f>IF(Table_Investimentos_Main[[#This Row],[Ticker]]&lt;&gt;"",_xlfn.XLOOKUP(Table_Investimentos_Main[[#This Row],[Ticker]],Table_Cotacoes[Ticker],Table_Cotacoes[Moeda Base],""),"BRL")</f>
        <v>BRL</v>
      </c>
      <c r="J108" s="11" cm="1">
        <f t="array" ref="J108">_xlfn.SINGLE(_xlfn.XLOOKUP(Table_Investimentos_Main[[#This Row],[Data]]&amp;"USD",Table_Cotacoes[Data]&amp;Table_Cotacoes[Ticker],Table_Cotacoes[Valor],""))</f>
        <v>6.19</v>
      </c>
      <c r="K108" s="18">
        <f>IF(Table_Investimentos_Main[[#This Row],[Ticker]]&lt;&gt;"",Table_Investimentos_Main[[#This Row],[Quantidade]]*Table_Investimentos_Main[[#This Row],[Cotação Ativo]],Table_Investimentos_Main[[#This Row],[Quantidade]])</f>
        <v>3718.75</v>
      </c>
    </row>
    <row r="109" spans="2:11" x14ac:dyDescent="0.2">
      <c r="B109" s="67">
        <v>45627</v>
      </c>
      <c r="C109" t="s">
        <v>45</v>
      </c>
      <c r="E109" s="3" t="s">
        <v>46</v>
      </c>
      <c r="F109" s="3"/>
      <c r="G109" s="10">
        <v>4382</v>
      </c>
      <c r="H109" s="18" t="str" cm="1">
        <f t="array" ref="H109">_xlfn.XLOOKUP(Table_Investimentos_Main[[#This Row],[Data]]&amp;Table_Investimentos_Main[[#This Row],[Ticker]],Table_Cotacoes[Data]&amp;Table_Cotacoes[Ticker],Table_Cotacoes[Valor],"")</f>
        <v/>
      </c>
      <c r="I109" s="5" t="str">
        <f>IF(Table_Investimentos_Main[[#This Row],[Ticker]]&lt;&gt;"",_xlfn.XLOOKUP(Table_Investimentos_Main[[#This Row],[Ticker]],Table_Cotacoes[Ticker],Table_Cotacoes[Moeda Base],""),"BRL")</f>
        <v>BRL</v>
      </c>
      <c r="J109" s="11" cm="1">
        <f t="array" ref="J109">_xlfn.SINGLE(_xlfn.XLOOKUP(Table_Investimentos_Main[[#This Row],[Data]]&amp;"USD",Table_Cotacoes[Data]&amp;Table_Cotacoes[Ticker],Table_Cotacoes[Valor],""))</f>
        <v>6.19</v>
      </c>
      <c r="K109" s="18">
        <f>IF(Table_Investimentos_Main[[#This Row],[Ticker]]&lt;&gt;"",Table_Investimentos_Main[[#This Row],[Quantidade]]*Table_Investimentos_Main[[#This Row],[Cotação Ativo]],Table_Investimentos_Main[[#This Row],[Quantidade]])</f>
        <v>4382</v>
      </c>
    </row>
    <row r="110" spans="2:11" x14ac:dyDescent="0.2">
      <c r="B110" s="67">
        <v>45627</v>
      </c>
      <c r="C110" t="s">
        <v>41</v>
      </c>
      <c r="D110" t="s">
        <v>14</v>
      </c>
      <c r="E110" s="3" t="s">
        <v>37</v>
      </c>
      <c r="F110" s="3"/>
      <c r="G110" s="10">
        <v>0.25825710000000002</v>
      </c>
      <c r="H110" s="18" cm="1">
        <f t="array" ref="H110">_xlfn.XLOOKUP(Table_Investimentos_Main[[#This Row],[Data]]&amp;Table_Investimentos_Main[[#This Row],[Ticker]],Table_Cotacoes[Data]&amp;Table_Cotacoes[Ticker],Table_Cotacoes[Valor],"")</f>
        <v>582401</v>
      </c>
      <c r="I110" s="5" t="str">
        <f>IF(Table_Investimentos_Main[[#This Row],[Ticker]]&lt;&gt;"",_xlfn.XLOOKUP(Table_Investimentos_Main[[#This Row],[Ticker]],Table_Cotacoes[Ticker],Table_Cotacoes[Moeda Base],""),"BRL")</f>
        <v>BTC</v>
      </c>
      <c r="J110" s="11" cm="1">
        <f t="array" ref="J110">_xlfn.SINGLE(_xlfn.XLOOKUP(Table_Investimentos_Main[[#This Row],[Data]]&amp;"USD",Table_Cotacoes[Data]&amp;Table_Cotacoes[Ticker],Table_Cotacoes[Valor],""))</f>
        <v>6.19</v>
      </c>
      <c r="K110" s="18">
        <f>IF(Table_Investimentos_Main[[#This Row],[Ticker]]&lt;&gt;"",Table_Investimentos_Main[[#This Row],[Quantidade]]*Table_Investimentos_Main[[#This Row],[Cotação Ativo]],Table_Investimentos_Main[[#This Row],[Quantidade]])</f>
        <v>150409.19329710002</v>
      </c>
    </row>
    <row r="111" spans="2:11" x14ac:dyDescent="0.2">
      <c r="B111" s="67">
        <v>45627</v>
      </c>
      <c r="C111" t="s">
        <v>42</v>
      </c>
      <c r="D111" t="s">
        <v>14</v>
      </c>
      <c r="E111" s="3" t="s">
        <v>22</v>
      </c>
      <c r="F111" s="3"/>
      <c r="G111" s="10">
        <v>1.584414E-2</v>
      </c>
      <c r="H111" s="18" cm="1">
        <f t="array" ref="H111">_xlfn.XLOOKUP(Table_Investimentos_Main[[#This Row],[Data]]&amp;Table_Investimentos_Main[[#This Row],[Ticker]],Table_Cotacoes[Data]&amp;Table_Cotacoes[Ticker],Table_Cotacoes[Valor],"")</f>
        <v>582401</v>
      </c>
      <c r="I111" s="5" t="str">
        <f>IF(Table_Investimentos_Main[[#This Row],[Ticker]]&lt;&gt;"",_xlfn.XLOOKUP(Table_Investimentos_Main[[#This Row],[Ticker]],Table_Cotacoes[Ticker],Table_Cotacoes[Moeda Base],""),"BRL")</f>
        <v>BTC</v>
      </c>
      <c r="J111" s="11" cm="1">
        <f t="array" ref="J111">_xlfn.SINGLE(_xlfn.XLOOKUP(Table_Investimentos_Main[[#This Row],[Data]]&amp;"USD",Table_Cotacoes[Data]&amp;Table_Cotacoes[Ticker],Table_Cotacoes[Valor],""))</f>
        <v>6.19</v>
      </c>
      <c r="K111" s="18">
        <f>IF(Table_Investimentos_Main[[#This Row],[Ticker]]&lt;&gt;"",Table_Investimentos_Main[[#This Row],[Quantidade]]*Table_Investimentos_Main[[#This Row],[Cotação Ativo]],Table_Investimentos_Main[[#This Row],[Quantidade]])</f>
        <v>9227.6429801399991</v>
      </c>
    </row>
    <row r="112" spans="2:11" x14ac:dyDescent="0.2">
      <c r="B112" s="67">
        <v>45627</v>
      </c>
      <c r="C112" t="s">
        <v>53</v>
      </c>
      <c r="D112" t="s">
        <v>24</v>
      </c>
      <c r="E112" s="3" t="s">
        <v>22</v>
      </c>
      <c r="F112" s="3"/>
      <c r="G112" s="10">
        <v>1719</v>
      </c>
      <c r="H112" s="18" cm="1">
        <f t="array" ref="H112">_xlfn.XLOOKUP(Table_Investimentos_Main[[#This Row],[Data]]&amp;Table_Investimentos_Main[[#This Row],[Ticker]],Table_Cotacoes[Data]&amp;Table_Cotacoes[Ticker],Table_Cotacoes[Valor],"")</f>
        <v>6.19</v>
      </c>
      <c r="I112" s="5" t="str">
        <f>IF(Table_Investimentos_Main[[#This Row],[Ticker]]&lt;&gt;"",_xlfn.XLOOKUP(Table_Investimentos_Main[[#This Row],[Ticker]],Table_Cotacoes[Ticker],Table_Cotacoes[Moeda Base],""),"BRL")</f>
        <v>USD</v>
      </c>
      <c r="J112" s="11" cm="1">
        <f t="array" ref="J112">_xlfn.SINGLE(_xlfn.XLOOKUP(Table_Investimentos_Main[[#This Row],[Data]]&amp;"USD",Table_Cotacoes[Data]&amp;Table_Cotacoes[Ticker],Table_Cotacoes[Valor],""))</f>
        <v>6.19</v>
      </c>
      <c r="K112" s="18">
        <f>IF(Table_Investimentos_Main[[#This Row],[Ticker]]&lt;&gt;"",Table_Investimentos_Main[[#This Row],[Quantidade]]*Table_Investimentos_Main[[#This Row],[Cotação Ativo]],Table_Investimentos_Main[[#This Row],[Quantidade]])</f>
        <v>10640.61</v>
      </c>
    </row>
    <row r="113" spans="2:11" x14ac:dyDescent="0.2">
      <c r="B113" s="67">
        <v>45627</v>
      </c>
      <c r="C113" t="s">
        <v>44</v>
      </c>
      <c r="D113" t="s">
        <v>24</v>
      </c>
      <c r="E113" s="3" t="s">
        <v>22</v>
      </c>
      <c r="F113" s="3"/>
      <c r="G113" s="10">
        <v>2943</v>
      </c>
      <c r="H113" s="18" cm="1">
        <f t="array" ref="H113">_xlfn.XLOOKUP(Table_Investimentos_Main[[#This Row],[Data]]&amp;Table_Investimentos_Main[[#This Row],[Ticker]],Table_Cotacoes[Data]&amp;Table_Cotacoes[Ticker],Table_Cotacoes[Valor],"")</f>
        <v>6.19</v>
      </c>
      <c r="I113" s="5" t="str">
        <f>IF(Table_Investimentos_Main[[#This Row],[Ticker]]&lt;&gt;"",_xlfn.XLOOKUP(Table_Investimentos_Main[[#This Row],[Ticker]],Table_Cotacoes[Ticker],Table_Cotacoes[Moeda Base],""),"BRL")</f>
        <v>USD</v>
      </c>
      <c r="J113" s="11" cm="1">
        <f t="array" ref="J113">_xlfn.SINGLE(_xlfn.XLOOKUP(Table_Investimentos_Main[[#This Row],[Data]]&amp;"USD",Table_Cotacoes[Data]&amp;Table_Cotacoes[Ticker],Table_Cotacoes[Valor],""))</f>
        <v>6.19</v>
      </c>
      <c r="K113" s="18">
        <f>IF(Table_Investimentos_Main[[#This Row],[Ticker]]&lt;&gt;"",Table_Investimentos_Main[[#This Row],[Quantidade]]*Table_Investimentos_Main[[#This Row],[Cotação Ativo]],Table_Investimentos_Main[[#This Row],[Quantidade]])</f>
        <v>18217.170000000002</v>
      </c>
    </row>
    <row r="114" spans="2:11" x14ac:dyDescent="0.2">
      <c r="B114" s="67">
        <v>45627</v>
      </c>
      <c r="C114" t="s">
        <v>49</v>
      </c>
      <c r="D114" t="s">
        <v>24</v>
      </c>
      <c r="E114" s="3" t="s">
        <v>22</v>
      </c>
      <c r="F114" s="3"/>
      <c r="G114" s="10">
        <v>872.55</v>
      </c>
      <c r="H114" s="18" cm="1">
        <f t="array" ref="H114">_xlfn.XLOOKUP(Table_Investimentos_Main[[#This Row],[Data]]&amp;Table_Investimentos_Main[[#This Row],[Ticker]],Table_Cotacoes[Data]&amp;Table_Cotacoes[Ticker],Table_Cotacoes[Valor],"")</f>
        <v>6.19</v>
      </c>
      <c r="I114" s="5" t="str">
        <f>IF(Table_Investimentos_Main[[#This Row],[Ticker]]&lt;&gt;"",_xlfn.XLOOKUP(Table_Investimentos_Main[[#This Row],[Ticker]],Table_Cotacoes[Ticker],Table_Cotacoes[Moeda Base],""),"BRL")</f>
        <v>USD</v>
      </c>
      <c r="J114" s="11" cm="1">
        <f t="array" ref="J114">_xlfn.SINGLE(_xlfn.XLOOKUP(Table_Investimentos_Main[[#This Row],[Data]]&amp;"USD",Table_Cotacoes[Data]&amp;Table_Cotacoes[Ticker],Table_Cotacoes[Valor],""))</f>
        <v>6.19</v>
      </c>
      <c r="K114" s="18">
        <f>IF(Table_Investimentos_Main[[#This Row],[Ticker]]&lt;&gt;"",Table_Investimentos_Main[[#This Row],[Quantidade]]*Table_Investimentos_Main[[#This Row],[Cotação Ativo]],Table_Investimentos_Main[[#This Row],[Quantidade]])</f>
        <v>5401.0844999999999</v>
      </c>
    </row>
    <row r="115" spans="2:11" x14ac:dyDescent="0.2">
      <c r="B115" s="67">
        <v>45627</v>
      </c>
      <c r="C115" t="s">
        <v>51</v>
      </c>
      <c r="D115" t="s">
        <v>24</v>
      </c>
      <c r="E115" s="3" t="s">
        <v>52</v>
      </c>
      <c r="F115" s="3"/>
      <c r="G115" s="10">
        <v>952.38</v>
      </c>
      <c r="H115" s="18" cm="1">
        <f t="array" ref="H115">_xlfn.XLOOKUP(Table_Investimentos_Main[[#This Row],[Data]]&amp;Table_Investimentos_Main[[#This Row],[Ticker]],Table_Cotacoes[Data]&amp;Table_Cotacoes[Ticker],Table_Cotacoes[Valor],"")</f>
        <v>6.19</v>
      </c>
      <c r="I115" s="5" t="str">
        <f>IF(Table_Investimentos_Main[[#This Row],[Ticker]]&lt;&gt;"",_xlfn.XLOOKUP(Table_Investimentos_Main[[#This Row],[Ticker]],Table_Cotacoes[Ticker],Table_Cotacoes[Moeda Base],""),"BRL")</f>
        <v>USD</v>
      </c>
      <c r="J115" s="11" cm="1">
        <f t="array" ref="J115">_xlfn.SINGLE(_xlfn.XLOOKUP(Table_Investimentos_Main[[#This Row],[Data]]&amp;"USD",Table_Cotacoes[Data]&amp;Table_Cotacoes[Ticker],Table_Cotacoes[Valor],""))</f>
        <v>6.19</v>
      </c>
      <c r="K115" s="18">
        <f>IF(Table_Investimentos_Main[[#This Row],[Ticker]]&lt;&gt;"",Table_Investimentos_Main[[#This Row],[Quantidade]]*Table_Investimentos_Main[[#This Row],[Cotação Ativo]],Table_Investimentos_Main[[#This Row],[Quantidade]])</f>
        <v>5895.2322000000004</v>
      </c>
    </row>
    <row r="116" spans="2:11" x14ac:dyDescent="0.2">
      <c r="B116" s="67">
        <v>45627</v>
      </c>
      <c r="C116" t="s">
        <v>54</v>
      </c>
      <c r="D116" t="s">
        <v>24</v>
      </c>
      <c r="E116" s="3" t="s">
        <v>52</v>
      </c>
      <c r="F116" s="3"/>
      <c r="G116" s="10">
        <v>489.34</v>
      </c>
      <c r="H116" s="18" cm="1">
        <f t="array" ref="H116">_xlfn.XLOOKUP(Table_Investimentos_Main[[#This Row],[Data]]&amp;Table_Investimentos_Main[[#This Row],[Ticker]],Table_Cotacoes[Data]&amp;Table_Cotacoes[Ticker],Table_Cotacoes[Valor],"")</f>
        <v>6.19</v>
      </c>
      <c r="I116" s="5" t="str">
        <f>IF(Table_Investimentos_Main[[#This Row],[Ticker]]&lt;&gt;"",_xlfn.XLOOKUP(Table_Investimentos_Main[[#This Row],[Ticker]],Table_Cotacoes[Ticker],Table_Cotacoes[Moeda Base],""),"BRL")</f>
        <v>USD</v>
      </c>
      <c r="J116" s="11" cm="1">
        <f t="array" ref="J116">_xlfn.SINGLE(_xlfn.XLOOKUP(Table_Investimentos_Main[[#This Row],[Data]]&amp;"USD",Table_Cotacoes[Data]&amp;Table_Cotacoes[Ticker],Table_Cotacoes[Valor],""))</f>
        <v>6.19</v>
      </c>
      <c r="K116" s="18">
        <f>IF(Table_Investimentos_Main[[#This Row],[Ticker]]&lt;&gt;"",Table_Investimentos_Main[[#This Row],[Quantidade]]*Table_Investimentos_Main[[#This Row],[Cotação Ativo]],Table_Investimentos_Main[[#This Row],[Quantidade]])</f>
        <v>3029.0146</v>
      </c>
    </row>
    <row r="117" spans="2:11" x14ac:dyDescent="0.2">
      <c r="B117" s="67">
        <v>45627</v>
      </c>
      <c r="C117" t="s">
        <v>55</v>
      </c>
      <c r="D117" t="s">
        <v>24</v>
      </c>
      <c r="E117" s="3" t="s">
        <v>52</v>
      </c>
      <c r="F117" s="3"/>
      <c r="G117" s="10">
        <v>504.2</v>
      </c>
      <c r="H117" s="18" cm="1">
        <f t="array" ref="H117">_xlfn.XLOOKUP(Table_Investimentos_Main[[#This Row],[Data]]&amp;Table_Investimentos_Main[[#This Row],[Ticker]],Table_Cotacoes[Data]&amp;Table_Cotacoes[Ticker],Table_Cotacoes[Valor],"")</f>
        <v>6.19</v>
      </c>
      <c r="I117" s="5" t="str">
        <f>IF(Table_Investimentos_Main[[#This Row],[Ticker]]&lt;&gt;"",_xlfn.XLOOKUP(Table_Investimentos_Main[[#This Row],[Ticker]],Table_Cotacoes[Ticker],Table_Cotacoes[Moeda Base],""),"BRL")</f>
        <v>USD</v>
      </c>
      <c r="J117" s="11" cm="1">
        <f t="array" ref="J117">_xlfn.SINGLE(_xlfn.XLOOKUP(Table_Investimentos_Main[[#This Row],[Data]]&amp;"USD",Table_Cotacoes[Data]&amp;Table_Cotacoes[Ticker],Table_Cotacoes[Valor],""))</f>
        <v>6.19</v>
      </c>
      <c r="K117" s="18">
        <f>IF(Table_Investimentos_Main[[#This Row],[Ticker]]&lt;&gt;"",Table_Investimentos_Main[[#This Row],[Quantidade]]*Table_Investimentos_Main[[#This Row],[Cotação Ativo]],Table_Investimentos_Main[[#This Row],[Quantidade]])</f>
        <v>3120.998</v>
      </c>
    </row>
    <row r="118" spans="2:11" x14ac:dyDescent="0.2">
      <c r="B118" s="67">
        <v>45658</v>
      </c>
      <c r="C118" t="s">
        <v>45</v>
      </c>
      <c r="E118" s="3" t="s">
        <v>46</v>
      </c>
      <c r="F118" s="3"/>
      <c r="G118" s="10">
        <v>344.92</v>
      </c>
      <c r="H118" s="18" t="str" cm="1">
        <f t="array" ref="H118">_xlfn.XLOOKUP(Table_Investimentos_Main[[#This Row],[Data]]&amp;Table_Investimentos_Main[[#This Row],[Ticker]],Table_Cotacoes[Data]&amp;Table_Cotacoes[Ticker],Table_Cotacoes[Valor],"")</f>
        <v/>
      </c>
      <c r="I118" s="5" t="str">
        <f>IF(Table_Investimentos_Main[[#This Row],[Ticker]]&lt;&gt;"",_xlfn.XLOOKUP(Table_Investimentos_Main[[#This Row],[Ticker]],Table_Cotacoes[Ticker],Table_Cotacoes[Moeda Base],""),"BRL")</f>
        <v>BRL</v>
      </c>
      <c r="J118" s="11" cm="1">
        <f t="array" ref="J118">_xlfn.SINGLE(_xlfn.XLOOKUP(Table_Investimentos_Main[[#This Row],[Data]]&amp;"USD",Table_Cotacoes[Data]&amp;Table_Cotacoes[Ticker],Table_Cotacoes[Valor],""))</f>
        <v>6.19</v>
      </c>
      <c r="K118" s="18">
        <f>IF(Table_Investimentos_Main[[#This Row],[Ticker]]&lt;&gt;"",Table_Investimentos_Main[[#This Row],[Quantidade]]*Table_Investimentos_Main[[#This Row],[Cotação Ativo]],Table_Investimentos_Main[[#This Row],[Quantidade]])</f>
        <v>344.92</v>
      </c>
    </row>
    <row r="119" spans="2:11" x14ac:dyDescent="0.2">
      <c r="B119" s="67">
        <v>45658</v>
      </c>
      <c r="C119" t="s">
        <v>56</v>
      </c>
      <c r="E119" s="3" t="s">
        <v>39</v>
      </c>
      <c r="F119" s="3"/>
      <c r="G119" s="10">
        <v>5074.8</v>
      </c>
      <c r="H119" s="18" t="str" cm="1">
        <f t="array" ref="H119">_xlfn.XLOOKUP(Table_Investimentos_Main[[#This Row],[Data]]&amp;Table_Investimentos_Main[[#This Row],[Ticker]],Table_Cotacoes[Data]&amp;Table_Cotacoes[Ticker],Table_Cotacoes[Valor],"")</f>
        <v/>
      </c>
      <c r="I119" s="5" t="str">
        <f>IF(Table_Investimentos_Main[[#This Row],[Ticker]]&lt;&gt;"",_xlfn.XLOOKUP(Table_Investimentos_Main[[#This Row],[Ticker]],Table_Cotacoes[Ticker],Table_Cotacoes[Moeda Base],""),"BRL")</f>
        <v>BRL</v>
      </c>
      <c r="J119" s="11" cm="1">
        <f t="array" ref="J119">_xlfn.SINGLE(_xlfn.XLOOKUP(Table_Investimentos_Main[[#This Row],[Data]]&amp;"USD",Table_Cotacoes[Data]&amp;Table_Cotacoes[Ticker],Table_Cotacoes[Valor],""))</f>
        <v>6.19</v>
      </c>
      <c r="K119" s="18">
        <f>IF(Table_Investimentos_Main[[#This Row],[Ticker]]&lt;&gt;"",Table_Investimentos_Main[[#This Row],[Quantidade]]*Table_Investimentos_Main[[#This Row],[Cotação Ativo]],Table_Investimentos_Main[[#This Row],[Quantidade]])</f>
        <v>5074.8</v>
      </c>
    </row>
    <row r="120" spans="2:11" x14ac:dyDescent="0.2">
      <c r="B120" s="67">
        <v>45658</v>
      </c>
      <c r="C120" t="s">
        <v>41</v>
      </c>
      <c r="D120" t="s">
        <v>14</v>
      </c>
      <c r="E120" s="3" t="s">
        <v>37</v>
      </c>
      <c r="F120" s="3"/>
      <c r="G120" s="10">
        <v>0.25825710000000002</v>
      </c>
      <c r="H120" s="18" cm="1">
        <f t="array" ref="H120">_xlfn.XLOOKUP(Table_Investimentos_Main[[#This Row],[Data]]&amp;Table_Investimentos_Main[[#This Row],[Ticker]],Table_Cotacoes[Data]&amp;Table_Cotacoes[Ticker],Table_Cotacoes[Valor],"")</f>
        <v>596551.43000000005</v>
      </c>
      <c r="I120" s="5" t="str">
        <f>IF(Table_Investimentos_Main[[#This Row],[Ticker]]&lt;&gt;"",_xlfn.XLOOKUP(Table_Investimentos_Main[[#This Row],[Ticker]],Table_Cotacoes[Ticker],Table_Cotacoes[Moeda Base],""),"BRL")</f>
        <v>BTC</v>
      </c>
      <c r="J120" s="11" cm="1">
        <f t="array" ref="J120">_xlfn.SINGLE(_xlfn.XLOOKUP(Table_Investimentos_Main[[#This Row],[Data]]&amp;"USD",Table_Cotacoes[Data]&amp;Table_Cotacoes[Ticker],Table_Cotacoes[Valor],""))</f>
        <v>6.19</v>
      </c>
      <c r="K120" s="18">
        <f>IF(Table_Investimentos_Main[[#This Row],[Ticker]]&lt;&gt;"",Table_Investimentos_Main[[#This Row],[Quantidade]]*Table_Investimentos_Main[[#This Row],[Cotação Ativo]],Table_Investimentos_Main[[#This Row],[Quantidade]])</f>
        <v>154063.64231265301</v>
      </c>
    </row>
    <row r="121" spans="2:11" x14ac:dyDescent="0.2">
      <c r="B121" s="67">
        <v>45658</v>
      </c>
      <c r="C121" t="s">
        <v>42</v>
      </c>
      <c r="D121" t="s">
        <v>14</v>
      </c>
      <c r="E121" s="3" t="s">
        <v>22</v>
      </c>
      <c r="F121" s="3"/>
      <c r="G121" s="10">
        <v>2.111886E-2</v>
      </c>
      <c r="H121" s="18" cm="1">
        <f t="array" ref="H121">_xlfn.XLOOKUP(Table_Investimentos_Main[[#This Row],[Data]]&amp;Table_Investimentos_Main[[#This Row],[Ticker]],Table_Cotacoes[Data]&amp;Table_Cotacoes[Ticker],Table_Cotacoes[Valor],"")</f>
        <v>596551.43000000005</v>
      </c>
      <c r="I121" s="5" t="str">
        <f>IF(Table_Investimentos_Main[[#This Row],[Ticker]]&lt;&gt;"",_xlfn.XLOOKUP(Table_Investimentos_Main[[#This Row],[Ticker]],Table_Cotacoes[Ticker],Table_Cotacoes[Moeda Base],""),"BRL")</f>
        <v>BTC</v>
      </c>
      <c r="J121" s="11" cm="1">
        <f t="array" ref="J121">_xlfn.SINGLE(_xlfn.XLOOKUP(Table_Investimentos_Main[[#This Row],[Data]]&amp;"USD",Table_Cotacoes[Data]&amp;Table_Cotacoes[Ticker],Table_Cotacoes[Valor],""))</f>
        <v>6.19</v>
      </c>
      <c r="K121" s="18">
        <f>IF(Table_Investimentos_Main[[#This Row],[Ticker]]&lt;&gt;"",Table_Investimentos_Main[[#This Row],[Quantidade]]*Table_Investimentos_Main[[#This Row],[Cotação Ativo]],Table_Investimentos_Main[[#This Row],[Quantidade]])</f>
        <v>12598.486132969801</v>
      </c>
    </row>
    <row r="122" spans="2:11" x14ac:dyDescent="0.2">
      <c r="B122" s="67">
        <v>45658</v>
      </c>
      <c r="C122" t="s">
        <v>53</v>
      </c>
      <c r="D122" t="s">
        <v>24</v>
      </c>
      <c r="E122" s="3" t="s">
        <v>22</v>
      </c>
      <c r="F122" s="3"/>
      <c r="G122" s="10">
        <v>1719</v>
      </c>
      <c r="H122" s="18" cm="1">
        <f t="array" ref="H122">_xlfn.XLOOKUP(Table_Investimentos_Main[[#This Row],[Data]]&amp;Table_Investimentos_Main[[#This Row],[Ticker]],Table_Cotacoes[Data]&amp;Table_Cotacoes[Ticker],Table_Cotacoes[Valor],"")</f>
        <v>6.19</v>
      </c>
      <c r="I122" s="5" t="str">
        <f>IF(Table_Investimentos_Main[[#This Row],[Ticker]]&lt;&gt;"",_xlfn.XLOOKUP(Table_Investimentos_Main[[#This Row],[Ticker]],Table_Cotacoes[Ticker],Table_Cotacoes[Moeda Base],""),"BRL")</f>
        <v>USD</v>
      </c>
      <c r="J122" s="11" cm="1">
        <f t="array" ref="J122">_xlfn.SINGLE(_xlfn.XLOOKUP(Table_Investimentos_Main[[#This Row],[Data]]&amp;"USD",Table_Cotacoes[Data]&amp;Table_Cotacoes[Ticker],Table_Cotacoes[Valor],""))</f>
        <v>6.19</v>
      </c>
      <c r="K122" s="18">
        <f>IF(Table_Investimentos_Main[[#This Row],[Ticker]]&lt;&gt;"",Table_Investimentos_Main[[#This Row],[Quantidade]]*Table_Investimentos_Main[[#This Row],[Cotação Ativo]],Table_Investimentos_Main[[#This Row],[Quantidade]])</f>
        <v>10640.61</v>
      </c>
    </row>
    <row r="123" spans="2:11" x14ac:dyDescent="0.2">
      <c r="B123" s="67">
        <v>45658</v>
      </c>
      <c r="C123" t="s">
        <v>44</v>
      </c>
      <c r="D123" t="s">
        <v>24</v>
      </c>
      <c r="E123" s="3" t="s">
        <v>22</v>
      </c>
      <c r="F123" s="3"/>
      <c r="G123" s="10">
        <v>2054.14</v>
      </c>
      <c r="H123" s="18" cm="1">
        <f t="array" ref="H123">_xlfn.XLOOKUP(Table_Investimentos_Main[[#This Row],[Data]]&amp;Table_Investimentos_Main[[#This Row],[Ticker]],Table_Cotacoes[Data]&amp;Table_Cotacoes[Ticker],Table_Cotacoes[Valor],"")</f>
        <v>6.19</v>
      </c>
      <c r="I123" s="5" t="str">
        <f>IF(Table_Investimentos_Main[[#This Row],[Ticker]]&lt;&gt;"",_xlfn.XLOOKUP(Table_Investimentos_Main[[#This Row],[Ticker]],Table_Cotacoes[Ticker],Table_Cotacoes[Moeda Base],""),"BRL")</f>
        <v>USD</v>
      </c>
      <c r="J123" s="11" cm="1">
        <f t="array" ref="J123">_xlfn.SINGLE(_xlfn.XLOOKUP(Table_Investimentos_Main[[#This Row],[Data]]&amp;"USD",Table_Cotacoes[Data]&amp;Table_Cotacoes[Ticker],Table_Cotacoes[Valor],""))</f>
        <v>6.19</v>
      </c>
      <c r="K123" s="18">
        <f>IF(Table_Investimentos_Main[[#This Row],[Ticker]]&lt;&gt;"",Table_Investimentos_Main[[#This Row],[Quantidade]]*Table_Investimentos_Main[[#This Row],[Cotação Ativo]],Table_Investimentos_Main[[#This Row],[Quantidade]])</f>
        <v>12715.1266</v>
      </c>
    </row>
    <row r="124" spans="2:11" x14ac:dyDescent="0.2">
      <c r="B124" s="67">
        <v>45658</v>
      </c>
      <c r="C124" t="s">
        <v>49</v>
      </c>
      <c r="D124" t="s">
        <v>57</v>
      </c>
      <c r="E124" s="3" t="s">
        <v>22</v>
      </c>
      <c r="F124" s="3"/>
      <c r="G124" s="10">
        <v>6.7392542200000003</v>
      </c>
      <c r="H124" s="18" cm="1">
        <f t="array" ref="H124">_xlfn.XLOOKUP(Table_Investimentos_Main[[#This Row],[Data]]&amp;Table_Investimentos_Main[[#This Row],[Ticker]],Table_Cotacoes[Data]&amp;Table_Cotacoes[Ticker],Table_Cotacoes[Valor],"")</f>
        <v>1272.72</v>
      </c>
      <c r="I124" s="5" t="str">
        <f>IF(Table_Investimentos_Main[[#This Row],[Ticker]]&lt;&gt;"",_xlfn.XLOOKUP(Table_Investimentos_Main[[#This Row],[Ticker]],Table_Cotacoes[Ticker],Table_Cotacoes[Moeda Base],""),"BRL")</f>
        <v>USD</v>
      </c>
      <c r="J124" s="11" cm="1">
        <f t="array" ref="J124">_xlfn.SINGLE(_xlfn.XLOOKUP(Table_Investimentos_Main[[#This Row],[Data]]&amp;"USD",Table_Cotacoes[Data]&amp;Table_Cotacoes[Ticker],Table_Cotacoes[Valor],""))</f>
        <v>6.19</v>
      </c>
      <c r="K124" s="18">
        <f>IF(Table_Investimentos_Main[[#This Row],[Ticker]]&lt;&gt;"",Table_Investimentos_Main[[#This Row],[Quantidade]]*Table_Investimentos_Main[[#This Row],[Cotação Ativo]],Table_Investimentos_Main[[#This Row],[Quantidade]])</f>
        <v>8577.1836308784004</v>
      </c>
    </row>
    <row r="125" spans="2:11" x14ac:dyDescent="0.2">
      <c r="B125" s="67">
        <v>45658</v>
      </c>
      <c r="C125" t="s">
        <v>51</v>
      </c>
      <c r="D125" t="s">
        <v>24</v>
      </c>
      <c r="E125" s="3" t="s">
        <v>52</v>
      </c>
      <c r="F125" s="3"/>
      <c r="G125" s="10">
        <v>936.01</v>
      </c>
      <c r="H125" s="18" cm="1">
        <f t="array" ref="H125">_xlfn.XLOOKUP(Table_Investimentos_Main[[#This Row],[Data]]&amp;Table_Investimentos_Main[[#This Row],[Ticker]],Table_Cotacoes[Data]&amp;Table_Cotacoes[Ticker],Table_Cotacoes[Valor],"")</f>
        <v>6.19</v>
      </c>
      <c r="I125" s="5" t="str">
        <f>IF(Table_Investimentos_Main[[#This Row],[Ticker]]&lt;&gt;"",_xlfn.XLOOKUP(Table_Investimentos_Main[[#This Row],[Ticker]],Table_Cotacoes[Ticker],Table_Cotacoes[Moeda Base],""),"BRL")</f>
        <v>USD</v>
      </c>
      <c r="J125" s="11" cm="1">
        <f t="array" ref="J125">_xlfn.SINGLE(_xlfn.XLOOKUP(Table_Investimentos_Main[[#This Row],[Data]]&amp;"USD",Table_Cotacoes[Data]&amp;Table_Cotacoes[Ticker],Table_Cotacoes[Valor],""))</f>
        <v>6.19</v>
      </c>
      <c r="K125" s="18">
        <f>IF(Table_Investimentos_Main[[#This Row],[Ticker]]&lt;&gt;"",Table_Investimentos_Main[[#This Row],[Quantidade]]*Table_Investimentos_Main[[#This Row],[Cotação Ativo]],Table_Investimentos_Main[[#This Row],[Quantidade]])</f>
        <v>5793.9019000000008</v>
      </c>
    </row>
    <row r="126" spans="2:11" x14ac:dyDescent="0.2">
      <c r="B126" s="67">
        <v>45658</v>
      </c>
      <c r="C126" t="s">
        <v>54</v>
      </c>
      <c r="D126" t="s">
        <v>24</v>
      </c>
      <c r="E126" s="3" t="s">
        <v>52</v>
      </c>
      <c r="F126" s="3"/>
      <c r="G126" s="10">
        <v>481.6</v>
      </c>
      <c r="H126" s="18" cm="1">
        <f t="array" ref="H126">_xlfn.XLOOKUP(Table_Investimentos_Main[[#This Row],[Data]]&amp;Table_Investimentos_Main[[#This Row],[Ticker]],Table_Cotacoes[Data]&amp;Table_Cotacoes[Ticker],Table_Cotacoes[Valor],"")</f>
        <v>6.19</v>
      </c>
      <c r="I126" s="5" t="str">
        <f>IF(Table_Investimentos_Main[[#This Row],[Ticker]]&lt;&gt;"",_xlfn.XLOOKUP(Table_Investimentos_Main[[#This Row],[Ticker]],Table_Cotacoes[Ticker],Table_Cotacoes[Moeda Base],""),"BRL")</f>
        <v>USD</v>
      </c>
      <c r="J126" s="11" cm="1">
        <f t="array" ref="J126">_xlfn.SINGLE(_xlfn.XLOOKUP(Table_Investimentos_Main[[#This Row],[Data]]&amp;"USD",Table_Cotacoes[Data]&amp;Table_Cotacoes[Ticker],Table_Cotacoes[Valor],""))</f>
        <v>6.19</v>
      </c>
      <c r="K126" s="18">
        <f>IF(Table_Investimentos_Main[[#This Row],[Ticker]]&lt;&gt;"",Table_Investimentos_Main[[#This Row],[Quantidade]]*Table_Investimentos_Main[[#This Row],[Cotação Ativo]],Table_Investimentos_Main[[#This Row],[Quantidade]])</f>
        <v>2981.1040000000003</v>
      </c>
    </row>
    <row r="127" spans="2:11" x14ac:dyDescent="0.2">
      <c r="B127" s="67">
        <v>45658</v>
      </c>
      <c r="C127" t="s">
        <v>55</v>
      </c>
      <c r="D127" t="s">
        <v>24</v>
      </c>
      <c r="E127" s="3" t="s">
        <v>52</v>
      </c>
      <c r="F127" s="3"/>
      <c r="G127" s="10">
        <v>525.96</v>
      </c>
      <c r="H127" s="18" cm="1">
        <f t="array" ref="H127">_xlfn.XLOOKUP(Table_Investimentos_Main[[#This Row],[Data]]&amp;Table_Investimentos_Main[[#This Row],[Ticker]],Table_Cotacoes[Data]&amp;Table_Cotacoes[Ticker],Table_Cotacoes[Valor],"")</f>
        <v>6.19</v>
      </c>
      <c r="I127" s="5" t="str">
        <f>IF(Table_Investimentos_Main[[#This Row],[Ticker]]&lt;&gt;"",_xlfn.XLOOKUP(Table_Investimentos_Main[[#This Row],[Ticker]],Table_Cotacoes[Ticker],Table_Cotacoes[Moeda Base],""),"BRL")</f>
        <v>USD</v>
      </c>
      <c r="J127" s="11" cm="1">
        <f t="array" ref="J127">_xlfn.SINGLE(_xlfn.XLOOKUP(Table_Investimentos_Main[[#This Row],[Data]]&amp;"USD",Table_Cotacoes[Data]&amp;Table_Cotacoes[Ticker],Table_Cotacoes[Valor],""))</f>
        <v>6.19</v>
      </c>
      <c r="K127" s="18">
        <f>IF(Table_Investimentos_Main[[#This Row],[Ticker]]&lt;&gt;"",Table_Investimentos_Main[[#This Row],[Quantidade]]*Table_Investimentos_Main[[#This Row],[Cotação Ativo]],Table_Investimentos_Main[[#This Row],[Quantidade]])</f>
        <v>3255.6924000000004</v>
      </c>
    </row>
    <row r="128" spans="2:11" x14ac:dyDescent="0.2">
      <c r="B128" s="67">
        <v>45839</v>
      </c>
      <c r="C128" t="s">
        <v>58</v>
      </c>
      <c r="E128" s="3" t="s">
        <v>27</v>
      </c>
      <c r="F128" s="3"/>
      <c r="G128" s="10">
        <v>6474.0500000000011</v>
      </c>
      <c r="H128" s="18" t="str" cm="1">
        <f t="array" ref="H128">_xlfn.XLOOKUP(Table_Investimentos_Main[[#This Row],[Data]]&amp;Table_Investimentos_Main[[#This Row],[Ticker]],Table_Cotacoes[Data]&amp;Table_Cotacoes[Ticker],Table_Cotacoes[Valor],"")</f>
        <v/>
      </c>
      <c r="I128" s="5" t="str">
        <f>IF(Table_Investimentos_Main[[#This Row],[Ticker]]&lt;&gt;"",_xlfn.XLOOKUP(Table_Investimentos_Main[[#This Row],[Ticker]],Table_Cotacoes[Ticker],Table_Cotacoes[Moeda Base],""),"BRL")</f>
        <v>BRL</v>
      </c>
      <c r="J128" s="11" cm="1">
        <f t="array" ref="J128">_xlfn.SINGLE(_xlfn.XLOOKUP(Table_Investimentos_Main[[#This Row],[Data]]&amp;"USD",Table_Cotacoes[Data]&amp;Table_Cotacoes[Ticker],Table_Cotacoes[Valor],""))</f>
        <v>5.54</v>
      </c>
      <c r="K128" s="18">
        <f>IF(Table_Investimentos_Main[[#This Row],[Ticker]]&lt;&gt;"",Table_Investimentos_Main[[#This Row],[Quantidade]]*Table_Investimentos_Main[[#This Row],[Cotação Ativo]],Table_Investimentos_Main[[#This Row],[Quantidade]])</f>
        <v>6474.0500000000011</v>
      </c>
    </row>
    <row r="129" spans="2:11" x14ac:dyDescent="0.2">
      <c r="B129" s="67">
        <v>45839</v>
      </c>
      <c r="C129" t="s">
        <v>44</v>
      </c>
      <c r="D129" t="s">
        <v>24</v>
      </c>
      <c r="E129" s="3" t="s">
        <v>22</v>
      </c>
      <c r="F129" s="3"/>
      <c r="G129" s="10">
        <v>137.36000000000001</v>
      </c>
      <c r="H129" s="18" cm="1">
        <f t="array" ref="H129">_xlfn.XLOOKUP(Table_Investimentos_Main[[#This Row],[Data]]&amp;Table_Investimentos_Main[[#This Row],[Ticker]],Table_Cotacoes[Data]&amp;Table_Cotacoes[Ticker],Table_Cotacoes[Valor],"")</f>
        <v>5.54</v>
      </c>
      <c r="I129" s="5" t="str">
        <f>IF(Table_Investimentos_Main[[#This Row],[Ticker]]&lt;&gt;"",_xlfn.XLOOKUP(Table_Investimentos_Main[[#This Row],[Ticker]],Table_Cotacoes[Ticker],Table_Cotacoes[Moeda Base],""),"BRL")</f>
        <v>USD</v>
      </c>
      <c r="J129" s="11" cm="1">
        <f t="array" ref="J129">_xlfn.SINGLE(_xlfn.XLOOKUP(Table_Investimentos_Main[[#This Row],[Data]]&amp;"USD",Table_Cotacoes[Data]&amp;Table_Cotacoes[Ticker],Table_Cotacoes[Valor],""))</f>
        <v>5.54</v>
      </c>
      <c r="K129" s="18">
        <f>IF(Table_Investimentos_Main[[#This Row],[Ticker]]&lt;&gt;"",Table_Investimentos_Main[[#This Row],[Quantidade]]*Table_Investimentos_Main[[#This Row],[Cotação Ativo]],Table_Investimentos_Main[[#This Row],[Quantidade]])</f>
        <v>760.97440000000006</v>
      </c>
    </row>
    <row r="130" spans="2:11" x14ac:dyDescent="0.2">
      <c r="B130" s="67">
        <v>45839</v>
      </c>
      <c r="C130" t="s">
        <v>44</v>
      </c>
      <c r="D130" t="s">
        <v>24</v>
      </c>
      <c r="E130" s="3" t="s">
        <v>59</v>
      </c>
      <c r="F130" s="3"/>
      <c r="G130" s="10">
        <v>1011.36</v>
      </c>
      <c r="H130" s="18" cm="1">
        <f t="array" ref="H130">_xlfn.XLOOKUP(Table_Investimentos_Main[[#This Row],[Data]]&amp;Table_Investimentos_Main[[#This Row],[Ticker]],Table_Cotacoes[Data]&amp;Table_Cotacoes[Ticker],Table_Cotacoes[Valor],"")</f>
        <v>5.54</v>
      </c>
      <c r="I130" s="5" t="str">
        <f>IF(Table_Investimentos_Main[[#This Row],[Ticker]]&lt;&gt;"",_xlfn.XLOOKUP(Table_Investimentos_Main[[#This Row],[Ticker]],Table_Cotacoes[Ticker],Table_Cotacoes[Moeda Base],""),"BRL")</f>
        <v>USD</v>
      </c>
      <c r="J130" s="11" cm="1">
        <f t="array" ref="J130">_xlfn.SINGLE(_xlfn.XLOOKUP(Table_Investimentos_Main[[#This Row],[Data]]&amp;"USD",Table_Cotacoes[Data]&amp;Table_Cotacoes[Ticker],Table_Cotacoes[Valor],""))</f>
        <v>5.54</v>
      </c>
      <c r="K130" s="18">
        <f>IF(Table_Investimentos_Main[[#This Row],[Ticker]]&lt;&gt;"",Table_Investimentos_Main[[#This Row],[Quantidade]]*Table_Investimentos_Main[[#This Row],[Cotação Ativo]],Table_Investimentos_Main[[#This Row],[Quantidade]])</f>
        <v>5602.9344000000001</v>
      </c>
    </row>
    <row r="131" spans="2:11" x14ac:dyDescent="0.2">
      <c r="B131" s="67">
        <v>45839</v>
      </c>
      <c r="C131" t="s">
        <v>60</v>
      </c>
      <c r="E131" s="3" t="s">
        <v>16</v>
      </c>
      <c r="F131" s="3"/>
      <c r="G131" s="10">
        <v>1612.13</v>
      </c>
      <c r="H131" s="18" t="str" cm="1">
        <f t="array" ref="H131">_xlfn.XLOOKUP(Table_Investimentos_Main[[#This Row],[Data]]&amp;Table_Investimentos_Main[[#This Row],[Ticker]],Table_Cotacoes[Data]&amp;Table_Cotacoes[Ticker],Table_Cotacoes[Valor],"")</f>
        <v/>
      </c>
      <c r="I131" s="5" t="str">
        <f>IF(Table_Investimentos_Main[[#This Row],[Ticker]]&lt;&gt;"",_xlfn.XLOOKUP(Table_Investimentos_Main[[#This Row],[Ticker]],Table_Cotacoes[Ticker],Table_Cotacoes[Moeda Base],""),"BRL")</f>
        <v>BRL</v>
      </c>
      <c r="J131" s="11" cm="1">
        <f t="array" ref="J131">_xlfn.SINGLE(_xlfn.XLOOKUP(Table_Investimentos_Main[[#This Row],[Data]]&amp;"USD",Table_Cotacoes[Data]&amp;Table_Cotacoes[Ticker],Table_Cotacoes[Valor],""))</f>
        <v>5.54</v>
      </c>
      <c r="K131" s="18">
        <f>IF(Table_Investimentos_Main[[#This Row],[Ticker]]&lt;&gt;"",Table_Investimentos_Main[[#This Row],[Quantidade]]*Table_Investimentos_Main[[#This Row],[Cotação Ativo]],Table_Investimentos_Main[[#This Row],[Quantidade]])</f>
        <v>1612.13</v>
      </c>
    </row>
    <row r="132" spans="2:11" x14ac:dyDescent="0.2">
      <c r="B132" s="67">
        <v>45839</v>
      </c>
      <c r="C132" t="s">
        <v>61</v>
      </c>
      <c r="E132" s="3" t="s">
        <v>27</v>
      </c>
      <c r="F132" s="3"/>
      <c r="G132" s="10">
        <v>4743.13</v>
      </c>
      <c r="H132" s="18" t="str" cm="1">
        <f t="array" ref="H132">_xlfn.XLOOKUP(Table_Investimentos_Main[[#This Row],[Data]]&amp;Table_Investimentos_Main[[#This Row],[Ticker]],Table_Cotacoes[Data]&amp;Table_Cotacoes[Ticker],Table_Cotacoes[Valor],"")</f>
        <v/>
      </c>
      <c r="I132" s="5" t="str">
        <f>IF(Table_Investimentos_Main[[#This Row],[Ticker]]&lt;&gt;"",_xlfn.XLOOKUP(Table_Investimentos_Main[[#This Row],[Ticker]],Table_Cotacoes[Ticker],Table_Cotacoes[Moeda Base],""),"BRL")</f>
        <v>BRL</v>
      </c>
      <c r="J132" s="11" cm="1">
        <f t="array" ref="J132">_xlfn.SINGLE(_xlfn.XLOOKUP(Table_Investimentos_Main[[#This Row],[Data]]&amp;"USD",Table_Cotacoes[Data]&amp;Table_Cotacoes[Ticker],Table_Cotacoes[Valor],""))</f>
        <v>5.54</v>
      </c>
      <c r="K132" s="18">
        <f>IF(Table_Investimentos_Main[[#This Row],[Ticker]]&lt;&gt;"",Table_Investimentos_Main[[#This Row],[Quantidade]]*Table_Investimentos_Main[[#This Row],[Cotação Ativo]],Table_Investimentos_Main[[#This Row],[Quantidade]])</f>
        <v>4743.13</v>
      </c>
    </row>
    <row r="133" spans="2:11" x14ac:dyDescent="0.2">
      <c r="B133" s="67">
        <v>45839</v>
      </c>
      <c r="C133" t="s">
        <v>62</v>
      </c>
      <c r="E133" s="3" t="s">
        <v>27</v>
      </c>
      <c r="F133" s="3"/>
      <c r="G133" s="10">
        <v>1713.72</v>
      </c>
      <c r="H133" s="18" t="str" cm="1">
        <f t="array" ref="H133">_xlfn.XLOOKUP(Table_Investimentos_Main[[#This Row],[Data]]&amp;Table_Investimentos_Main[[#This Row],[Ticker]],Table_Cotacoes[Data]&amp;Table_Cotacoes[Ticker],Table_Cotacoes[Valor],"")</f>
        <v/>
      </c>
      <c r="I133" s="5" t="str">
        <f>IF(Table_Investimentos_Main[[#This Row],[Ticker]]&lt;&gt;"",_xlfn.XLOOKUP(Table_Investimentos_Main[[#This Row],[Ticker]],Table_Cotacoes[Ticker],Table_Cotacoes[Moeda Base],""),"BRL")</f>
        <v>BRL</v>
      </c>
      <c r="J133" s="11" cm="1">
        <f t="array" ref="J133">_xlfn.SINGLE(_xlfn.XLOOKUP(Table_Investimentos_Main[[#This Row],[Data]]&amp;"USD",Table_Cotacoes[Data]&amp;Table_Cotacoes[Ticker],Table_Cotacoes[Valor],""))</f>
        <v>5.54</v>
      </c>
      <c r="K133" s="18">
        <f>IF(Table_Investimentos_Main[[#This Row],[Ticker]]&lt;&gt;"",Table_Investimentos_Main[[#This Row],[Quantidade]]*Table_Investimentos_Main[[#This Row],[Cotação Ativo]],Table_Investimentos_Main[[#This Row],[Quantidade]])</f>
        <v>1713.72</v>
      </c>
    </row>
    <row r="134" spans="2:11" x14ac:dyDescent="0.2">
      <c r="B134" s="67">
        <v>45839</v>
      </c>
      <c r="C134" t="s">
        <v>63</v>
      </c>
      <c r="E134" s="3" t="s">
        <v>27</v>
      </c>
      <c r="F134" s="3"/>
      <c r="G134" s="10">
        <v>825.81</v>
      </c>
      <c r="H134" s="18" t="str" cm="1">
        <f t="array" ref="H134">_xlfn.XLOOKUP(Table_Investimentos_Main[[#This Row],[Data]]&amp;Table_Investimentos_Main[[#This Row],[Ticker]],Table_Cotacoes[Data]&amp;Table_Cotacoes[Ticker],Table_Cotacoes[Valor],"")</f>
        <v/>
      </c>
      <c r="I134" s="5" t="str">
        <f>IF(Table_Investimentos_Main[[#This Row],[Ticker]]&lt;&gt;"",_xlfn.XLOOKUP(Table_Investimentos_Main[[#This Row],[Ticker]],Table_Cotacoes[Ticker],Table_Cotacoes[Moeda Base],""),"BRL")</f>
        <v>BRL</v>
      </c>
      <c r="J134" s="11" cm="1">
        <f t="array" ref="J134">_xlfn.SINGLE(_xlfn.XLOOKUP(Table_Investimentos_Main[[#This Row],[Data]]&amp;"USD",Table_Cotacoes[Data]&amp;Table_Cotacoes[Ticker],Table_Cotacoes[Valor],""))</f>
        <v>5.54</v>
      </c>
      <c r="K134" s="18">
        <f>IF(Table_Investimentos_Main[[#This Row],[Ticker]]&lt;&gt;"",Table_Investimentos_Main[[#This Row],[Quantidade]]*Table_Investimentos_Main[[#This Row],[Cotação Ativo]],Table_Investimentos_Main[[#This Row],[Quantidade]])</f>
        <v>825.81</v>
      </c>
    </row>
    <row r="135" spans="2:11" x14ac:dyDescent="0.2">
      <c r="B135" s="67">
        <v>45839</v>
      </c>
      <c r="C135" t="s">
        <v>64</v>
      </c>
      <c r="D135" t="s">
        <v>24</v>
      </c>
      <c r="E135" s="3" t="s">
        <v>27</v>
      </c>
      <c r="F135" s="3"/>
      <c r="G135" s="10">
        <v>1010.19</v>
      </c>
      <c r="H135" s="18" cm="1">
        <f t="array" ref="H135">_xlfn.XLOOKUP(Table_Investimentos_Main[[#This Row],[Data]]&amp;Table_Investimentos_Main[[#This Row],[Ticker]],Table_Cotacoes[Data]&amp;Table_Cotacoes[Ticker],Table_Cotacoes[Valor],"")</f>
        <v>5.54</v>
      </c>
      <c r="I135" s="5" t="str">
        <f>IF(Table_Investimentos_Main[[#This Row],[Ticker]]&lt;&gt;"",_xlfn.XLOOKUP(Table_Investimentos_Main[[#This Row],[Ticker]],Table_Cotacoes[Ticker],Table_Cotacoes[Moeda Base],""),"BRL")</f>
        <v>USD</v>
      </c>
      <c r="J135" s="11" cm="1">
        <f t="array" ref="J135">_xlfn.SINGLE(_xlfn.XLOOKUP(Table_Investimentos_Main[[#This Row],[Data]]&amp;"USD",Table_Cotacoes[Data]&amp;Table_Cotacoes[Ticker],Table_Cotacoes[Valor],""))</f>
        <v>5.54</v>
      </c>
      <c r="K135" s="18">
        <f>IF(Table_Investimentos_Main[[#This Row],[Ticker]]&lt;&gt;"",Table_Investimentos_Main[[#This Row],[Quantidade]]*Table_Investimentos_Main[[#This Row],[Cotação Ativo]],Table_Investimentos_Main[[#This Row],[Quantidade]])</f>
        <v>5596.4526000000005</v>
      </c>
    </row>
    <row r="136" spans="2:11" x14ac:dyDescent="0.2">
      <c r="B136" s="67">
        <v>45839</v>
      </c>
      <c r="C136" t="s">
        <v>65</v>
      </c>
      <c r="E136" s="3" t="s">
        <v>27</v>
      </c>
      <c r="F136" s="3"/>
      <c r="G136" s="10">
        <v>2503.8200000000002</v>
      </c>
      <c r="H136" s="18" t="str" cm="1">
        <f t="array" ref="H136">_xlfn.XLOOKUP(Table_Investimentos_Main[[#This Row],[Data]]&amp;Table_Investimentos_Main[[#This Row],[Ticker]],Table_Cotacoes[Data]&amp;Table_Cotacoes[Ticker],Table_Cotacoes[Valor],"")</f>
        <v/>
      </c>
      <c r="I136" s="5" t="str">
        <f>IF(Table_Investimentos_Main[[#This Row],[Ticker]]&lt;&gt;"",_xlfn.XLOOKUP(Table_Investimentos_Main[[#This Row],[Ticker]],Table_Cotacoes[Ticker],Table_Cotacoes[Moeda Base],""),"BRL")</f>
        <v>BRL</v>
      </c>
      <c r="J136" s="11" cm="1">
        <f t="array" ref="J136">_xlfn.SINGLE(_xlfn.XLOOKUP(Table_Investimentos_Main[[#This Row],[Data]]&amp;"USD",Table_Cotacoes[Data]&amp;Table_Cotacoes[Ticker],Table_Cotacoes[Valor],""))</f>
        <v>5.54</v>
      </c>
      <c r="K136" s="18">
        <f>IF(Table_Investimentos_Main[[#This Row],[Ticker]]&lt;&gt;"",Table_Investimentos_Main[[#This Row],[Quantidade]]*Table_Investimentos_Main[[#This Row],[Cotação Ativo]],Table_Investimentos_Main[[#This Row],[Quantidade]])</f>
        <v>2503.8200000000002</v>
      </c>
    </row>
    <row r="137" spans="2:11" x14ac:dyDescent="0.2">
      <c r="B137" s="67">
        <v>45839</v>
      </c>
      <c r="C137" t="s">
        <v>55</v>
      </c>
      <c r="D137" t="s">
        <v>24</v>
      </c>
      <c r="E137" s="3" t="s">
        <v>27</v>
      </c>
      <c r="F137" s="3"/>
      <c r="G137" s="10">
        <v>508.9</v>
      </c>
      <c r="H137" s="18" cm="1">
        <f t="array" ref="H137">_xlfn.XLOOKUP(Table_Investimentos_Main[[#This Row],[Data]]&amp;Table_Investimentos_Main[[#This Row],[Ticker]],Table_Cotacoes[Data]&amp;Table_Cotacoes[Ticker],Table_Cotacoes[Valor],"")</f>
        <v>5.54</v>
      </c>
      <c r="I137" s="5" t="str">
        <f>IF(Table_Investimentos_Main[[#This Row],[Ticker]]&lt;&gt;"",_xlfn.XLOOKUP(Table_Investimentos_Main[[#This Row],[Ticker]],Table_Cotacoes[Ticker],Table_Cotacoes[Moeda Base],""),"BRL")</f>
        <v>USD</v>
      </c>
      <c r="J137" s="11" cm="1">
        <f t="array" ref="J137">_xlfn.SINGLE(_xlfn.XLOOKUP(Table_Investimentos_Main[[#This Row],[Data]]&amp;"USD",Table_Cotacoes[Data]&amp;Table_Cotacoes[Ticker],Table_Cotacoes[Valor],""))</f>
        <v>5.54</v>
      </c>
      <c r="K137" s="18">
        <f>IF(Table_Investimentos_Main[[#This Row],[Ticker]]&lt;&gt;"",Table_Investimentos_Main[[#This Row],[Quantidade]]*Table_Investimentos_Main[[#This Row],[Cotação Ativo]],Table_Investimentos_Main[[#This Row],[Quantidade]])</f>
        <v>2819.306</v>
      </c>
    </row>
    <row r="138" spans="2:11" x14ac:dyDescent="0.2">
      <c r="B138" s="67">
        <v>45839</v>
      </c>
      <c r="C138" t="s">
        <v>51</v>
      </c>
      <c r="D138" t="s">
        <v>24</v>
      </c>
      <c r="E138" s="3" t="s">
        <v>27</v>
      </c>
      <c r="F138" s="3"/>
      <c r="G138" s="10">
        <v>1018.2</v>
      </c>
      <c r="H138" s="18" cm="1">
        <f t="array" ref="H138">_xlfn.XLOOKUP(Table_Investimentos_Main[[#This Row],[Data]]&amp;Table_Investimentos_Main[[#This Row],[Ticker]],Table_Cotacoes[Data]&amp;Table_Cotacoes[Ticker],Table_Cotacoes[Valor],"")</f>
        <v>5.54</v>
      </c>
      <c r="I138" s="5" t="str">
        <f>IF(Table_Investimentos_Main[[#This Row],[Ticker]]&lt;&gt;"",_xlfn.XLOOKUP(Table_Investimentos_Main[[#This Row],[Ticker]],Table_Cotacoes[Ticker],Table_Cotacoes[Moeda Base],""),"BRL")</f>
        <v>USD</v>
      </c>
      <c r="J138" s="11" cm="1">
        <f t="array" ref="J138">_xlfn.SINGLE(_xlfn.XLOOKUP(Table_Investimentos_Main[[#This Row],[Data]]&amp;"USD",Table_Cotacoes[Data]&amp;Table_Cotacoes[Ticker],Table_Cotacoes[Valor],""))</f>
        <v>5.54</v>
      </c>
      <c r="K138" s="18">
        <f>IF(Table_Investimentos_Main[[#This Row],[Ticker]]&lt;&gt;"",Table_Investimentos_Main[[#This Row],[Quantidade]]*Table_Investimentos_Main[[#This Row],[Cotação Ativo]],Table_Investimentos_Main[[#This Row],[Quantidade]])</f>
        <v>5640.8280000000004</v>
      </c>
    </row>
    <row r="139" spans="2:11" x14ac:dyDescent="0.2">
      <c r="B139" s="67">
        <v>45839</v>
      </c>
      <c r="C139" t="s">
        <v>54</v>
      </c>
      <c r="D139" t="s">
        <v>24</v>
      </c>
      <c r="E139" s="3" t="s">
        <v>27</v>
      </c>
      <c r="F139" s="3"/>
      <c r="G139" s="10">
        <v>521.24</v>
      </c>
      <c r="H139" s="18" cm="1">
        <f t="array" ref="H139">_xlfn.XLOOKUP(Table_Investimentos_Main[[#This Row],[Data]]&amp;Table_Investimentos_Main[[#This Row],[Ticker]],Table_Cotacoes[Data]&amp;Table_Cotacoes[Ticker],Table_Cotacoes[Valor],"")</f>
        <v>5.54</v>
      </c>
      <c r="I139" s="5" t="str">
        <f>IF(Table_Investimentos_Main[[#This Row],[Ticker]]&lt;&gt;"",_xlfn.XLOOKUP(Table_Investimentos_Main[[#This Row],[Ticker]],Table_Cotacoes[Ticker],Table_Cotacoes[Moeda Base],""),"BRL")</f>
        <v>USD</v>
      </c>
      <c r="J139" s="11" cm="1">
        <f t="array" ref="J139">_xlfn.SINGLE(_xlfn.XLOOKUP(Table_Investimentos_Main[[#This Row],[Data]]&amp;"USD",Table_Cotacoes[Data]&amp;Table_Cotacoes[Ticker],Table_Cotacoes[Valor],""))</f>
        <v>5.54</v>
      </c>
      <c r="K139" s="18">
        <f>IF(Table_Investimentos_Main[[#This Row],[Ticker]]&lt;&gt;"",Table_Investimentos_Main[[#This Row],[Quantidade]]*Table_Investimentos_Main[[#This Row],[Cotação Ativo]],Table_Investimentos_Main[[#This Row],[Quantidade]])</f>
        <v>2887.6696000000002</v>
      </c>
    </row>
    <row r="140" spans="2:11" x14ac:dyDescent="0.2">
      <c r="B140" s="67">
        <v>45839</v>
      </c>
      <c r="C140" t="s">
        <v>42</v>
      </c>
      <c r="D140" t="s">
        <v>14</v>
      </c>
      <c r="E140" s="3" t="s">
        <v>22</v>
      </c>
      <c r="F140" s="3"/>
      <c r="G140" s="10">
        <v>6.7256199999999999E-3</v>
      </c>
      <c r="H140" s="18" cm="1">
        <f t="array" ref="H140">_xlfn.XLOOKUP(Table_Investimentos_Main[[#This Row],[Data]]&amp;Table_Investimentos_Main[[#This Row],[Ticker]],Table_Cotacoes[Data]&amp;Table_Cotacoes[Ticker],Table_Cotacoes[Valor],"")</f>
        <v>642564</v>
      </c>
      <c r="I140" s="5" t="str">
        <f>IF(Table_Investimentos_Main[[#This Row],[Ticker]]&lt;&gt;"",_xlfn.XLOOKUP(Table_Investimentos_Main[[#This Row],[Ticker]],Table_Cotacoes[Ticker],Table_Cotacoes[Moeda Base],""),"BRL")</f>
        <v>BTC</v>
      </c>
      <c r="J140" s="11" cm="1">
        <f t="array" ref="J140">_xlfn.SINGLE(_xlfn.XLOOKUP(Table_Investimentos_Main[[#This Row],[Data]]&amp;"USD",Table_Cotacoes[Data]&amp;Table_Cotacoes[Ticker],Table_Cotacoes[Valor],""))</f>
        <v>5.54</v>
      </c>
      <c r="K140" s="18">
        <f>IF(Table_Investimentos_Main[[#This Row],[Ticker]]&lt;&gt;"",Table_Investimentos_Main[[#This Row],[Quantidade]]*Table_Investimentos_Main[[#This Row],[Cotação Ativo]],Table_Investimentos_Main[[#This Row],[Quantidade]])</f>
        <v>4321.6412896800002</v>
      </c>
    </row>
    <row r="141" spans="2:11" x14ac:dyDescent="0.2">
      <c r="B141" s="67">
        <v>45839</v>
      </c>
      <c r="C141" t="s">
        <v>49</v>
      </c>
      <c r="D141" t="s">
        <v>57</v>
      </c>
      <c r="E141" s="3" t="s">
        <v>22</v>
      </c>
      <c r="F141" s="3"/>
      <c r="G141" s="10">
        <v>5.5285490399999997</v>
      </c>
      <c r="H141" s="18" cm="1">
        <f t="array" ref="H141">_xlfn.XLOOKUP(Table_Investimentos_Main[[#This Row],[Data]]&amp;Table_Investimentos_Main[[#This Row],[Ticker]],Table_Cotacoes[Data]&amp;Table_Cotacoes[Ticker],Table_Cotacoes[Valor],"")</f>
        <v>996.08</v>
      </c>
      <c r="I141" s="5" t="str">
        <f>IF(Table_Investimentos_Main[[#This Row],[Ticker]]&lt;&gt;"",_xlfn.XLOOKUP(Table_Investimentos_Main[[#This Row],[Ticker]],Table_Cotacoes[Ticker],Table_Cotacoes[Moeda Base],""),"BRL")</f>
        <v>USD</v>
      </c>
      <c r="J141" s="11" cm="1">
        <f t="array" ref="J141">_xlfn.SINGLE(_xlfn.XLOOKUP(Table_Investimentos_Main[[#This Row],[Data]]&amp;"USD",Table_Cotacoes[Data]&amp;Table_Cotacoes[Ticker],Table_Cotacoes[Valor],""))</f>
        <v>5.54</v>
      </c>
      <c r="K141" s="18">
        <f>IF(Table_Investimentos_Main[[#This Row],[Ticker]]&lt;&gt;"",Table_Investimentos_Main[[#This Row],[Quantidade]]*Table_Investimentos_Main[[#This Row],[Cotação Ativo]],Table_Investimentos_Main[[#This Row],[Quantidade]])</f>
        <v>5506.8771277631995</v>
      </c>
    </row>
    <row r="142" spans="2:11" x14ac:dyDescent="0.2">
      <c r="B142" s="67">
        <v>45839</v>
      </c>
      <c r="C142" t="s">
        <v>41</v>
      </c>
      <c r="D142" t="s">
        <v>14</v>
      </c>
      <c r="E142" s="3" t="s">
        <v>37</v>
      </c>
      <c r="F142" s="3"/>
      <c r="G142" s="10">
        <v>0.27932595999999998</v>
      </c>
      <c r="H142" s="18" cm="1">
        <f t="array" ref="H142">_xlfn.XLOOKUP(Table_Investimentos_Main[[#This Row],[Data]]&amp;Table_Investimentos_Main[[#This Row],[Ticker]],Table_Cotacoes[Data]&amp;Table_Cotacoes[Ticker],Table_Cotacoes[Valor],"")</f>
        <v>642564</v>
      </c>
      <c r="I142" s="5" t="str">
        <f>IF(Table_Investimentos_Main[[#This Row],[Ticker]]&lt;&gt;"",_xlfn.XLOOKUP(Table_Investimentos_Main[[#This Row],[Ticker]],Table_Cotacoes[Ticker],Table_Cotacoes[Moeda Base],""),"BRL")</f>
        <v>BTC</v>
      </c>
      <c r="J142" s="11" cm="1">
        <f t="array" ref="J142">_xlfn.SINGLE(_xlfn.XLOOKUP(Table_Investimentos_Main[[#This Row],[Data]]&amp;"USD",Table_Cotacoes[Data]&amp;Table_Cotacoes[Ticker],Table_Cotacoes[Valor],""))</f>
        <v>5.54</v>
      </c>
      <c r="K142" s="18">
        <f>IF(Table_Investimentos_Main[[#This Row],[Ticker]]&lt;&gt;"",Table_Investimentos_Main[[#This Row],[Quantidade]]*Table_Investimentos_Main[[#This Row],[Cotação Ativo]],Table_Investimentos_Main[[#This Row],[Quantidade]])</f>
        <v>179484.80616143998</v>
      </c>
    </row>
    <row r="143" spans="2:11" x14ac:dyDescent="0.2">
      <c r="B143" s="67">
        <v>45870</v>
      </c>
      <c r="C143" t="s">
        <v>58</v>
      </c>
      <c r="E143" s="3" t="s">
        <v>27</v>
      </c>
      <c r="F143" s="3"/>
      <c r="G143" s="10">
        <v>8993.9699999999993</v>
      </c>
      <c r="H143" s="18" t="str" cm="1">
        <f t="array" ref="H143">_xlfn.XLOOKUP(Table_Investimentos_Main[[#This Row],[Data]]&amp;Table_Investimentos_Main[[#This Row],[Ticker]],Table_Cotacoes[Data]&amp;Table_Cotacoes[Ticker],Table_Cotacoes[Valor],"")</f>
        <v/>
      </c>
      <c r="I143" s="5" t="str">
        <f>IF(Table_Investimentos_Main[[#This Row],[Ticker]]&lt;&gt;"",_xlfn.XLOOKUP(Table_Investimentos_Main[[#This Row],[Ticker]],Table_Cotacoes[Ticker],Table_Cotacoes[Moeda Base],""),"BRL")</f>
        <v>BRL</v>
      </c>
      <c r="J143" s="11" cm="1">
        <f t="array" ref="J143">_xlfn.SINGLE(_xlfn.XLOOKUP(Table_Investimentos_Main[[#This Row],[Data]]&amp;"USD",Table_Cotacoes[Data]&amp;Table_Cotacoes[Ticker],Table_Cotacoes[Valor],""))</f>
        <v>5.51</v>
      </c>
      <c r="K143" s="18">
        <f>IF(Table_Investimentos_Main[[#This Row],[Ticker]]&lt;&gt;"",Table_Investimentos_Main[[#This Row],[Quantidade]]*Table_Investimentos_Main[[#This Row],[Cotação Ativo]],Table_Investimentos_Main[[#This Row],[Quantidade]])</f>
        <v>8993.9699999999993</v>
      </c>
    </row>
    <row r="144" spans="2:11" x14ac:dyDescent="0.2">
      <c r="B144" s="67">
        <v>45870</v>
      </c>
      <c r="C144" t="s">
        <v>21</v>
      </c>
      <c r="D144" t="s">
        <v>24</v>
      </c>
      <c r="E144" s="3" t="s">
        <v>22</v>
      </c>
      <c r="F144" s="3"/>
      <c r="G144" s="10">
        <v>100.07</v>
      </c>
      <c r="H144" s="18" cm="1">
        <f t="array" ref="H144">_xlfn.XLOOKUP(Table_Investimentos_Main[[#This Row],[Data]]&amp;Table_Investimentos_Main[[#This Row],[Ticker]],Table_Cotacoes[Data]&amp;Table_Cotacoes[Ticker],Table_Cotacoes[Valor],"")</f>
        <v>5.51</v>
      </c>
      <c r="I144" s="5" t="str">
        <f>IF(Table_Investimentos_Main[[#This Row],[Ticker]]&lt;&gt;"",_xlfn.XLOOKUP(Table_Investimentos_Main[[#This Row],[Ticker]],Table_Cotacoes[Ticker],Table_Cotacoes[Moeda Base],""),"BRL")</f>
        <v>USD</v>
      </c>
      <c r="J144" s="11" cm="1">
        <f t="array" ref="J144">_xlfn.SINGLE(_xlfn.XLOOKUP(Table_Investimentos_Main[[#This Row],[Data]]&amp;"USD",Table_Cotacoes[Data]&amp;Table_Cotacoes[Ticker],Table_Cotacoes[Valor],""))</f>
        <v>5.51</v>
      </c>
      <c r="K144" s="18">
        <f>IF(Table_Investimentos_Main[[#This Row],[Ticker]]&lt;&gt;"",Table_Investimentos_Main[[#This Row],[Quantidade]]*Table_Investimentos_Main[[#This Row],[Cotação Ativo]],Table_Investimentos_Main[[#This Row],[Quantidade]])</f>
        <v>551.38569999999993</v>
      </c>
    </row>
    <row r="145" spans="2:11" x14ac:dyDescent="0.2">
      <c r="B145" s="67">
        <v>45870</v>
      </c>
      <c r="C145" t="s">
        <v>44</v>
      </c>
      <c r="D145" t="s">
        <v>24</v>
      </c>
      <c r="E145" s="3" t="s">
        <v>22</v>
      </c>
      <c r="F145" s="3"/>
      <c r="G145" s="10">
        <v>100.35</v>
      </c>
      <c r="H145" s="18" cm="1">
        <f t="array" ref="H145">_xlfn.XLOOKUP(Table_Investimentos_Main[[#This Row],[Data]]&amp;Table_Investimentos_Main[[#This Row],[Ticker]],Table_Cotacoes[Data]&amp;Table_Cotacoes[Ticker],Table_Cotacoes[Valor],"")</f>
        <v>5.51</v>
      </c>
      <c r="I145" s="5" t="str">
        <f>IF(Table_Investimentos_Main[[#This Row],[Ticker]]&lt;&gt;"",_xlfn.XLOOKUP(Table_Investimentos_Main[[#This Row],[Ticker]],Table_Cotacoes[Ticker],Table_Cotacoes[Moeda Base],""),"BRL")</f>
        <v>USD</v>
      </c>
      <c r="J145" s="11" cm="1">
        <f t="array" ref="J145">_xlfn.SINGLE(_xlfn.XLOOKUP(Table_Investimentos_Main[[#This Row],[Data]]&amp;"USD",Table_Cotacoes[Data]&amp;Table_Cotacoes[Ticker],Table_Cotacoes[Valor],""))</f>
        <v>5.51</v>
      </c>
      <c r="K145" s="18">
        <f>IF(Table_Investimentos_Main[[#This Row],[Ticker]]&lt;&gt;"",Table_Investimentos_Main[[#This Row],[Quantidade]]*Table_Investimentos_Main[[#This Row],[Cotação Ativo]],Table_Investimentos_Main[[#This Row],[Quantidade]])</f>
        <v>552.92849999999999</v>
      </c>
    </row>
    <row r="146" spans="2:11" x14ac:dyDescent="0.2">
      <c r="B146" s="67">
        <v>45870</v>
      </c>
      <c r="C146" t="s">
        <v>44</v>
      </c>
      <c r="D146" t="s">
        <v>24</v>
      </c>
      <c r="E146" s="3" t="s">
        <v>66</v>
      </c>
      <c r="F146" s="3"/>
      <c r="G146" s="10">
        <v>1657</v>
      </c>
      <c r="H146" s="18" cm="1">
        <f t="array" ref="H146">_xlfn.XLOOKUP(Table_Investimentos_Main[[#This Row],[Data]]&amp;Table_Investimentos_Main[[#This Row],[Ticker]],Table_Cotacoes[Data]&amp;Table_Cotacoes[Ticker],Table_Cotacoes[Valor],"")</f>
        <v>5.51</v>
      </c>
      <c r="I146" s="5" t="str">
        <f>IF(Table_Investimentos_Main[[#This Row],[Ticker]]&lt;&gt;"",_xlfn.XLOOKUP(Table_Investimentos_Main[[#This Row],[Ticker]],Table_Cotacoes[Ticker],Table_Cotacoes[Moeda Base],""),"BRL")</f>
        <v>USD</v>
      </c>
      <c r="J146" s="11" cm="1">
        <f t="array" ref="J146">_xlfn.SINGLE(_xlfn.XLOOKUP(Table_Investimentos_Main[[#This Row],[Data]]&amp;"USD",Table_Cotacoes[Data]&amp;Table_Cotacoes[Ticker],Table_Cotacoes[Valor],""))</f>
        <v>5.51</v>
      </c>
      <c r="K146" s="18">
        <f>IF(Table_Investimentos_Main[[#This Row],[Ticker]]&lt;&gt;"",Table_Investimentos_Main[[#This Row],[Quantidade]]*Table_Investimentos_Main[[#This Row],[Cotação Ativo]],Table_Investimentos_Main[[#This Row],[Quantidade]])</f>
        <v>9130.07</v>
      </c>
    </row>
    <row r="147" spans="2:11" x14ac:dyDescent="0.2">
      <c r="B147" s="67">
        <v>45870</v>
      </c>
      <c r="C147" t="s">
        <v>61</v>
      </c>
      <c r="E147" s="3" t="s">
        <v>27</v>
      </c>
      <c r="F147" s="3"/>
      <c r="G147" s="10">
        <v>4743.13</v>
      </c>
      <c r="H147" s="18" t="str" cm="1">
        <f t="array" ref="H147">_xlfn.XLOOKUP(Table_Investimentos_Main[[#This Row],[Data]]&amp;Table_Investimentos_Main[[#This Row],[Ticker]],Table_Cotacoes[Data]&amp;Table_Cotacoes[Ticker],Table_Cotacoes[Valor],"")</f>
        <v/>
      </c>
      <c r="I147" s="5" t="str">
        <f>IF(Table_Investimentos_Main[[#This Row],[Ticker]]&lt;&gt;"",_xlfn.XLOOKUP(Table_Investimentos_Main[[#This Row],[Ticker]],Table_Cotacoes[Ticker],Table_Cotacoes[Moeda Base],""),"BRL")</f>
        <v>BRL</v>
      </c>
      <c r="J147" s="11" cm="1">
        <f t="array" ref="J147">_xlfn.SINGLE(_xlfn.XLOOKUP(Table_Investimentos_Main[[#This Row],[Data]]&amp;"USD",Table_Cotacoes[Data]&amp;Table_Cotacoes[Ticker],Table_Cotacoes[Valor],""))</f>
        <v>5.51</v>
      </c>
      <c r="K147" s="18">
        <f>IF(Table_Investimentos_Main[[#This Row],[Ticker]]&lt;&gt;"",Table_Investimentos_Main[[#This Row],[Quantidade]]*Table_Investimentos_Main[[#This Row],[Cotação Ativo]],Table_Investimentos_Main[[#This Row],[Quantidade]])</f>
        <v>4743.13</v>
      </c>
    </row>
    <row r="148" spans="2:11" x14ac:dyDescent="0.2">
      <c r="B148" s="67">
        <v>45870</v>
      </c>
      <c r="C148" t="s">
        <v>62</v>
      </c>
      <c r="E148" s="3" t="s">
        <v>27</v>
      </c>
      <c r="F148" s="3"/>
      <c r="G148" s="10">
        <v>1713.72</v>
      </c>
      <c r="H148" s="18" t="str" cm="1">
        <f t="array" ref="H148">_xlfn.XLOOKUP(Table_Investimentos_Main[[#This Row],[Data]]&amp;Table_Investimentos_Main[[#This Row],[Ticker]],Table_Cotacoes[Data]&amp;Table_Cotacoes[Ticker],Table_Cotacoes[Valor],"")</f>
        <v/>
      </c>
      <c r="I148" s="5" t="str">
        <f>IF(Table_Investimentos_Main[[#This Row],[Ticker]]&lt;&gt;"",_xlfn.XLOOKUP(Table_Investimentos_Main[[#This Row],[Ticker]],Table_Cotacoes[Ticker],Table_Cotacoes[Moeda Base],""),"BRL")</f>
        <v>BRL</v>
      </c>
      <c r="J148" s="11" cm="1">
        <f t="array" ref="J148">_xlfn.SINGLE(_xlfn.XLOOKUP(Table_Investimentos_Main[[#This Row],[Data]]&amp;"USD",Table_Cotacoes[Data]&amp;Table_Cotacoes[Ticker],Table_Cotacoes[Valor],""))</f>
        <v>5.51</v>
      </c>
      <c r="K148" s="18">
        <f>IF(Table_Investimentos_Main[[#This Row],[Ticker]]&lt;&gt;"",Table_Investimentos_Main[[#This Row],[Quantidade]]*Table_Investimentos_Main[[#This Row],[Cotação Ativo]],Table_Investimentos_Main[[#This Row],[Quantidade]])</f>
        <v>1713.72</v>
      </c>
    </row>
    <row r="149" spans="2:11" x14ac:dyDescent="0.2">
      <c r="B149" s="67">
        <v>45870</v>
      </c>
      <c r="C149" t="s">
        <v>63</v>
      </c>
      <c r="E149" s="3" t="s">
        <v>27</v>
      </c>
      <c r="F149" s="3"/>
      <c r="G149" s="10">
        <v>825.81</v>
      </c>
      <c r="H149" s="18" t="str" cm="1">
        <f t="array" ref="H149">_xlfn.XLOOKUP(Table_Investimentos_Main[[#This Row],[Data]]&amp;Table_Investimentos_Main[[#This Row],[Ticker]],Table_Cotacoes[Data]&amp;Table_Cotacoes[Ticker],Table_Cotacoes[Valor],"")</f>
        <v/>
      </c>
      <c r="I149" s="5" t="str">
        <f>IF(Table_Investimentos_Main[[#This Row],[Ticker]]&lt;&gt;"",_xlfn.XLOOKUP(Table_Investimentos_Main[[#This Row],[Ticker]],Table_Cotacoes[Ticker],Table_Cotacoes[Moeda Base],""),"BRL")</f>
        <v>BRL</v>
      </c>
      <c r="J149" s="11" cm="1">
        <f t="array" ref="J149">_xlfn.SINGLE(_xlfn.XLOOKUP(Table_Investimentos_Main[[#This Row],[Data]]&amp;"USD",Table_Cotacoes[Data]&amp;Table_Cotacoes[Ticker],Table_Cotacoes[Valor],""))</f>
        <v>5.51</v>
      </c>
      <c r="K149" s="18">
        <f>IF(Table_Investimentos_Main[[#This Row],[Ticker]]&lt;&gt;"",Table_Investimentos_Main[[#This Row],[Quantidade]]*Table_Investimentos_Main[[#This Row],[Cotação Ativo]],Table_Investimentos_Main[[#This Row],[Quantidade]])</f>
        <v>825.81</v>
      </c>
    </row>
    <row r="150" spans="2:11" x14ac:dyDescent="0.2">
      <c r="B150" s="67">
        <v>45870</v>
      </c>
      <c r="C150" t="s">
        <v>64</v>
      </c>
      <c r="D150" t="s">
        <v>24</v>
      </c>
      <c r="E150" s="3" t="s">
        <v>27</v>
      </c>
      <c r="F150" s="3"/>
      <c r="G150" s="10">
        <v>1010.19</v>
      </c>
      <c r="H150" s="18" cm="1">
        <f t="array" ref="H150">_xlfn.XLOOKUP(Table_Investimentos_Main[[#This Row],[Data]]&amp;Table_Investimentos_Main[[#This Row],[Ticker]],Table_Cotacoes[Data]&amp;Table_Cotacoes[Ticker],Table_Cotacoes[Valor],"")</f>
        <v>5.51</v>
      </c>
      <c r="I150" s="5" t="str">
        <f>IF(Table_Investimentos_Main[[#This Row],[Ticker]]&lt;&gt;"",_xlfn.XLOOKUP(Table_Investimentos_Main[[#This Row],[Ticker]],Table_Cotacoes[Ticker],Table_Cotacoes[Moeda Base],""),"BRL")</f>
        <v>USD</v>
      </c>
      <c r="J150" s="11" cm="1">
        <f t="array" ref="J150">_xlfn.SINGLE(_xlfn.XLOOKUP(Table_Investimentos_Main[[#This Row],[Data]]&amp;"USD",Table_Cotacoes[Data]&amp;Table_Cotacoes[Ticker],Table_Cotacoes[Valor],""))</f>
        <v>5.51</v>
      </c>
      <c r="K150" s="18">
        <f>IF(Table_Investimentos_Main[[#This Row],[Ticker]]&lt;&gt;"",Table_Investimentos_Main[[#This Row],[Quantidade]]*Table_Investimentos_Main[[#This Row],[Cotação Ativo]],Table_Investimentos_Main[[#This Row],[Quantidade]])</f>
        <v>5566.1468999999997</v>
      </c>
    </row>
    <row r="151" spans="2:11" x14ac:dyDescent="0.2">
      <c r="B151" s="67">
        <v>45870</v>
      </c>
      <c r="C151" t="s">
        <v>65</v>
      </c>
      <c r="E151" s="3" t="s">
        <v>27</v>
      </c>
      <c r="F151" s="3"/>
      <c r="G151" s="10">
        <v>2503.8200000000002</v>
      </c>
      <c r="H151" s="18" t="str" cm="1">
        <f t="array" ref="H151">_xlfn.XLOOKUP(Table_Investimentos_Main[[#This Row],[Data]]&amp;Table_Investimentos_Main[[#This Row],[Ticker]],Table_Cotacoes[Data]&amp;Table_Cotacoes[Ticker],Table_Cotacoes[Valor],"")</f>
        <v/>
      </c>
      <c r="I151" s="5" t="str">
        <f>IF(Table_Investimentos_Main[[#This Row],[Ticker]]&lt;&gt;"",_xlfn.XLOOKUP(Table_Investimentos_Main[[#This Row],[Ticker]],Table_Cotacoes[Ticker],Table_Cotacoes[Moeda Base],""),"BRL")</f>
        <v>BRL</v>
      </c>
      <c r="J151" s="11" cm="1">
        <f t="array" ref="J151">_xlfn.SINGLE(_xlfn.XLOOKUP(Table_Investimentos_Main[[#This Row],[Data]]&amp;"USD",Table_Cotacoes[Data]&amp;Table_Cotacoes[Ticker],Table_Cotacoes[Valor],""))</f>
        <v>5.51</v>
      </c>
      <c r="K151" s="18">
        <f>IF(Table_Investimentos_Main[[#This Row],[Ticker]]&lt;&gt;"",Table_Investimentos_Main[[#This Row],[Quantidade]]*Table_Investimentos_Main[[#This Row],[Cotação Ativo]],Table_Investimentos_Main[[#This Row],[Quantidade]])</f>
        <v>2503.8200000000002</v>
      </c>
    </row>
    <row r="152" spans="2:11" x14ac:dyDescent="0.2">
      <c r="B152" s="67">
        <v>45870</v>
      </c>
      <c r="C152" t="s">
        <v>55</v>
      </c>
      <c r="D152" t="s">
        <v>24</v>
      </c>
      <c r="E152" s="3" t="s">
        <v>27</v>
      </c>
      <c r="F152" s="3"/>
      <c r="G152" s="10">
        <v>508.9</v>
      </c>
      <c r="H152" s="18" cm="1">
        <f t="array" ref="H152">_xlfn.XLOOKUP(Table_Investimentos_Main[[#This Row],[Data]]&amp;Table_Investimentos_Main[[#This Row],[Ticker]],Table_Cotacoes[Data]&amp;Table_Cotacoes[Ticker],Table_Cotacoes[Valor],"")</f>
        <v>5.51</v>
      </c>
      <c r="I152" s="5" t="str">
        <f>IF(Table_Investimentos_Main[[#This Row],[Ticker]]&lt;&gt;"",_xlfn.XLOOKUP(Table_Investimentos_Main[[#This Row],[Ticker]],Table_Cotacoes[Ticker],Table_Cotacoes[Moeda Base],""),"BRL")</f>
        <v>USD</v>
      </c>
      <c r="J152" s="11" cm="1">
        <f t="array" ref="J152">_xlfn.SINGLE(_xlfn.XLOOKUP(Table_Investimentos_Main[[#This Row],[Data]]&amp;"USD",Table_Cotacoes[Data]&amp;Table_Cotacoes[Ticker],Table_Cotacoes[Valor],""))</f>
        <v>5.51</v>
      </c>
      <c r="K152" s="18">
        <f>IF(Table_Investimentos_Main[[#This Row],[Ticker]]&lt;&gt;"",Table_Investimentos_Main[[#This Row],[Quantidade]]*Table_Investimentos_Main[[#This Row],[Cotação Ativo]],Table_Investimentos_Main[[#This Row],[Quantidade]])</f>
        <v>2804.0389999999998</v>
      </c>
    </row>
    <row r="153" spans="2:11" x14ac:dyDescent="0.2">
      <c r="B153" s="67">
        <v>45870</v>
      </c>
      <c r="C153" t="s">
        <v>51</v>
      </c>
      <c r="D153" t="s">
        <v>24</v>
      </c>
      <c r="E153" s="3" t="s">
        <v>27</v>
      </c>
      <c r="F153" s="3"/>
      <c r="G153" s="10">
        <v>1018.2</v>
      </c>
      <c r="H153" s="18" cm="1">
        <f t="array" ref="H153">_xlfn.XLOOKUP(Table_Investimentos_Main[[#This Row],[Data]]&amp;Table_Investimentos_Main[[#This Row],[Ticker]],Table_Cotacoes[Data]&amp;Table_Cotacoes[Ticker],Table_Cotacoes[Valor],"")</f>
        <v>5.51</v>
      </c>
      <c r="I153" s="5" t="str">
        <f>IF(Table_Investimentos_Main[[#This Row],[Ticker]]&lt;&gt;"",_xlfn.XLOOKUP(Table_Investimentos_Main[[#This Row],[Ticker]],Table_Cotacoes[Ticker],Table_Cotacoes[Moeda Base],""),"BRL")</f>
        <v>USD</v>
      </c>
      <c r="J153" s="11" cm="1">
        <f t="array" ref="J153">_xlfn.SINGLE(_xlfn.XLOOKUP(Table_Investimentos_Main[[#This Row],[Data]]&amp;"USD",Table_Cotacoes[Data]&amp;Table_Cotacoes[Ticker],Table_Cotacoes[Valor],""))</f>
        <v>5.51</v>
      </c>
      <c r="K153" s="18">
        <f>IF(Table_Investimentos_Main[[#This Row],[Ticker]]&lt;&gt;"",Table_Investimentos_Main[[#This Row],[Quantidade]]*Table_Investimentos_Main[[#This Row],[Cotação Ativo]],Table_Investimentos_Main[[#This Row],[Quantidade]])</f>
        <v>5610.2820000000002</v>
      </c>
    </row>
    <row r="154" spans="2:11" x14ac:dyDescent="0.2">
      <c r="B154" s="67">
        <v>45870</v>
      </c>
      <c r="C154" t="s">
        <v>54</v>
      </c>
      <c r="D154" t="s">
        <v>24</v>
      </c>
      <c r="E154" s="3" t="s">
        <v>27</v>
      </c>
      <c r="F154" s="3"/>
      <c r="G154" s="10">
        <v>521.24</v>
      </c>
      <c r="H154" s="18" cm="1">
        <f t="array" ref="H154">_xlfn.XLOOKUP(Table_Investimentos_Main[[#This Row],[Data]]&amp;Table_Investimentos_Main[[#This Row],[Ticker]],Table_Cotacoes[Data]&amp;Table_Cotacoes[Ticker],Table_Cotacoes[Valor],"")</f>
        <v>5.51</v>
      </c>
      <c r="I154" s="5" t="str">
        <f>IF(Table_Investimentos_Main[[#This Row],[Ticker]]&lt;&gt;"",_xlfn.XLOOKUP(Table_Investimentos_Main[[#This Row],[Ticker]],Table_Cotacoes[Ticker],Table_Cotacoes[Moeda Base],""),"BRL")</f>
        <v>USD</v>
      </c>
      <c r="J154" s="11" cm="1">
        <f t="array" ref="J154">_xlfn.SINGLE(_xlfn.XLOOKUP(Table_Investimentos_Main[[#This Row],[Data]]&amp;"USD",Table_Cotacoes[Data]&amp;Table_Cotacoes[Ticker],Table_Cotacoes[Valor],""))</f>
        <v>5.51</v>
      </c>
      <c r="K154" s="18">
        <f>IF(Table_Investimentos_Main[[#This Row],[Ticker]]&lt;&gt;"",Table_Investimentos_Main[[#This Row],[Quantidade]]*Table_Investimentos_Main[[#This Row],[Cotação Ativo]],Table_Investimentos_Main[[#This Row],[Quantidade]])</f>
        <v>2872.0324000000001</v>
      </c>
    </row>
    <row r="155" spans="2:11" x14ac:dyDescent="0.2">
      <c r="B155" s="67">
        <v>45870</v>
      </c>
      <c r="C155" t="s">
        <v>42</v>
      </c>
      <c r="D155" t="s">
        <v>14</v>
      </c>
      <c r="E155" s="3" t="s">
        <v>22</v>
      </c>
      <c r="F155" s="3"/>
      <c r="G155" s="10">
        <v>6.7256199999999999E-3</v>
      </c>
      <c r="H155" s="18" cm="1">
        <f t="array" ref="H155">_xlfn.XLOOKUP(Table_Investimentos_Main[[#This Row],[Data]]&amp;Table_Investimentos_Main[[#This Row],[Ticker]],Table_Cotacoes[Data]&amp;Table_Cotacoes[Ticker],Table_Cotacoes[Valor],"")</f>
        <v>623259</v>
      </c>
      <c r="I155" s="5" t="str">
        <f>IF(Table_Investimentos_Main[[#This Row],[Ticker]]&lt;&gt;"",_xlfn.XLOOKUP(Table_Investimentos_Main[[#This Row],[Ticker]],Table_Cotacoes[Ticker],Table_Cotacoes[Moeda Base],""),"BRL")</f>
        <v>BTC</v>
      </c>
      <c r="J155" s="11" cm="1">
        <f t="array" ref="J155">_xlfn.SINGLE(_xlfn.XLOOKUP(Table_Investimentos_Main[[#This Row],[Data]]&amp;"USD",Table_Cotacoes[Data]&amp;Table_Cotacoes[Ticker],Table_Cotacoes[Valor],""))</f>
        <v>5.51</v>
      </c>
      <c r="K155" s="18">
        <f>IF(Table_Investimentos_Main[[#This Row],[Ticker]]&lt;&gt;"",Table_Investimentos_Main[[#This Row],[Quantidade]]*Table_Investimentos_Main[[#This Row],[Cotação Ativo]],Table_Investimentos_Main[[#This Row],[Quantidade]])</f>
        <v>4191.8031955799997</v>
      </c>
    </row>
    <row r="156" spans="2:11" x14ac:dyDescent="0.2">
      <c r="B156" s="67">
        <v>45870</v>
      </c>
      <c r="C156" t="s">
        <v>49</v>
      </c>
      <c r="D156" t="s">
        <v>57</v>
      </c>
      <c r="E156" s="3" t="s">
        <v>22</v>
      </c>
      <c r="F156" s="3"/>
      <c r="G156" s="10">
        <v>5.5285490399999997</v>
      </c>
      <c r="H156" s="18" cm="1">
        <f t="array" ref="H156">_xlfn.XLOOKUP(Table_Investimentos_Main[[#This Row],[Data]]&amp;Table_Investimentos_Main[[#This Row],[Ticker]],Table_Cotacoes[Data]&amp;Table_Cotacoes[Ticker],Table_Cotacoes[Valor],"")</f>
        <v>901</v>
      </c>
      <c r="I156" s="5" t="str">
        <f>IF(Table_Investimentos_Main[[#This Row],[Ticker]]&lt;&gt;"",_xlfn.XLOOKUP(Table_Investimentos_Main[[#This Row],[Ticker]],Table_Cotacoes[Ticker],Table_Cotacoes[Moeda Base],""),"BRL")</f>
        <v>USD</v>
      </c>
      <c r="J156" s="11" cm="1">
        <f t="array" ref="J156">_xlfn.SINGLE(_xlfn.XLOOKUP(Table_Investimentos_Main[[#This Row],[Data]]&amp;"USD",Table_Cotacoes[Data]&amp;Table_Cotacoes[Ticker],Table_Cotacoes[Valor],""))</f>
        <v>5.51</v>
      </c>
      <c r="K156" s="18">
        <f>IF(Table_Investimentos_Main[[#This Row],[Ticker]]&lt;&gt;"",Table_Investimentos_Main[[#This Row],[Quantidade]]*Table_Investimentos_Main[[#This Row],[Cotação Ativo]],Table_Investimentos_Main[[#This Row],[Quantidade]])</f>
        <v>4981.2226850399993</v>
      </c>
    </row>
    <row r="157" spans="2:11" x14ac:dyDescent="0.2">
      <c r="B157" s="67">
        <v>45870</v>
      </c>
      <c r="C157" t="s">
        <v>41</v>
      </c>
      <c r="D157" t="s">
        <v>14</v>
      </c>
      <c r="E157" s="3" t="s">
        <v>12</v>
      </c>
      <c r="F157" s="3"/>
      <c r="G157" s="10">
        <v>0.27932595999999998</v>
      </c>
      <c r="H157" s="18" cm="1">
        <f t="array" ref="H157">_xlfn.XLOOKUP(Table_Investimentos_Main[[#This Row],[Data]]&amp;Table_Investimentos_Main[[#This Row],[Ticker]],Table_Cotacoes[Data]&amp;Table_Cotacoes[Ticker],Table_Cotacoes[Valor],"")</f>
        <v>623259</v>
      </c>
      <c r="I157" s="5" t="str">
        <f>IF(Table_Investimentos_Main[[#This Row],[Ticker]]&lt;&gt;"",_xlfn.XLOOKUP(Table_Investimentos_Main[[#This Row],[Ticker]],Table_Cotacoes[Ticker],Table_Cotacoes[Moeda Base],""),"BRL")</f>
        <v>BTC</v>
      </c>
      <c r="J157" s="11" cm="1">
        <f t="array" ref="J157">_xlfn.SINGLE(_xlfn.XLOOKUP(Table_Investimentos_Main[[#This Row],[Data]]&amp;"USD",Table_Cotacoes[Data]&amp;Table_Cotacoes[Ticker],Table_Cotacoes[Valor],""))</f>
        <v>5.51</v>
      </c>
      <c r="K157" s="18">
        <f>IF(Table_Investimentos_Main[[#This Row],[Ticker]]&lt;&gt;"",Table_Investimentos_Main[[#This Row],[Quantidade]]*Table_Investimentos_Main[[#This Row],[Cotação Ativo]],Table_Investimentos_Main[[#This Row],[Quantidade]])</f>
        <v>174092.41850363999</v>
      </c>
    </row>
    <row r="158" spans="2:11" x14ac:dyDescent="0.2">
      <c r="B158" s="67">
        <v>45901</v>
      </c>
      <c r="C158" t="s">
        <v>58</v>
      </c>
      <c r="E158" s="3" t="s">
        <v>27</v>
      </c>
      <c r="F158" s="3"/>
      <c r="G158" s="10">
        <v>8993.9699999999993</v>
      </c>
      <c r="H158" s="18" t="str" cm="1">
        <f t="array" ref="H158">_xlfn.XLOOKUP(Table_Investimentos_Main[[#This Row],[Data]]&amp;Table_Investimentos_Main[[#This Row],[Ticker]],Table_Cotacoes[Data]&amp;Table_Cotacoes[Ticker],Table_Cotacoes[Valor],"")</f>
        <v/>
      </c>
      <c r="I158" s="5" t="str">
        <f>IF(Table_Investimentos_Main[[#This Row],[Ticker]]&lt;&gt;"",_xlfn.XLOOKUP(Table_Investimentos_Main[[#This Row],[Ticker]],Table_Cotacoes[Ticker],Table_Cotacoes[Moeda Base],""),"BRL")</f>
        <v>BRL</v>
      </c>
      <c r="J158" s="11" cm="1">
        <f t="array" ref="J158">_xlfn.SINGLE(_xlfn.XLOOKUP(Table_Investimentos_Main[[#This Row],[Data]]&amp;"USD",Table_Cotacoes[Data]&amp;Table_Cotacoes[Ticker],Table_Cotacoes[Valor],""))</f>
        <v>5.41</v>
      </c>
      <c r="K158" s="18">
        <f>IF(Table_Investimentos_Main[[#This Row],[Ticker]]&lt;&gt;"",Table_Investimentos_Main[[#This Row],[Quantidade]]*Table_Investimentos_Main[[#This Row],[Cotação Ativo]],Table_Investimentos_Main[[#This Row],[Quantidade]])</f>
        <v>8993.9699999999993</v>
      </c>
    </row>
    <row r="159" spans="2:11" x14ac:dyDescent="0.2">
      <c r="B159" s="67">
        <v>45901</v>
      </c>
      <c r="C159" t="s">
        <v>61</v>
      </c>
      <c r="E159" s="3" t="s">
        <v>27</v>
      </c>
      <c r="F159" s="3"/>
      <c r="G159" s="10">
        <v>4811.0600000000004</v>
      </c>
      <c r="H159" s="18" t="str" cm="1">
        <f t="array" ref="H159">_xlfn.XLOOKUP(Table_Investimentos_Main[[#This Row],[Data]]&amp;Table_Investimentos_Main[[#This Row],[Ticker]],Table_Cotacoes[Data]&amp;Table_Cotacoes[Ticker],Table_Cotacoes[Valor],"")</f>
        <v/>
      </c>
      <c r="I159" s="5" t="str">
        <f>IF(Table_Investimentos_Main[[#This Row],[Ticker]]&lt;&gt;"",_xlfn.XLOOKUP(Table_Investimentos_Main[[#This Row],[Ticker]],Table_Cotacoes[Ticker],Table_Cotacoes[Moeda Base],""),"BRL")</f>
        <v>BRL</v>
      </c>
      <c r="J159" s="11" cm="1">
        <f t="array" ref="J159">_xlfn.SINGLE(_xlfn.XLOOKUP(Table_Investimentos_Main[[#This Row],[Data]]&amp;"USD",Table_Cotacoes[Data]&amp;Table_Cotacoes[Ticker],Table_Cotacoes[Valor],""))</f>
        <v>5.41</v>
      </c>
      <c r="K159" s="18">
        <f>IF(Table_Investimentos_Main[[#This Row],[Ticker]]&lt;&gt;"",Table_Investimentos_Main[[#This Row],[Quantidade]]*Table_Investimentos_Main[[#This Row],[Cotação Ativo]],Table_Investimentos_Main[[#This Row],[Quantidade]])</f>
        <v>4811.0600000000004</v>
      </c>
    </row>
    <row r="160" spans="2:11" x14ac:dyDescent="0.2">
      <c r="B160" s="67">
        <v>45901</v>
      </c>
      <c r="C160" t="s">
        <v>67</v>
      </c>
      <c r="D160" t="s">
        <v>24</v>
      </c>
      <c r="E160" s="3" t="s">
        <v>27</v>
      </c>
      <c r="F160" s="3"/>
      <c r="G160" s="10">
        <v>536.6</v>
      </c>
      <c r="H160" s="18" cm="1">
        <f t="array" ref="H160">_xlfn.XLOOKUP(Table_Investimentos_Main[[#This Row],[Data]]&amp;Table_Investimentos_Main[[#This Row],[Ticker]],Table_Cotacoes[Data]&amp;Table_Cotacoes[Ticker],Table_Cotacoes[Valor],"")</f>
        <v>5.41</v>
      </c>
      <c r="I160" s="5" t="str">
        <f>IF(Table_Investimentos_Main[[#This Row],[Ticker]]&lt;&gt;"",_xlfn.XLOOKUP(Table_Investimentos_Main[[#This Row],[Ticker]],Table_Cotacoes[Ticker],Table_Cotacoes[Moeda Base],""),"BRL")</f>
        <v>USD</v>
      </c>
      <c r="J160" s="11" cm="1">
        <f t="array" ref="J160">_xlfn.SINGLE(_xlfn.XLOOKUP(Table_Investimentos_Main[[#This Row],[Data]]&amp;"USD",Table_Cotacoes[Data]&amp;Table_Cotacoes[Ticker],Table_Cotacoes[Valor],""))</f>
        <v>5.41</v>
      </c>
      <c r="K160" s="18">
        <f>IF(Table_Investimentos_Main[[#This Row],[Ticker]]&lt;&gt;"",Table_Investimentos_Main[[#This Row],[Quantidade]]*Table_Investimentos_Main[[#This Row],[Cotação Ativo]],Table_Investimentos_Main[[#This Row],[Quantidade]])</f>
        <v>2903.0060000000003</v>
      </c>
    </row>
    <row r="161" spans="2:11" x14ac:dyDescent="0.2">
      <c r="B161" s="67">
        <v>45901</v>
      </c>
      <c r="C161" t="s">
        <v>21</v>
      </c>
      <c r="D161" t="s">
        <v>24</v>
      </c>
      <c r="E161" s="3" t="s">
        <v>22</v>
      </c>
      <c r="F161" s="3"/>
      <c r="G161" s="10">
        <v>101.45</v>
      </c>
      <c r="H161" s="18" cm="1">
        <f t="array" ref="H161">_xlfn.XLOOKUP(Table_Investimentos_Main[[#This Row],[Data]]&amp;Table_Investimentos_Main[[#This Row],[Ticker]],Table_Cotacoes[Data]&amp;Table_Cotacoes[Ticker],Table_Cotacoes[Valor],"")</f>
        <v>5.41</v>
      </c>
      <c r="I161" s="5" t="str">
        <f>IF(Table_Investimentos_Main[[#This Row],[Ticker]]&lt;&gt;"",_xlfn.XLOOKUP(Table_Investimentos_Main[[#This Row],[Ticker]],Table_Cotacoes[Ticker],Table_Cotacoes[Moeda Base],""),"BRL")</f>
        <v>USD</v>
      </c>
      <c r="J161" s="11" cm="1">
        <f t="array" ref="J161">_xlfn.SINGLE(_xlfn.XLOOKUP(Table_Investimentos_Main[[#This Row],[Data]]&amp;"USD",Table_Cotacoes[Data]&amp;Table_Cotacoes[Ticker],Table_Cotacoes[Valor],""))</f>
        <v>5.41</v>
      </c>
      <c r="K161" s="18">
        <f>IF(Table_Investimentos_Main[[#This Row],[Ticker]]&lt;&gt;"",Table_Investimentos_Main[[#This Row],[Quantidade]]*Table_Investimentos_Main[[#This Row],[Cotação Ativo]],Table_Investimentos_Main[[#This Row],[Quantidade]])</f>
        <v>548.84450000000004</v>
      </c>
    </row>
    <row r="162" spans="2:11" x14ac:dyDescent="0.2">
      <c r="B162" s="67">
        <v>45901</v>
      </c>
      <c r="C162" t="s">
        <v>44</v>
      </c>
      <c r="D162" t="s">
        <v>24</v>
      </c>
      <c r="E162" s="3" t="s">
        <v>22</v>
      </c>
      <c r="F162" s="3"/>
      <c r="G162" s="10">
        <v>101.11</v>
      </c>
      <c r="H162" s="18" cm="1">
        <f t="array" ref="H162">_xlfn.XLOOKUP(Table_Investimentos_Main[[#This Row],[Data]]&amp;Table_Investimentos_Main[[#This Row],[Ticker]],Table_Cotacoes[Data]&amp;Table_Cotacoes[Ticker],Table_Cotacoes[Valor],"")</f>
        <v>5.41</v>
      </c>
      <c r="I162" s="5" t="str">
        <f>IF(Table_Investimentos_Main[[#This Row],[Ticker]]&lt;&gt;"",_xlfn.XLOOKUP(Table_Investimentos_Main[[#This Row],[Ticker]],Table_Cotacoes[Ticker],Table_Cotacoes[Moeda Base],""),"BRL")</f>
        <v>USD</v>
      </c>
      <c r="J162" s="11" cm="1">
        <f t="array" ref="J162">_xlfn.SINGLE(_xlfn.XLOOKUP(Table_Investimentos_Main[[#This Row],[Data]]&amp;"USD",Table_Cotacoes[Data]&amp;Table_Cotacoes[Ticker],Table_Cotacoes[Valor],""))</f>
        <v>5.41</v>
      </c>
      <c r="K162" s="18">
        <f>IF(Table_Investimentos_Main[[#This Row],[Ticker]]&lt;&gt;"",Table_Investimentos_Main[[#This Row],[Quantidade]]*Table_Investimentos_Main[[#This Row],[Cotação Ativo]],Table_Investimentos_Main[[#This Row],[Quantidade]])</f>
        <v>547.00509999999997</v>
      </c>
    </row>
    <row r="163" spans="2:11" x14ac:dyDescent="0.2">
      <c r="B163" s="67">
        <v>45901</v>
      </c>
      <c r="C163" t="s">
        <v>44</v>
      </c>
      <c r="D163" t="s">
        <v>24</v>
      </c>
      <c r="E163" s="3" t="s">
        <v>66</v>
      </c>
      <c r="F163" s="3"/>
      <c r="G163" s="10">
        <v>1664.37</v>
      </c>
      <c r="H163" s="18" cm="1">
        <f t="array" ref="H163">_xlfn.XLOOKUP(Table_Investimentos_Main[[#This Row],[Data]]&amp;Table_Investimentos_Main[[#This Row],[Ticker]],Table_Cotacoes[Data]&amp;Table_Cotacoes[Ticker],Table_Cotacoes[Valor],"")</f>
        <v>5.41</v>
      </c>
      <c r="I163" s="5" t="str">
        <f>IF(Table_Investimentos_Main[[#This Row],[Ticker]]&lt;&gt;"",_xlfn.XLOOKUP(Table_Investimentos_Main[[#This Row],[Ticker]],Table_Cotacoes[Ticker],Table_Cotacoes[Moeda Base],""),"BRL")</f>
        <v>USD</v>
      </c>
      <c r="J163" s="11" cm="1">
        <f t="array" ref="J163">_xlfn.SINGLE(_xlfn.XLOOKUP(Table_Investimentos_Main[[#This Row],[Data]]&amp;"USD",Table_Cotacoes[Data]&amp;Table_Cotacoes[Ticker],Table_Cotacoes[Valor],""))</f>
        <v>5.41</v>
      </c>
      <c r="K163" s="18">
        <f>IF(Table_Investimentos_Main[[#This Row],[Ticker]]&lt;&gt;"",Table_Investimentos_Main[[#This Row],[Quantidade]]*Table_Investimentos_Main[[#This Row],[Cotação Ativo]],Table_Investimentos_Main[[#This Row],[Quantidade]])</f>
        <v>9004.2417000000005</v>
      </c>
    </row>
    <row r="164" spans="2:11" x14ac:dyDescent="0.2">
      <c r="B164" s="67">
        <v>45901</v>
      </c>
      <c r="C164" t="s">
        <v>44</v>
      </c>
      <c r="D164" t="s">
        <v>24</v>
      </c>
      <c r="E164" s="3" t="s">
        <v>66</v>
      </c>
      <c r="F164" s="3"/>
      <c r="G164" s="10">
        <v>1664.37</v>
      </c>
      <c r="H164" s="18" cm="1">
        <f t="array" ref="H164">_xlfn.XLOOKUP(Table_Investimentos_Main[[#This Row],[Data]]&amp;Table_Investimentos_Main[[#This Row],[Ticker]],Table_Cotacoes[Data]&amp;Table_Cotacoes[Ticker],Table_Cotacoes[Valor],"")</f>
        <v>5.41</v>
      </c>
      <c r="I164" s="5" t="str">
        <f>IF(Table_Investimentos_Main[[#This Row],[Ticker]]&lt;&gt;"",_xlfn.XLOOKUP(Table_Investimentos_Main[[#This Row],[Ticker]],Table_Cotacoes[Ticker],Table_Cotacoes[Moeda Base],""),"BRL")</f>
        <v>USD</v>
      </c>
      <c r="J164" s="11" cm="1">
        <f t="array" ref="J164">_xlfn.SINGLE(_xlfn.XLOOKUP(Table_Investimentos_Main[[#This Row],[Data]]&amp;"USD",Table_Cotacoes[Data]&amp;Table_Cotacoes[Ticker],Table_Cotacoes[Valor],""))</f>
        <v>5.41</v>
      </c>
      <c r="K164" s="18">
        <f>IF(Table_Investimentos_Main[[#This Row],[Ticker]]&lt;&gt;"",Table_Investimentos_Main[[#This Row],[Quantidade]]*Table_Investimentos_Main[[#This Row],[Cotação Ativo]],Table_Investimentos_Main[[#This Row],[Quantidade]])</f>
        <v>9004.2417000000005</v>
      </c>
    </row>
    <row r="165" spans="2:11" x14ac:dyDescent="0.2">
      <c r="B165" s="67">
        <v>45901</v>
      </c>
      <c r="C165" t="s">
        <v>42</v>
      </c>
      <c r="D165" t="s">
        <v>14</v>
      </c>
      <c r="E165" s="3" t="s">
        <v>22</v>
      </c>
      <c r="F165" s="3"/>
      <c r="G165" s="10">
        <v>7.8938099999999994E-3</v>
      </c>
      <c r="H165" s="18" cm="1">
        <f t="array" ref="H165">_xlfn.XLOOKUP(Table_Investimentos_Main[[#This Row],[Data]]&amp;Table_Investimentos_Main[[#This Row],[Ticker]],Table_Cotacoes[Data]&amp;Table_Cotacoes[Ticker],Table_Cotacoes[Valor],"")</f>
        <v>601021.78599999996</v>
      </c>
      <c r="I165" s="5" t="str">
        <f>IF(Table_Investimentos_Main[[#This Row],[Ticker]]&lt;&gt;"",_xlfn.XLOOKUP(Table_Investimentos_Main[[#This Row],[Ticker]],Table_Cotacoes[Ticker],Table_Cotacoes[Moeda Base],""),"BRL")</f>
        <v>BTC</v>
      </c>
      <c r="J165" s="11" cm="1">
        <f t="array" ref="J165">_xlfn.SINGLE(_xlfn.XLOOKUP(Table_Investimentos_Main[[#This Row],[Data]]&amp;"USD",Table_Cotacoes[Data]&amp;Table_Cotacoes[Ticker],Table_Cotacoes[Valor],""))</f>
        <v>5.41</v>
      </c>
      <c r="K165" s="18">
        <f>IF(Table_Investimentos_Main[[#This Row],[Ticker]]&lt;&gt;"",Table_Investimentos_Main[[#This Row],[Quantidade]]*Table_Investimentos_Main[[#This Row],[Cotação Ativo]],Table_Investimentos_Main[[#This Row],[Quantidade]])</f>
        <v>4744.3517845446595</v>
      </c>
    </row>
    <row r="166" spans="2:11" x14ac:dyDescent="0.2">
      <c r="B166" s="67">
        <v>45901</v>
      </c>
      <c r="C166" t="s">
        <v>49</v>
      </c>
      <c r="D166" t="s">
        <v>57</v>
      </c>
      <c r="E166" s="3" t="s">
        <v>22</v>
      </c>
      <c r="F166" s="3"/>
      <c r="G166" s="10">
        <v>5.5493165500000003</v>
      </c>
      <c r="H166" s="18" cm="1">
        <f t="array" ref="H166">_xlfn.XLOOKUP(Table_Investimentos_Main[[#This Row],[Data]]&amp;Table_Investimentos_Main[[#This Row],[Ticker]],Table_Cotacoes[Data]&amp;Table_Cotacoes[Ticker],Table_Cotacoes[Valor],"")</f>
        <v>206.47</v>
      </c>
      <c r="I166" s="5" t="str">
        <f>IF(Table_Investimentos_Main[[#This Row],[Ticker]]&lt;&gt;"",_xlfn.XLOOKUP(Table_Investimentos_Main[[#This Row],[Ticker]],Table_Cotacoes[Ticker],Table_Cotacoes[Moeda Base],""),"BRL")</f>
        <v>USD</v>
      </c>
      <c r="J166" s="11" cm="1">
        <f t="array" ref="J166">_xlfn.SINGLE(_xlfn.XLOOKUP(Table_Investimentos_Main[[#This Row],[Data]]&amp;"USD",Table_Cotacoes[Data]&amp;Table_Cotacoes[Ticker],Table_Cotacoes[Valor],""))</f>
        <v>5.41</v>
      </c>
      <c r="K166" s="18">
        <f>IF(Table_Investimentos_Main[[#This Row],[Ticker]]&lt;&gt;"",Table_Investimentos_Main[[#This Row],[Quantidade]]*Table_Investimentos_Main[[#This Row],[Cotação Ativo]],Table_Investimentos_Main[[#This Row],[Quantidade]])</f>
        <v>1145.7673880785001</v>
      </c>
    </row>
    <row r="167" spans="2:11" x14ac:dyDescent="0.2">
      <c r="B167" s="67">
        <v>45901</v>
      </c>
      <c r="C167" t="s">
        <v>41</v>
      </c>
      <c r="D167" t="s">
        <v>14</v>
      </c>
      <c r="E167" s="3" t="s">
        <v>12</v>
      </c>
      <c r="F167" s="3"/>
      <c r="G167" s="10">
        <v>0.27932595999999998</v>
      </c>
      <c r="H167" s="18" cm="1">
        <f t="array" ref="H167">_xlfn.XLOOKUP(Table_Investimentos_Main[[#This Row],[Data]]&amp;Table_Investimentos_Main[[#This Row],[Ticker]],Table_Cotacoes[Data]&amp;Table_Cotacoes[Ticker],Table_Cotacoes[Valor],"")</f>
        <v>601021.78599999996</v>
      </c>
      <c r="I167" s="5" t="str">
        <f>IF(Table_Investimentos_Main[[#This Row],[Ticker]]&lt;&gt;"",_xlfn.XLOOKUP(Table_Investimentos_Main[[#This Row],[Ticker]],Table_Cotacoes[Ticker],Table_Cotacoes[Moeda Base],""),"BRL")</f>
        <v>BTC</v>
      </c>
      <c r="J167" s="11" cm="1">
        <f t="array" ref="J167">_xlfn.SINGLE(_xlfn.XLOOKUP(Table_Investimentos_Main[[#This Row],[Data]]&amp;"USD",Table_Cotacoes[Data]&amp;Table_Cotacoes[Ticker],Table_Cotacoes[Valor],""))</f>
        <v>5.41</v>
      </c>
      <c r="K167" s="18">
        <f>IF(Table_Investimentos_Main[[#This Row],[Ticker]]&lt;&gt;"",Table_Investimentos_Main[[#This Row],[Quantidade]]*Table_Investimentos_Main[[#This Row],[Cotação Ativo]],Table_Investimentos_Main[[#This Row],[Quantidade]])</f>
        <v>167880.98735536454</v>
      </c>
    </row>
    <row r="168" spans="2:11" x14ac:dyDescent="0.2">
      <c r="B168" s="67">
        <v>45901</v>
      </c>
      <c r="C168" t="s">
        <v>68</v>
      </c>
      <c r="E168" s="3" t="s">
        <v>27</v>
      </c>
      <c r="F168" s="3"/>
      <c r="G168" s="10">
        <v>9081.18</v>
      </c>
      <c r="H168" s="18" t="str" cm="1">
        <f t="array" ref="H168">_xlfn.XLOOKUP(Table_Investimentos_Main[[#This Row],[Data]]&amp;Table_Investimentos_Main[[#This Row],[Ticker]],Table_Cotacoes[Data]&amp;Table_Cotacoes[Ticker],Table_Cotacoes[Valor],"")</f>
        <v/>
      </c>
      <c r="I168" s="5" t="str">
        <f>IF(Table_Investimentos_Main[[#This Row],[Ticker]]&lt;&gt;"",_xlfn.XLOOKUP(Table_Investimentos_Main[[#This Row],[Ticker]],Table_Cotacoes[Ticker],Table_Cotacoes[Moeda Base],""),"BRL")</f>
        <v>BRL</v>
      </c>
      <c r="J168" s="11" cm="1">
        <f t="array" ref="J168">_xlfn.SINGLE(_xlfn.XLOOKUP(Table_Investimentos_Main[[#This Row],[Data]]&amp;"USD",Table_Cotacoes[Data]&amp;Table_Cotacoes[Ticker],Table_Cotacoes[Valor],""))</f>
        <v>5.41</v>
      </c>
      <c r="K168" s="18">
        <f>IF(Table_Investimentos_Main[[#This Row],[Ticker]]&lt;&gt;"",Table_Investimentos_Main[[#This Row],[Quantidade]]*Table_Investimentos_Main[[#This Row],[Cotação Ativo]],Table_Investimentos_Main[[#This Row],[Quantidade]])</f>
        <v>9081.18</v>
      </c>
    </row>
    <row r="169" spans="2:11" x14ac:dyDescent="0.2">
      <c r="B169" s="67">
        <v>45901</v>
      </c>
      <c r="C169" t="s">
        <v>69</v>
      </c>
      <c r="E169" s="3" t="s">
        <v>27</v>
      </c>
      <c r="F169" s="3"/>
      <c r="G169" s="10">
        <v>4425.32</v>
      </c>
      <c r="H169" s="18" t="str" cm="1">
        <f t="array" ref="H169">_xlfn.XLOOKUP(Table_Investimentos_Main[[#This Row],[Data]]&amp;Table_Investimentos_Main[[#This Row],[Ticker]],Table_Cotacoes[Data]&amp;Table_Cotacoes[Ticker],Table_Cotacoes[Valor],"")</f>
        <v/>
      </c>
      <c r="I169" s="5" t="str">
        <f>IF(Table_Investimentos_Main[[#This Row],[Ticker]]&lt;&gt;"",_xlfn.XLOOKUP(Table_Investimentos_Main[[#This Row],[Ticker]],Table_Cotacoes[Ticker],Table_Cotacoes[Moeda Base],""),"BRL")</f>
        <v>BRL</v>
      </c>
      <c r="J169" s="11" cm="1">
        <f t="array" ref="J169">_xlfn.SINGLE(_xlfn.XLOOKUP(Table_Investimentos_Main[[#This Row],[Data]]&amp;"USD",Table_Cotacoes[Data]&amp;Table_Cotacoes[Ticker],Table_Cotacoes[Valor],""))</f>
        <v>5.41</v>
      </c>
      <c r="K169" s="18">
        <f>IF(Table_Investimentos_Main[[#This Row],[Ticker]]&lt;&gt;"",Table_Investimentos_Main[[#This Row],[Quantidade]]*Table_Investimentos_Main[[#This Row],[Cotação Ativo]],Table_Investimentos_Main[[#This Row],[Quantidade]])</f>
        <v>4425.32</v>
      </c>
    </row>
    <row r="170" spans="2:11" x14ac:dyDescent="0.2">
      <c r="B170" s="67">
        <v>45901</v>
      </c>
      <c r="C170" t="s">
        <v>55</v>
      </c>
      <c r="D170" t="s">
        <v>24</v>
      </c>
      <c r="E170" s="3" t="s">
        <v>27</v>
      </c>
      <c r="F170" s="3"/>
      <c r="G170" s="10">
        <v>486.47</v>
      </c>
      <c r="H170" s="18" cm="1">
        <f t="array" ref="H170">_xlfn.XLOOKUP(Table_Investimentos_Main[[#This Row],[Data]]&amp;Table_Investimentos_Main[[#This Row],[Ticker]],Table_Cotacoes[Data]&amp;Table_Cotacoes[Ticker],Table_Cotacoes[Valor],"")</f>
        <v>5.41</v>
      </c>
      <c r="I170" s="5" t="str">
        <f>IF(Table_Investimentos_Main[[#This Row],[Ticker]]&lt;&gt;"",_xlfn.XLOOKUP(Table_Investimentos_Main[[#This Row],[Ticker]],Table_Cotacoes[Ticker],Table_Cotacoes[Moeda Base],""),"BRL")</f>
        <v>USD</v>
      </c>
      <c r="J170" s="11" cm="1">
        <f t="array" ref="J170">_xlfn.SINGLE(_xlfn.XLOOKUP(Table_Investimentos_Main[[#This Row],[Data]]&amp;"USD",Table_Cotacoes[Data]&amp;Table_Cotacoes[Ticker],Table_Cotacoes[Valor],""))</f>
        <v>5.41</v>
      </c>
      <c r="K170" s="18">
        <f>IF(Table_Investimentos_Main[[#This Row],[Ticker]]&lt;&gt;"",Table_Investimentos_Main[[#This Row],[Quantidade]]*Table_Investimentos_Main[[#This Row],[Cotação Ativo]],Table_Investimentos_Main[[#This Row],[Quantidade]])</f>
        <v>2631.8027000000002</v>
      </c>
    </row>
    <row r="171" spans="2:11" x14ac:dyDescent="0.2">
      <c r="B171" s="67">
        <v>45901</v>
      </c>
      <c r="C171" t="s">
        <v>51</v>
      </c>
      <c r="D171" t="s">
        <v>24</v>
      </c>
      <c r="E171" s="3" t="s">
        <v>27</v>
      </c>
      <c r="F171" s="3"/>
      <c r="G171" s="10">
        <v>1036.1500000000001</v>
      </c>
      <c r="H171" s="18" cm="1">
        <f t="array" ref="H171">_xlfn.XLOOKUP(Table_Investimentos_Main[[#This Row],[Data]]&amp;Table_Investimentos_Main[[#This Row],[Ticker]],Table_Cotacoes[Data]&amp;Table_Cotacoes[Ticker],Table_Cotacoes[Valor],"")</f>
        <v>5.41</v>
      </c>
      <c r="I171" s="5" t="str">
        <f>IF(Table_Investimentos_Main[[#This Row],[Ticker]]&lt;&gt;"",_xlfn.XLOOKUP(Table_Investimentos_Main[[#This Row],[Ticker]],Table_Cotacoes[Ticker],Table_Cotacoes[Moeda Base],""),"BRL")</f>
        <v>USD</v>
      </c>
      <c r="J171" s="11" cm="1">
        <f t="array" ref="J171">_xlfn.SINGLE(_xlfn.XLOOKUP(Table_Investimentos_Main[[#This Row],[Data]]&amp;"USD",Table_Cotacoes[Data]&amp;Table_Cotacoes[Ticker],Table_Cotacoes[Valor],""))</f>
        <v>5.41</v>
      </c>
      <c r="K171" s="18">
        <f>IF(Table_Investimentos_Main[[#This Row],[Ticker]]&lt;&gt;"",Table_Investimentos_Main[[#This Row],[Quantidade]]*Table_Investimentos_Main[[#This Row],[Cotação Ativo]],Table_Investimentos_Main[[#This Row],[Quantidade]])</f>
        <v>5605.5715000000009</v>
      </c>
    </row>
    <row r="172" spans="2:11" x14ac:dyDescent="0.2">
      <c r="B172" s="67">
        <v>45901</v>
      </c>
      <c r="C172" t="s">
        <v>70</v>
      </c>
      <c r="D172" t="s">
        <v>24</v>
      </c>
      <c r="E172" s="3" t="s">
        <v>27</v>
      </c>
      <c r="F172" s="3"/>
      <c r="G172" s="10">
        <v>1000</v>
      </c>
      <c r="H172" s="18" cm="1">
        <f t="array" ref="H172">_xlfn.XLOOKUP(Table_Investimentos_Main[[#This Row],[Data]]&amp;Table_Investimentos_Main[[#This Row],[Ticker]],Table_Cotacoes[Data]&amp;Table_Cotacoes[Ticker],Table_Cotacoes[Valor],"")</f>
        <v>5.41</v>
      </c>
      <c r="I172" s="5" t="str">
        <f>IF(Table_Investimentos_Main[[#This Row],[Ticker]]&lt;&gt;"",_xlfn.XLOOKUP(Table_Investimentos_Main[[#This Row],[Ticker]],Table_Cotacoes[Ticker],Table_Cotacoes[Moeda Base],""),"BRL")</f>
        <v>USD</v>
      </c>
      <c r="J172" s="11" cm="1">
        <f t="array" ref="J172">_xlfn.SINGLE(_xlfn.XLOOKUP(Table_Investimentos_Main[[#This Row],[Data]]&amp;"USD",Table_Cotacoes[Data]&amp;Table_Cotacoes[Ticker],Table_Cotacoes[Valor],""))</f>
        <v>5.41</v>
      </c>
      <c r="K172" s="18">
        <f>IF(Table_Investimentos_Main[[#This Row],[Ticker]]&lt;&gt;"",Table_Investimentos_Main[[#This Row],[Quantidade]]*Table_Investimentos_Main[[#This Row],[Cotação Ativo]],Table_Investimentos_Main[[#This Row],[Quantidade]])</f>
        <v>5410</v>
      </c>
    </row>
    <row r="173" spans="2:11" x14ac:dyDescent="0.2">
      <c r="B173" s="67">
        <v>45901</v>
      </c>
      <c r="C173" t="s">
        <v>70</v>
      </c>
      <c r="D173" t="s">
        <v>24</v>
      </c>
      <c r="E173" s="3" t="s">
        <v>27</v>
      </c>
      <c r="F173" s="3"/>
      <c r="G173" s="10">
        <v>1000</v>
      </c>
      <c r="H173" s="18" cm="1">
        <f t="array" ref="H173">_xlfn.XLOOKUP(Table_Investimentos_Main[[#This Row],[Data]]&amp;Table_Investimentos_Main[[#This Row],[Ticker]],Table_Cotacoes[Data]&amp;Table_Cotacoes[Ticker],Table_Cotacoes[Valor],"")</f>
        <v>5.41</v>
      </c>
      <c r="I173" s="5" t="str">
        <f>IF(Table_Investimentos_Main[[#This Row],[Ticker]]&lt;&gt;"",_xlfn.XLOOKUP(Table_Investimentos_Main[[#This Row],[Ticker]],Table_Cotacoes[Ticker],Table_Cotacoes[Moeda Base],""),"BRL")</f>
        <v>USD</v>
      </c>
      <c r="J173" s="11" cm="1">
        <f t="array" ref="J173">_xlfn.SINGLE(_xlfn.XLOOKUP(Table_Investimentos_Main[[#This Row],[Data]]&amp;"USD",Table_Cotacoes[Data]&amp;Table_Cotacoes[Ticker],Table_Cotacoes[Valor],""))</f>
        <v>5.41</v>
      </c>
      <c r="K173" s="18">
        <f>IF(Table_Investimentos_Main[[#This Row],[Ticker]]&lt;&gt;"",Table_Investimentos_Main[[#This Row],[Quantidade]]*Table_Investimentos_Main[[#This Row],[Cotação Ativo]],Table_Investimentos_Main[[#This Row],[Quantidade]])</f>
        <v>5410</v>
      </c>
    </row>
    <row r="174" spans="2:11" x14ac:dyDescent="0.2">
      <c r="B174" s="67">
        <v>45931</v>
      </c>
      <c r="C174" t="s">
        <v>41</v>
      </c>
      <c r="D174" t="s">
        <v>14</v>
      </c>
      <c r="E174" s="3" t="s">
        <v>12</v>
      </c>
      <c r="F174" s="3"/>
      <c r="G174" s="10">
        <v>0.27932595999999998</v>
      </c>
      <c r="H174" s="18" cm="1">
        <f t="array" ref="H174">_xlfn.XLOOKUP(Table_Investimentos_Main[[#This Row],[Data]]&amp;Table_Investimentos_Main[[#This Row],[Ticker]],Table_Cotacoes[Data]&amp;Table_Cotacoes[Ticker],Table_Cotacoes[Valor],"")</f>
        <v>593261</v>
      </c>
      <c r="I174" s="5" t="str">
        <f>IF(Table_Investimentos_Main[[#This Row],[Ticker]]&lt;&gt;"",_xlfn.XLOOKUP(Table_Investimentos_Main[[#This Row],[Ticker]],Table_Cotacoes[Ticker],Table_Cotacoes[Moeda Base],""),"BRL")</f>
        <v>BTC</v>
      </c>
      <c r="J174" s="11" cm="1">
        <f t="array" ref="J174">_xlfn.SINGLE(_xlfn.XLOOKUP(Table_Investimentos_Main[[#This Row],[Data]]&amp;"USD",Table_Cotacoes[Data]&amp;Table_Cotacoes[Ticker],Table_Cotacoes[Valor],""))</f>
        <v>5.3574000000000002</v>
      </c>
      <c r="K174" s="18">
        <f>IF(Table_Investimentos_Main[[#This Row],[Ticker]]&lt;&gt;"",Table_Investimentos_Main[[#This Row],[Quantidade]]*Table_Investimentos_Main[[#This Row],[Cotação Ativo]],Table_Investimentos_Main[[#This Row],[Quantidade]])</f>
        <v>165713.19835555999</v>
      </c>
    </row>
    <row r="175" spans="2:11" x14ac:dyDescent="0.2">
      <c r="B175" s="67">
        <v>45931</v>
      </c>
      <c r="C175" t="s">
        <v>42</v>
      </c>
      <c r="D175" t="s">
        <v>14</v>
      </c>
      <c r="E175" s="3" t="s">
        <v>22</v>
      </c>
      <c r="F175" s="3"/>
      <c r="G175" s="10">
        <v>7.8938099999999994E-3</v>
      </c>
      <c r="H175" s="18" cm="1">
        <f t="array" ref="H175">_xlfn.XLOOKUP(Table_Investimentos_Main[[#This Row],[Data]]&amp;Table_Investimentos_Main[[#This Row],[Ticker]],Table_Cotacoes[Data]&amp;Table_Cotacoes[Ticker],Table_Cotacoes[Valor],"")</f>
        <v>593261</v>
      </c>
      <c r="I175" s="5" t="str">
        <f>IF(Table_Investimentos_Main[[#This Row],[Ticker]]&lt;&gt;"",_xlfn.XLOOKUP(Table_Investimentos_Main[[#This Row],[Ticker]],Table_Cotacoes[Ticker],Table_Cotacoes[Moeda Base],""),"BRL")</f>
        <v>BTC</v>
      </c>
      <c r="J175" s="11" cm="1">
        <f t="array" ref="J175">_xlfn.SINGLE(_xlfn.XLOOKUP(Table_Investimentos_Main[[#This Row],[Data]]&amp;"USD",Table_Cotacoes[Data]&amp;Table_Cotacoes[Ticker],Table_Cotacoes[Valor],""))</f>
        <v>5.3574000000000002</v>
      </c>
      <c r="K175" s="18">
        <f>IF(Table_Investimentos_Main[[#This Row],[Ticker]]&lt;&gt;"",Table_Investimentos_Main[[#This Row],[Quantidade]]*Table_Investimentos_Main[[#This Row],[Cotação Ativo]],Table_Investimentos_Main[[#This Row],[Quantidade]])</f>
        <v>4683.0896144099997</v>
      </c>
    </row>
    <row r="176" spans="2:11" x14ac:dyDescent="0.2">
      <c r="B176" s="67">
        <v>45931</v>
      </c>
      <c r="C176" t="s">
        <v>55</v>
      </c>
      <c r="D176" t="s">
        <v>71</v>
      </c>
      <c r="E176" s="3" t="s">
        <v>27</v>
      </c>
      <c r="F176" s="3"/>
      <c r="G176" s="10">
        <v>6.0953400000000002</v>
      </c>
      <c r="H176" s="18" cm="1">
        <f t="array" ref="H176">_xlfn.XLOOKUP(Table_Investimentos_Main[[#This Row],[Data]]&amp;Table_Investimentos_Main[[#This Row],[Ticker]],Table_Cotacoes[Data]&amp;Table_Cotacoes[Ticker],Table_Cotacoes[Valor],"")</f>
        <v>491.86289399999998</v>
      </c>
      <c r="I176" s="5" t="str">
        <f>IF(Table_Investimentos_Main[[#This Row],[Ticker]]&lt;&gt;"",_xlfn.XLOOKUP(Table_Investimentos_Main[[#This Row],[Ticker]],Table_Cotacoes[Ticker],Table_Cotacoes[Moeda Base],""),"BRL")</f>
        <v>USD</v>
      </c>
      <c r="J176" s="11" cm="1">
        <f t="array" ref="J176">_xlfn.SINGLE(_xlfn.XLOOKUP(Table_Investimentos_Main[[#This Row],[Data]]&amp;"USD",Table_Cotacoes[Data]&amp;Table_Cotacoes[Ticker],Table_Cotacoes[Valor],""))</f>
        <v>5.3574000000000002</v>
      </c>
      <c r="K176" s="18">
        <f>IF(Table_Investimentos_Main[[#This Row],[Ticker]]&lt;&gt;"",Table_Investimentos_Main[[#This Row],[Quantidade]]*Table_Investimentos_Main[[#This Row],[Cotação Ativo]],Table_Investimentos_Main[[#This Row],[Quantidade]])</f>
        <v>2998.0715723139601</v>
      </c>
    </row>
    <row r="177" spans="2:11" x14ac:dyDescent="0.2">
      <c r="B177" s="67">
        <v>45931</v>
      </c>
      <c r="C177" t="s">
        <v>70</v>
      </c>
      <c r="D177" t="s">
        <v>72</v>
      </c>
      <c r="E177" s="3" t="s">
        <v>27</v>
      </c>
      <c r="F177" s="3"/>
      <c r="G177" s="10">
        <v>13.87541817</v>
      </c>
      <c r="H177" s="18" cm="1">
        <f t="array" ref="H177">_xlfn.XLOOKUP(Table_Investimentos_Main[[#This Row],[Data]]&amp;Table_Investimentos_Main[[#This Row],[Ticker]],Table_Cotacoes[Data]&amp;Table_Cotacoes[Ticker],Table_Cotacoes[Valor],"")</f>
        <v>418.35936600000002</v>
      </c>
      <c r="I177" s="5" t="str">
        <f>IF(Table_Investimentos_Main[[#This Row],[Ticker]]&lt;&gt;"",_xlfn.XLOOKUP(Table_Investimentos_Main[[#This Row],[Ticker]],Table_Cotacoes[Ticker],Table_Cotacoes[Moeda Base],""),"BRL")</f>
        <v>USD</v>
      </c>
      <c r="J177" s="11" cm="1">
        <f t="array" ref="J177">_xlfn.SINGLE(_xlfn.XLOOKUP(Table_Investimentos_Main[[#This Row],[Data]]&amp;"USD",Table_Cotacoes[Data]&amp;Table_Cotacoes[Ticker],Table_Cotacoes[Valor],""))</f>
        <v>5.3574000000000002</v>
      </c>
      <c r="K177" s="18">
        <f>IF(Table_Investimentos_Main[[#This Row],[Ticker]]&lt;&gt;"",Table_Investimentos_Main[[#This Row],[Quantidade]]*Table_Investimentos_Main[[#This Row],[Cotação Ativo]],Table_Investimentos_Main[[#This Row],[Quantidade]])</f>
        <v>5804.9111485860803</v>
      </c>
    </row>
    <row r="178" spans="2:11" x14ac:dyDescent="0.2">
      <c r="B178" s="67">
        <v>45931</v>
      </c>
      <c r="C178" t="s">
        <v>51</v>
      </c>
      <c r="D178" t="s">
        <v>73</v>
      </c>
      <c r="E178" s="3" t="s">
        <v>27</v>
      </c>
      <c r="F178" s="3"/>
      <c r="G178" s="10">
        <v>1.7415499999999999</v>
      </c>
      <c r="H178" s="18" cm="1">
        <f t="array" ref="H178">_xlfn.XLOOKUP(Table_Investimentos_Main[[#This Row],[Data]]&amp;Table_Investimentos_Main[[#This Row],[Ticker]],Table_Cotacoes[Data]&amp;Table_Cotacoes[Ticker],Table_Cotacoes[Valor],"")</f>
        <v>3385.6089299999999</v>
      </c>
      <c r="I178" s="5" t="str">
        <f>IF(Table_Investimentos_Main[[#This Row],[Ticker]]&lt;&gt;"",_xlfn.XLOOKUP(Table_Investimentos_Main[[#This Row],[Ticker]],Table_Cotacoes[Ticker],Table_Cotacoes[Moeda Base],""),"BRL")</f>
        <v>USD</v>
      </c>
      <c r="J178" s="11" cm="1">
        <f t="array" ref="J178">_xlfn.SINGLE(_xlfn.XLOOKUP(Table_Investimentos_Main[[#This Row],[Data]]&amp;"USD",Table_Cotacoes[Data]&amp;Table_Cotacoes[Ticker],Table_Cotacoes[Valor],""))</f>
        <v>5.3574000000000002</v>
      </c>
      <c r="K178" s="18">
        <f>IF(Table_Investimentos_Main[[#This Row],[Ticker]]&lt;&gt;"",Table_Investimentos_Main[[#This Row],[Quantidade]]*Table_Investimentos_Main[[#This Row],[Cotação Ativo]],Table_Investimentos_Main[[#This Row],[Quantidade]])</f>
        <v>5896.2072320415</v>
      </c>
    </row>
    <row r="179" spans="2:11" x14ac:dyDescent="0.2">
      <c r="B179" s="67">
        <v>45931</v>
      </c>
      <c r="C179" t="s">
        <v>61</v>
      </c>
      <c r="E179" s="3" t="s">
        <v>27</v>
      </c>
      <c r="F179" s="3"/>
      <c r="G179" s="10">
        <v>4873.03</v>
      </c>
      <c r="H179" s="18" t="str" cm="1">
        <f t="array" ref="H179">_xlfn.XLOOKUP(Table_Investimentos_Main[[#This Row],[Data]]&amp;Table_Investimentos_Main[[#This Row],[Ticker]],Table_Cotacoes[Data]&amp;Table_Cotacoes[Ticker],Table_Cotacoes[Valor],"")</f>
        <v/>
      </c>
      <c r="I179" s="5" t="str">
        <f>IF(Table_Investimentos_Main[[#This Row],[Ticker]]&lt;&gt;"",_xlfn.XLOOKUP(Table_Investimentos_Main[[#This Row],[Ticker]],Table_Cotacoes[Ticker],Table_Cotacoes[Moeda Base],""),"BRL")</f>
        <v>BRL</v>
      </c>
      <c r="J179" s="11" cm="1">
        <f t="array" ref="J179">_xlfn.SINGLE(_xlfn.XLOOKUP(Table_Investimentos_Main[[#This Row],[Data]]&amp;"USD",Table_Cotacoes[Data]&amp;Table_Cotacoes[Ticker],Table_Cotacoes[Valor],""))</f>
        <v>5.3574000000000002</v>
      </c>
      <c r="K179" s="18">
        <f>IF(Table_Investimentos_Main[[#This Row],[Ticker]]&lt;&gt;"",Table_Investimentos_Main[[#This Row],[Quantidade]]*Table_Investimentos_Main[[#This Row],[Cotação Ativo]],Table_Investimentos_Main[[#This Row],[Quantidade]])</f>
        <v>4873.03</v>
      </c>
    </row>
    <row r="180" spans="2:11" x14ac:dyDescent="0.2">
      <c r="B180" s="67">
        <v>45931</v>
      </c>
      <c r="C180" t="s">
        <v>58</v>
      </c>
      <c r="E180" s="3" t="s">
        <v>27</v>
      </c>
      <c r="F180" s="3"/>
      <c r="G180" s="10">
        <v>6798.4</v>
      </c>
      <c r="H180" s="18" t="str" cm="1">
        <f t="array" ref="H180">_xlfn.XLOOKUP(Table_Investimentos_Main[[#This Row],[Data]]&amp;Table_Investimentos_Main[[#This Row],[Ticker]],Table_Cotacoes[Data]&amp;Table_Cotacoes[Ticker],Table_Cotacoes[Valor],"")</f>
        <v/>
      </c>
      <c r="I180" s="5" t="str">
        <f>IF(Table_Investimentos_Main[[#This Row],[Ticker]]&lt;&gt;"",_xlfn.XLOOKUP(Table_Investimentos_Main[[#This Row],[Ticker]],Table_Cotacoes[Ticker],Table_Cotacoes[Moeda Base],""),"BRL")</f>
        <v>BRL</v>
      </c>
      <c r="J180" s="11" cm="1">
        <f t="array" ref="J180">_xlfn.SINGLE(_xlfn.XLOOKUP(Table_Investimentos_Main[[#This Row],[Data]]&amp;"USD",Table_Cotacoes[Data]&amp;Table_Cotacoes[Ticker],Table_Cotacoes[Valor],""))</f>
        <v>5.3574000000000002</v>
      </c>
      <c r="K180" s="18">
        <f>IF(Table_Investimentos_Main[[#This Row],[Ticker]]&lt;&gt;"",Table_Investimentos_Main[[#This Row],[Quantidade]]*Table_Investimentos_Main[[#This Row],[Cotação Ativo]],Table_Investimentos_Main[[#This Row],[Quantidade]])</f>
        <v>6798.4</v>
      </c>
    </row>
    <row r="181" spans="2:11" x14ac:dyDescent="0.2">
      <c r="B181" s="67">
        <v>45931</v>
      </c>
      <c r="C181" t="s">
        <v>69</v>
      </c>
      <c r="E181" s="3" t="s">
        <v>27</v>
      </c>
      <c r="F181" s="3"/>
      <c r="G181" s="10">
        <v>4425.32</v>
      </c>
      <c r="H181" s="18" t="str" cm="1">
        <f t="array" ref="H181">_xlfn.XLOOKUP(Table_Investimentos_Main[[#This Row],[Data]]&amp;Table_Investimentos_Main[[#This Row],[Ticker]],Table_Cotacoes[Data]&amp;Table_Cotacoes[Ticker],Table_Cotacoes[Valor],"")</f>
        <v/>
      </c>
      <c r="I181" s="5" t="str">
        <f>IF(Table_Investimentos_Main[[#This Row],[Ticker]]&lt;&gt;"",_xlfn.XLOOKUP(Table_Investimentos_Main[[#This Row],[Ticker]],Table_Cotacoes[Ticker],Table_Cotacoes[Moeda Base],""),"BRL")</f>
        <v>BRL</v>
      </c>
      <c r="J181" s="11" cm="1">
        <f t="array" ref="J181">_xlfn.SINGLE(_xlfn.XLOOKUP(Table_Investimentos_Main[[#This Row],[Data]]&amp;"USD",Table_Cotacoes[Data]&amp;Table_Cotacoes[Ticker],Table_Cotacoes[Valor],""))</f>
        <v>5.3574000000000002</v>
      </c>
      <c r="K181" s="18">
        <f>IF(Table_Investimentos_Main[[#This Row],[Ticker]]&lt;&gt;"",Table_Investimentos_Main[[#This Row],[Quantidade]]*Table_Investimentos_Main[[#This Row],[Cotação Ativo]],Table_Investimentos_Main[[#This Row],[Quantidade]])</f>
        <v>4425.32</v>
      </c>
    </row>
    <row r="182" spans="2:11" x14ac:dyDescent="0.2">
      <c r="B182" s="67">
        <v>45931</v>
      </c>
      <c r="C182" t="s">
        <v>49</v>
      </c>
      <c r="D182" t="s">
        <v>57</v>
      </c>
      <c r="E182" s="3" t="s">
        <v>22</v>
      </c>
      <c r="F182" s="3"/>
      <c r="G182" s="10">
        <v>6.04</v>
      </c>
      <c r="H182" s="18" cm="1">
        <f t="array" ref="H182">_xlfn.XLOOKUP(Table_Investimentos_Main[[#This Row],[Data]]&amp;Table_Investimentos_Main[[#This Row],[Ticker]],Table_Cotacoes[Data]&amp;Table_Cotacoes[Ticker],Table_Cotacoes[Valor],"")</f>
        <v>1055.0899999999999</v>
      </c>
      <c r="I182" s="5" t="str">
        <f>IF(Table_Investimentos_Main[[#This Row],[Ticker]]&lt;&gt;"",_xlfn.XLOOKUP(Table_Investimentos_Main[[#This Row],[Ticker]],Table_Cotacoes[Ticker],Table_Cotacoes[Moeda Base],""),"BRL")</f>
        <v>USD</v>
      </c>
      <c r="J182" s="11" cm="1">
        <f t="array" ref="J182">_xlfn.SINGLE(_xlfn.XLOOKUP(Table_Investimentos_Main[[#This Row],[Data]]&amp;"USD",Table_Cotacoes[Data]&amp;Table_Cotacoes[Ticker],Table_Cotacoes[Valor],""))</f>
        <v>5.3574000000000002</v>
      </c>
      <c r="K182" s="18">
        <f>IF(Table_Investimentos_Main[[#This Row],[Ticker]]&lt;&gt;"",Table_Investimentos_Main[[#This Row],[Quantidade]]*Table_Investimentos_Main[[#This Row],[Cotação Ativo]],Table_Investimentos_Main[[#This Row],[Quantidade]])</f>
        <v>6372.7435999999998</v>
      </c>
    </row>
    <row r="183" spans="2:11" x14ac:dyDescent="0.2">
      <c r="B183" s="67">
        <v>45931</v>
      </c>
      <c r="C183" t="s">
        <v>68</v>
      </c>
      <c r="E183" s="3" t="s">
        <v>27</v>
      </c>
      <c r="F183" s="3"/>
      <c r="G183" s="10">
        <v>9560.19</v>
      </c>
      <c r="H183" s="18" t="str" cm="1">
        <f t="array" ref="H183">_xlfn.XLOOKUP(Table_Investimentos_Main[[#This Row],[Data]]&amp;Table_Investimentos_Main[[#This Row],[Ticker]],Table_Cotacoes[Data]&amp;Table_Cotacoes[Ticker],Table_Cotacoes[Valor],"")</f>
        <v/>
      </c>
      <c r="I183" s="5" t="str">
        <f>IF(Table_Investimentos_Main[[#This Row],[Ticker]]&lt;&gt;"",_xlfn.XLOOKUP(Table_Investimentos_Main[[#This Row],[Ticker]],Table_Cotacoes[Ticker],Table_Cotacoes[Moeda Base],""),"BRL")</f>
        <v>BRL</v>
      </c>
      <c r="J183" s="11" cm="1">
        <f t="array" ref="J183">_xlfn.SINGLE(_xlfn.XLOOKUP(Table_Investimentos_Main[[#This Row],[Data]]&amp;"USD",Table_Cotacoes[Data]&amp;Table_Cotacoes[Ticker],Table_Cotacoes[Valor],""))</f>
        <v>5.3574000000000002</v>
      </c>
      <c r="K183" s="18">
        <f>IF(Table_Investimentos_Main[[#This Row],[Ticker]]&lt;&gt;"",Table_Investimentos_Main[[#This Row],[Quantidade]]*Table_Investimentos_Main[[#This Row],[Cotação Ativo]],Table_Investimentos_Main[[#This Row],[Quantidade]])</f>
        <v>9560.19</v>
      </c>
    </row>
    <row r="184" spans="2:11" x14ac:dyDescent="0.2">
      <c r="B184" s="67">
        <v>45931</v>
      </c>
      <c r="C184" t="s">
        <v>64</v>
      </c>
      <c r="D184" t="s">
        <v>24</v>
      </c>
      <c r="E184" s="3" t="s">
        <v>27</v>
      </c>
      <c r="F184" s="3"/>
      <c r="G184" s="10">
        <f>540.51+368.47</f>
        <v>908.98</v>
      </c>
      <c r="H184" s="18" cm="1">
        <f t="array" ref="H184">_xlfn.XLOOKUP(Table_Investimentos_Main[[#This Row],[Data]]&amp;Table_Investimentos_Main[[#This Row],[Ticker]],Table_Cotacoes[Data]&amp;Table_Cotacoes[Ticker],Table_Cotacoes[Valor],"")</f>
        <v>5.3574000000000002</v>
      </c>
      <c r="I184" s="5" t="str">
        <f>IF(Table_Investimentos_Main[[#This Row],[Ticker]]&lt;&gt;"",_xlfn.XLOOKUP(Table_Investimentos_Main[[#This Row],[Ticker]],Table_Cotacoes[Ticker],Table_Cotacoes[Moeda Base],""),"BRL")</f>
        <v>USD</v>
      </c>
      <c r="J184" s="11" cm="1">
        <f t="array" ref="J184">_xlfn.SINGLE(_xlfn.XLOOKUP(Table_Investimentos_Main[[#This Row],[Data]]&amp;"USD",Table_Cotacoes[Data]&amp;Table_Cotacoes[Ticker],Table_Cotacoes[Valor],""))</f>
        <v>5.3574000000000002</v>
      </c>
      <c r="K184" s="18">
        <f>IF(Table_Investimentos_Main[[#This Row],[Ticker]]&lt;&gt;"",Table_Investimentos_Main[[#This Row],[Quantidade]]*Table_Investimentos_Main[[#This Row],[Cotação Ativo]],Table_Investimentos_Main[[#This Row],[Quantidade]])</f>
        <v>4869.7694520000005</v>
      </c>
    </row>
    <row r="185" spans="2:11" x14ac:dyDescent="0.2">
      <c r="B185" s="67">
        <v>45931</v>
      </c>
      <c r="C185" t="s">
        <v>44</v>
      </c>
      <c r="D185" t="s">
        <v>24</v>
      </c>
      <c r="E185" s="3" t="s">
        <v>66</v>
      </c>
      <c r="F185" s="3"/>
      <c r="G185" s="10">
        <v>1664.37</v>
      </c>
      <c r="H185" s="18" cm="1">
        <f t="array" ref="H185">_xlfn.XLOOKUP(Table_Investimentos_Main[[#This Row],[Data]]&amp;Table_Investimentos_Main[[#This Row],[Ticker]],Table_Cotacoes[Data]&amp;Table_Cotacoes[Ticker],Table_Cotacoes[Valor],"")</f>
        <v>5.3574000000000002</v>
      </c>
      <c r="I185" s="5" t="str">
        <f>IF(Table_Investimentos_Main[[#This Row],[Ticker]]&lt;&gt;"",_xlfn.XLOOKUP(Table_Investimentos_Main[[#This Row],[Ticker]],Table_Cotacoes[Ticker],Table_Cotacoes[Moeda Base],""),"BRL")</f>
        <v>USD</v>
      </c>
      <c r="J185" s="11" cm="1">
        <f t="array" ref="J185">_xlfn.SINGLE(_xlfn.XLOOKUP(Table_Investimentos_Main[[#This Row],[Data]]&amp;"USD",Table_Cotacoes[Data]&amp;Table_Cotacoes[Ticker],Table_Cotacoes[Valor],""))</f>
        <v>5.3574000000000002</v>
      </c>
      <c r="K185" s="18">
        <f>IF(Table_Investimentos_Main[[#This Row],[Ticker]]&lt;&gt;"",Table_Investimentos_Main[[#This Row],[Quantidade]]*Table_Investimentos_Main[[#This Row],[Cotação Ativo]],Table_Investimentos_Main[[#This Row],[Quantidade]])</f>
        <v>8916.6958379999996</v>
      </c>
    </row>
    <row r="186" spans="2:11" x14ac:dyDescent="0.2">
      <c r="B186" s="67">
        <v>45931</v>
      </c>
      <c r="C186" t="s">
        <v>21</v>
      </c>
      <c r="D186" t="s">
        <v>24</v>
      </c>
      <c r="E186" s="3" t="s">
        <v>22</v>
      </c>
      <c r="F186" s="3"/>
      <c r="G186" s="10">
        <v>102.27800000000001</v>
      </c>
      <c r="H186" s="18" cm="1">
        <f t="array" ref="H186">_xlfn.XLOOKUP(Table_Investimentos_Main[[#This Row],[Data]]&amp;Table_Investimentos_Main[[#This Row],[Ticker]],Table_Cotacoes[Data]&amp;Table_Cotacoes[Ticker],Table_Cotacoes[Valor],"")</f>
        <v>5.3574000000000002</v>
      </c>
      <c r="I186" s="5" t="str">
        <f>IF(Table_Investimentos_Main[[#This Row],[Ticker]]&lt;&gt;"",_xlfn.XLOOKUP(Table_Investimentos_Main[[#This Row],[Ticker]],Table_Cotacoes[Ticker],Table_Cotacoes[Moeda Base],""),"BRL")</f>
        <v>USD</v>
      </c>
      <c r="J186" s="11" cm="1">
        <f t="array" ref="J186">_xlfn.SINGLE(_xlfn.XLOOKUP(Table_Investimentos_Main[[#This Row],[Data]]&amp;"USD",Table_Cotacoes[Data]&amp;Table_Cotacoes[Ticker],Table_Cotacoes[Valor],""))</f>
        <v>5.3574000000000002</v>
      </c>
      <c r="K186" s="18">
        <f>IF(Table_Investimentos_Main[[#This Row],[Ticker]]&lt;&gt;"",Table_Investimentos_Main[[#This Row],[Quantidade]]*Table_Investimentos_Main[[#This Row],[Cotação Ativo]],Table_Investimentos_Main[[#This Row],[Quantidade]])</f>
        <v>547.94415720000006</v>
      </c>
    </row>
    <row r="187" spans="2:11" x14ac:dyDescent="0.2">
      <c r="B187" s="67">
        <v>45962</v>
      </c>
      <c r="C187" t="s">
        <v>41</v>
      </c>
      <c r="D187" t="s">
        <v>14</v>
      </c>
      <c r="E187" s="3" t="s">
        <v>12</v>
      </c>
      <c r="F187" s="3"/>
      <c r="G187" s="10">
        <v>0.27932595999999998</v>
      </c>
      <c r="H187" s="18" cm="1">
        <f t="array" ref="H187">_xlfn.XLOOKUP(Table_Investimentos_Main[[#This Row],[Data]]&amp;Table_Investimentos_Main[[#This Row],[Ticker]],Table_Cotacoes[Data]&amp;Table_Cotacoes[Ticker],Table_Cotacoes[Valor],"")</f>
        <v>561947</v>
      </c>
      <c r="I187" s="5" t="str">
        <f>IF(Table_Investimentos_Main[[#This Row],[Ticker]]&lt;&gt;"",_xlfn.XLOOKUP(Table_Investimentos_Main[[#This Row],[Ticker]],Table_Cotacoes[Ticker],Table_Cotacoes[Moeda Base],""),"BRL")</f>
        <v>BTC</v>
      </c>
      <c r="J187" s="11" cm="1">
        <f t="array" ref="J187">_xlfn.SINGLE(_xlfn.XLOOKUP(Table_Investimentos_Main[[#This Row],[Data]]&amp;"USD",Table_Cotacoes[Data]&amp;Table_Cotacoes[Ticker],Table_Cotacoes[Valor],""))</f>
        <v>5.3654000000000002</v>
      </c>
      <c r="K187" s="18">
        <f>IF(Table_Investimentos_Main[[#This Row],[Ticker]]&lt;&gt;"",Table_Investimentos_Main[[#This Row],[Quantidade]]*Table_Investimentos_Main[[#This Row],[Cotação Ativo]],Table_Investimentos_Main[[#This Row],[Quantidade]])</f>
        <v>156966.38524412</v>
      </c>
    </row>
    <row r="188" spans="2:11" x14ac:dyDescent="0.2">
      <c r="B188" s="67">
        <v>45962</v>
      </c>
      <c r="C188" t="s">
        <v>42</v>
      </c>
      <c r="D188" t="s">
        <v>14</v>
      </c>
      <c r="E188" s="3" t="s">
        <v>22</v>
      </c>
      <c r="F188" s="3"/>
      <c r="G188" s="10">
        <v>7.8938099999999994E-3</v>
      </c>
      <c r="H188" s="18" cm="1">
        <f t="array" ref="H188">_xlfn.XLOOKUP(Table_Investimentos_Main[[#This Row],[Data]]&amp;Table_Investimentos_Main[[#This Row],[Ticker]],Table_Cotacoes[Data]&amp;Table_Cotacoes[Ticker],Table_Cotacoes[Valor],"")</f>
        <v>561947</v>
      </c>
      <c r="I188" s="5" t="str">
        <f>IF(Table_Investimentos_Main[[#This Row],[Ticker]]&lt;&gt;"",_xlfn.XLOOKUP(Table_Investimentos_Main[[#This Row],[Ticker]],Table_Cotacoes[Ticker],Table_Cotacoes[Moeda Base],""),"BRL")</f>
        <v>BTC</v>
      </c>
      <c r="J188" s="11" cm="1">
        <f t="array" ref="J188">_xlfn.SINGLE(_xlfn.XLOOKUP(Table_Investimentos_Main[[#This Row],[Data]]&amp;"USD",Table_Cotacoes[Data]&amp;Table_Cotacoes[Ticker],Table_Cotacoes[Valor],""))</f>
        <v>5.3654000000000002</v>
      </c>
      <c r="K188" s="18">
        <f>IF(Table_Investimentos_Main[[#This Row],[Ticker]]&lt;&gt;"",Table_Investimentos_Main[[#This Row],[Quantidade]]*Table_Investimentos_Main[[#This Row],[Cotação Ativo]],Table_Investimentos_Main[[#This Row],[Quantidade]])</f>
        <v>4435.9028480699999</v>
      </c>
    </row>
    <row r="189" spans="2:11" x14ac:dyDescent="0.2">
      <c r="B189" s="67">
        <v>45962</v>
      </c>
      <c r="C189" t="s">
        <v>55</v>
      </c>
      <c r="D189" t="s">
        <v>71</v>
      </c>
      <c r="E189" s="3" t="s">
        <v>27</v>
      </c>
      <c r="F189" s="3"/>
      <c r="G189" s="10">
        <v>6.0953400000000002</v>
      </c>
      <c r="H189" s="18" cm="1">
        <f t="array" ref="H189">_xlfn.XLOOKUP(Table_Investimentos_Main[[#This Row],[Data]]&amp;Table_Investimentos_Main[[#This Row],[Ticker]],Table_Cotacoes[Data]&amp;Table_Cotacoes[Ticker],Table_Cotacoes[Valor],"")</f>
        <v>504.24029200000001</v>
      </c>
      <c r="I189" s="5" t="str">
        <f>IF(Table_Investimentos_Main[[#This Row],[Ticker]]&lt;&gt;"",_xlfn.XLOOKUP(Table_Investimentos_Main[[#This Row],[Ticker]],Table_Cotacoes[Ticker],Table_Cotacoes[Moeda Base],""),"BRL")</f>
        <v>USD</v>
      </c>
      <c r="J189" s="11" cm="1">
        <f t="array" ref="J189">_xlfn.SINGLE(_xlfn.XLOOKUP(Table_Investimentos_Main[[#This Row],[Data]]&amp;"USD",Table_Cotacoes[Data]&amp;Table_Cotacoes[Ticker],Table_Cotacoes[Valor],""))</f>
        <v>5.3654000000000002</v>
      </c>
      <c r="K189" s="18">
        <f>IF(Table_Investimentos_Main[[#This Row],[Ticker]]&lt;&gt;"",Table_Investimentos_Main[[#This Row],[Quantidade]]*Table_Investimentos_Main[[#This Row],[Cotação Ativo]],Table_Investimentos_Main[[#This Row],[Quantidade]])</f>
        <v>3073.5160214392804</v>
      </c>
    </row>
    <row r="190" spans="2:11" x14ac:dyDescent="0.2">
      <c r="B190" s="67">
        <v>45962</v>
      </c>
      <c r="C190" t="s">
        <v>70</v>
      </c>
      <c r="D190" t="s">
        <v>72</v>
      </c>
      <c r="E190" s="3" t="s">
        <v>27</v>
      </c>
      <c r="F190" s="3"/>
      <c r="G190" s="10">
        <v>13.87541817</v>
      </c>
      <c r="H190" s="18" cm="1">
        <f t="array" ref="H190">_xlfn.XLOOKUP(Table_Investimentos_Main[[#This Row],[Data]]&amp;Table_Investimentos_Main[[#This Row],[Ticker]],Table_Cotacoes[Data]&amp;Table_Cotacoes[Ticker],Table_Cotacoes[Valor],"")</f>
        <v>419.19870200000003</v>
      </c>
      <c r="I190" s="5" t="str">
        <f>IF(Table_Investimentos_Main[[#This Row],[Ticker]]&lt;&gt;"",_xlfn.XLOOKUP(Table_Investimentos_Main[[#This Row],[Ticker]],Table_Cotacoes[Ticker],Table_Cotacoes[Moeda Base],""),"BRL")</f>
        <v>USD</v>
      </c>
      <c r="J190" s="11" cm="1">
        <f t="array" ref="J190">_xlfn.SINGLE(_xlfn.XLOOKUP(Table_Investimentos_Main[[#This Row],[Data]]&amp;"USD",Table_Cotacoes[Data]&amp;Table_Cotacoes[Ticker],Table_Cotacoes[Valor],""))</f>
        <v>5.3654000000000002</v>
      </c>
      <c r="K190" s="18">
        <f>IF(Table_Investimentos_Main[[#This Row],[Ticker]]&lt;&gt;"",Table_Investimentos_Main[[#This Row],[Quantidade]]*Table_Investimentos_Main[[#This Row],[Cotação Ativo]],Table_Investimentos_Main[[#This Row],[Quantidade]])</f>
        <v>5816.5572865712156</v>
      </c>
    </row>
    <row r="191" spans="2:11" x14ac:dyDescent="0.2">
      <c r="B191" s="67">
        <v>45962</v>
      </c>
      <c r="C191" t="s">
        <v>51</v>
      </c>
      <c r="D191" t="s">
        <v>73</v>
      </c>
      <c r="E191" s="3" t="s">
        <v>27</v>
      </c>
      <c r="F191" s="3"/>
      <c r="G191" s="10">
        <v>1.7415499999999999</v>
      </c>
      <c r="H191" s="18" cm="1">
        <f t="array" ref="H191">_xlfn.XLOOKUP(Table_Investimentos_Main[[#This Row],[Data]]&amp;Table_Investimentos_Main[[#This Row],[Ticker]],Table_Cotacoes[Data]&amp;Table_Cotacoes[Ticker],Table_Cotacoes[Valor],"")</f>
        <v>3351.1215320000001</v>
      </c>
      <c r="I191" s="5" t="str">
        <f>IF(Table_Investimentos_Main[[#This Row],[Ticker]]&lt;&gt;"",_xlfn.XLOOKUP(Table_Investimentos_Main[[#This Row],[Ticker]],Table_Cotacoes[Ticker],Table_Cotacoes[Moeda Base],""),"BRL")</f>
        <v>USD</v>
      </c>
      <c r="J191" s="11" cm="1">
        <f t="array" ref="J191">_xlfn.SINGLE(_xlfn.XLOOKUP(Table_Investimentos_Main[[#This Row],[Data]]&amp;"USD",Table_Cotacoes[Data]&amp;Table_Cotacoes[Ticker],Table_Cotacoes[Valor],""))</f>
        <v>5.3654000000000002</v>
      </c>
      <c r="K191" s="18">
        <f>IF(Table_Investimentos_Main[[#This Row],[Ticker]]&lt;&gt;"",Table_Investimentos_Main[[#This Row],[Quantidade]]*Table_Investimentos_Main[[#This Row],[Cotação Ativo]],Table_Investimentos_Main[[#This Row],[Quantidade]])</f>
        <v>5836.1457040546002</v>
      </c>
    </row>
    <row r="192" spans="2:11" x14ac:dyDescent="0.2">
      <c r="B192" s="67">
        <v>45962</v>
      </c>
      <c r="C192" t="s">
        <v>74</v>
      </c>
      <c r="E192" s="3" t="s">
        <v>27</v>
      </c>
      <c r="F192" s="3"/>
      <c r="G192" s="10">
        <v>11274.25</v>
      </c>
      <c r="H192" s="18" t="str" cm="1">
        <f t="array" ref="H192">_xlfn.XLOOKUP(Table_Investimentos_Main[[#This Row],[Data]]&amp;Table_Investimentos_Main[[#This Row],[Ticker]],Table_Cotacoes[Data]&amp;Table_Cotacoes[Ticker],Table_Cotacoes[Valor],"")</f>
        <v/>
      </c>
      <c r="I192" s="5" t="str">
        <f>IF(Table_Investimentos_Main[[#This Row],[Ticker]]&lt;&gt;"",_xlfn.XLOOKUP(Table_Investimentos_Main[[#This Row],[Ticker]],Table_Cotacoes[Ticker],Table_Cotacoes[Moeda Base],""),"BRL")</f>
        <v>BRL</v>
      </c>
      <c r="J192" s="11" cm="1">
        <f t="array" ref="J192">_xlfn.SINGLE(_xlfn.XLOOKUP(Table_Investimentos_Main[[#This Row],[Data]]&amp;"USD",Table_Cotacoes[Data]&amp;Table_Cotacoes[Ticker],Table_Cotacoes[Valor],""))</f>
        <v>5.3654000000000002</v>
      </c>
      <c r="K192" s="18">
        <f>IF(Table_Investimentos_Main[[#This Row],[Ticker]]&lt;&gt;"",Table_Investimentos_Main[[#This Row],[Quantidade]]*Table_Investimentos_Main[[#This Row],[Cotação Ativo]],Table_Investimentos_Main[[#This Row],[Quantidade]])</f>
        <v>11274.25</v>
      </c>
    </row>
    <row r="193" spans="2:11" x14ac:dyDescent="0.2">
      <c r="B193" s="67">
        <v>45962</v>
      </c>
      <c r="C193" t="s">
        <v>58</v>
      </c>
      <c r="E193" s="3" t="s">
        <v>27</v>
      </c>
      <c r="F193" s="3"/>
      <c r="G193" s="10">
        <v>10525.71</v>
      </c>
      <c r="H193" s="18" t="str" cm="1">
        <f t="array" ref="H193">_xlfn.XLOOKUP(Table_Investimentos_Main[[#This Row],[Data]]&amp;Table_Investimentos_Main[[#This Row],[Ticker]],Table_Cotacoes[Data]&amp;Table_Cotacoes[Ticker],Table_Cotacoes[Valor],"")</f>
        <v/>
      </c>
      <c r="I193" s="5" t="str">
        <f>IF(Table_Investimentos_Main[[#This Row],[Ticker]]&lt;&gt;"",_xlfn.XLOOKUP(Table_Investimentos_Main[[#This Row],[Ticker]],Table_Cotacoes[Ticker],Table_Cotacoes[Moeda Base],""),"BRL")</f>
        <v>BRL</v>
      </c>
      <c r="J193" s="11" cm="1">
        <f t="array" ref="J193">_xlfn.SINGLE(_xlfn.XLOOKUP(Table_Investimentos_Main[[#This Row],[Data]]&amp;"USD",Table_Cotacoes[Data]&amp;Table_Cotacoes[Ticker],Table_Cotacoes[Valor],""))</f>
        <v>5.3654000000000002</v>
      </c>
      <c r="K193" s="18">
        <f>IF(Table_Investimentos_Main[[#This Row],[Ticker]]&lt;&gt;"",Table_Investimentos_Main[[#This Row],[Quantidade]]*Table_Investimentos_Main[[#This Row],[Cotação Ativo]],Table_Investimentos_Main[[#This Row],[Quantidade]])</f>
        <v>10525.71</v>
      </c>
    </row>
    <row r="194" spans="2:11" x14ac:dyDescent="0.2">
      <c r="B194" s="67">
        <v>45962</v>
      </c>
      <c r="C194" t="s">
        <v>69</v>
      </c>
      <c r="E194" s="3" t="s">
        <v>27</v>
      </c>
      <c r="F194" s="3"/>
      <c r="G194" s="10">
        <v>4566.67</v>
      </c>
      <c r="H194" s="18" t="str" cm="1">
        <f t="array" ref="H194">_xlfn.XLOOKUP(Table_Investimentos_Main[[#This Row],[Data]]&amp;Table_Investimentos_Main[[#This Row],[Ticker]],Table_Cotacoes[Data]&amp;Table_Cotacoes[Ticker],Table_Cotacoes[Valor],"")</f>
        <v/>
      </c>
      <c r="I194" s="5" t="str">
        <f>IF(Table_Investimentos_Main[[#This Row],[Ticker]]&lt;&gt;"",_xlfn.XLOOKUP(Table_Investimentos_Main[[#This Row],[Ticker]],Table_Cotacoes[Ticker],Table_Cotacoes[Moeda Base],""),"BRL")</f>
        <v>BRL</v>
      </c>
      <c r="J194" s="11" cm="1">
        <f t="array" ref="J194">_xlfn.SINGLE(_xlfn.XLOOKUP(Table_Investimentos_Main[[#This Row],[Data]]&amp;"USD",Table_Cotacoes[Data]&amp;Table_Cotacoes[Ticker],Table_Cotacoes[Valor],""))</f>
        <v>5.3654000000000002</v>
      </c>
      <c r="K194" s="18">
        <f>IF(Table_Investimentos_Main[[#This Row],[Ticker]]&lt;&gt;"",Table_Investimentos_Main[[#This Row],[Quantidade]]*Table_Investimentos_Main[[#This Row],[Cotação Ativo]],Table_Investimentos_Main[[#This Row],[Quantidade]])</f>
        <v>4566.67</v>
      </c>
    </row>
    <row r="195" spans="2:11" x14ac:dyDescent="0.2">
      <c r="B195" s="67">
        <v>45962</v>
      </c>
      <c r="C195" t="s">
        <v>49</v>
      </c>
      <c r="D195" t="s">
        <v>57</v>
      </c>
      <c r="E195" s="3" t="s">
        <v>22</v>
      </c>
      <c r="F195" s="3"/>
      <c r="G195" s="10">
        <v>6.04</v>
      </c>
      <c r="H195" s="18" cm="1">
        <f t="array" ref="H195">_xlfn.XLOOKUP(Table_Investimentos_Main[[#This Row],[Data]]&amp;Table_Investimentos_Main[[#This Row],[Ticker]],Table_Cotacoes[Data]&amp;Table_Cotacoes[Ticker],Table_Cotacoes[Valor],"")</f>
        <v>881.87</v>
      </c>
      <c r="I195" s="5" t="str">
        <f>IF(Table_Investimentos_Main[[#This Row],[Ticker]]&lt;&gt;"",_xlfn.XLOOKUP(Table_Investimentos_Main[[#This Row],[Ticker]],Table_Cotacoes[Ticker],Table_Cotacoes[Moeda Base],""),"BRL")</f>
        <v>USD</v>
      </c>
      <c r="J195" s="11" cm="1">
        <f t="array" ref="J195">_xlfn.SINGLE(_xlfn.XLOOKUP(Table_Investimentos_Main[[#This Row],[Data]]&amp;"USD",Table_Cotacoes[Data]&amp;Table_Cotacoes[Ticker],Table_Cotacoes[Valor],""))</f>
        <v>5.3654000000000002</v>
      </c>
      <c r="K195" s="18">
        <f>IF(Table_Investimentos_Main[[#This Row],[Ticker]]&lt;&gt;"",Table_Investimentos_Main[[#This Row],[Quantidade]]*Table_Investimentos_Main[[#This Row],[Cotação Ativo]],Table_Investimentos_Main[[#This Row],[Quantidade]])</f>
        <v>5326.4948000000004</v>
      </c>
    </row>
    <row r="196" spans="2:11" x14ac:dyDescent="0.2">
      <c r="B196" s="67">
        <v>45962</v>
      </c>
      <c r="C196" t="s">
        <v>68</v>
      </c>
      <c r="E196" s="3" t="s">
        <v>27</v>
      </c>
      <c r="F196" s="3"/>
      <c r="G196" s="10">
        <v>9879.6200000000008</v>
      </c>
      <c r="H196" s="18" t="str" cm="1">
        <f t="array" ref="H196">_xlfn.XLOOKUP(Table_Investimentos_Main[[#This Row],[Data]]&amp;Table_Investimentos_Main[[#This Row],[Ticker]],Table_Cotacoes[Data]&amp;Table_Cotacoes[Ticker],Table_Cotacoes[Valor],"")</f>
        <v/>
      </c>
      <c r="I196" s="5" t="str">
        <f>IF(Table_Investimentos_Main[[#This Row],[Ticker]]&lt;&gt;"",_xlfn.XLOOKUP(Table_Investimentos_Main[[#This Row],[Ticker]],Table_Cotacoes[Ticker],Table_Cotacoes[Moeda Base],""),"BRL")</f>
        <v>BRL</v>
      </c>
      <c r="J196" s="11" cm="1">
        <f t="array" ref="J196">_xlfn.SINGLE(_xlfn.XLOOKUP(Table_Investimentos_Main[[#This Row],[Data]]&amp;"USD",Table_Cotacoes[Data]&amp;Table_Cotacoes[Ticker],Table_Cotacoes[Valor],""))</f>
        <v>5.3654000000000002</v>
      </c>
      <c r="K196" s="18">
        <f>IF(Table_Investimentos_Main[[#This Row],[Ticker]]&lt;&gt;"",Table_Investimentos_Main[[#This Row],[Quantidade]]*Table_Investimentos_Main[[#This Row],[Cotação Ativo]],Table_Investimentos_Main[[#This Row],[Quantidade]])</f>
        <v>9879.6200000000008</v>
      </c>
    </row>
    <row r="197" spans="2:11" x14ac:dyDescent="0.2">
      <c r="B197" s="67">
        <v>45962</v>
      </c>
      <c r="C197" t="s">
        <v>64</v>
      </c>
      <c r="D197" t="s">
        <v>24</v>
      </c>
      <c r="E197" s="3" t="s">
        <v>27</v>
      </c>
      <c r="F197" s="3"/>
      <c r="G197" s="10">
        <f>540.51+368.47</f>
        <v>908.98</v>
      </c>
      <c r="H197" s="18" cm="1">
        <f t="array" ref="H197">_xlfn.XLOOKUP(Table_Investimentos_Main[[#This Row],[Data]]&amp;Table_Investimentos_Main[[#This Row],[Ticker]],Table_Cotacoes[Data]&amp;Table_Cotacoes[Ticker],Table_Cotacoes[Valor],"")</f>
        <v>5.3654000000000002</v>
      </c>
      <c r="I197" s="5" t="str">
        <f>IF(Table_Investimentos_Main[[#This Row],[Ticker]]&lt;&gt;"",_xlfn.XLOOKUP(Table_Investimentos_Main[[#This Row],[Ticker]],Table_Cotacoes[Ticker],Table_Cotacoes[Moeda Base],""),"BRL")</f>
        <v>USD</v>
      </c>
      <c r="J197" s="11" cm="1">
        <f t="array" ref="J197">_xlfn.SINGLE(_xlfn.XLOOKUP(Table_Investimentos_Main[[#This Row],[Data]]&amp;"USD",Table_Cotacoes[Data]&amp;Table_Cotacoes[Ticker],Table_Cotacoes[Valor],""))</f>
        <v>5.3654000000000002</v>
      </c>
      <c r="K197" s="18">
        <f>IF(Table_Investimentos_Main[[#This Row],[Ticker]]&lt;&gt;"",Table_Investimentos_Main[[#This Row],[Quantidade]]*Table_Investimentos_Main[[#This Row],[Cotação Ativo]],Table_Investimentos_Main[[#This Row],[Quantidade]])</f>
        <v>4877.0412919999999</v>
      </c>
    </row>
    <row r="198" spans="2:11" x14ac:dyDescent="0.2">
      <c r="B198" s="67">
        <v>45962</v>
      </c>
      <c r="C198" t="s">
        <v>44</v>
      </c>
      <c r="D198" t="s">
        <v>24</v>
      </c>
      <c r="E198" s="3" t="s">
        <v>66</v>
      </c>
      <c r="F198" s="3"/>
      <c r="G198" s="10">
        <v>1664.37</v>
      </c>
      <c r="H198" s="18" cm="1">
        <f t="array" ref="H198">_xlfn.XLOOKUP(Table_Investimentos_Main[[#This Row],[Data]]&amp;Table_Investimentos_Main[[#This Row],[Ticker]],Table_Cotacoes[Data]&amp;Table_Cotacoes[Ticker],Table_Cotacoes[Valor],"")</f>
        <v>5.3654000000000002</v>
      </c>
      <c r="I198" s="5" t="str">
        <f>IF(Table_Investimentos_Main[[#This Row],[Ticker]]&lt;&gt;"",_xlfn.XLOOKUP(Table_Investimentos_Main[[#This Row],[Ticker]],Table_Cotacoes[Ticker],Table_Cotacoes[Moeda Base],""),"BRL")</f>
        <v>USD</v>
      </c>
      <c r="J198" s="11" cm="1">
        <f t="array" ref="J198">_xlfn.SINGLE(_xlfn.XLOOKUP(Table_Investimentos_Main[[#This Row],[Data]]&amp;"USD",Table_Cotacoes[Data]&amp;Table_Cotacoes[Ticker],Table_Cotacoes[Valor],""))</f>
        <v>5.3654000000000002</v>
      </c>
      <c r="K198" s="18">
        <f>IF(Table_Investimentos_Main[[#This Row],[Ticker]]&lt;&gt;"",Table_Investimentos_Main[[#This Row],[Quantidade]]*Table_Investimentos_Main[[#This Row],[Cotação Ativo]],Table_Investimentos_Main[[#This Row],[Quantidade]])</f>
        <v>8930.0107979999993</v>
      </c>
    </row>
    <row r="199" spans="2:11" x14ac:dyDescent="0.2">
      <c r="B199" s="67">
        <v>45962</v>
      </c>
      <c r="C199" t="s">
        <v>21</v>
      </c>
      <c r="D199" t="s">
        <v>24</v>
      </c>
      <c r="E199" s="3" t="s">
        <v>22</v>
      </c>
      <c r="F199" s="3"/>
      <c r="G199" s="10">
        <v>102.27800000000001</v>
      </c>
      <c r="H199" s="18" cm="1">
        <f t="array" ref="H199">_xlfn.XLOOKUP(Table_Investimentos_Main[[#This Row],[Data]]&amp;Table_Investimentos_Main[[#This Row],[Ticker]],Table_Cotacoes[Data]&amp;Table_Cotacoes[Ticker],Table_Cotacoes[Valor],"")</f>
        <v>5.3654000000000002</v>
      </c>
      <c r="I199" s="5" t="str">
        <f>IF(Table_Investimentos_Main[[#This Row],[Ticker]]&lt;&gt;"",_xlfn.XLOOKUP(Table_Investimentos_Main[[#This Row],[Ticker]],Table_Cotacoes[Ticker],Table_Cotacoes[Moeda Base],""),"BRL")</f>
        <v>USD</v>
      </c>
      <c r="J199" s="11" cm="1">
        <f t="array" ref="J199">_xlfn.SINGLE(_xlfn.XLOOKUP(Table_Investimentos_Main[[#This Row],[Data]]&amp;"USD",Table_Cotacoes[Data]&amp;Table_Cotacoes[Ticker],Table_Cotacoes[Valor],""))</f>
        <v>5.3654000000000002</v>
      </c>
      <c r="K199" s="18">
        <f>IF(Table_Investimentos_Main[[#This Row],[Ticker]]&lt;&gt;"",Table_Investimentos_Main[[#This Row],[Quantidade]]*Table_Investimentos_Main[[#This Row],[Cotação Ativo]],Table_Investimentos_Main[[#This Row],[Quantidade]])</f>
        <v>548.76238120000005</v>
      </c>
    </row>
    <row r="200" spans="2:11" x14ac:dyDescent="0.2">
      <c r="B200" s="67">
        <v>45992</v>
      </c>
      <c r="C200" t="s">
        <v>41</v>
      </c>
      <c r="D200" t="s">
        <v>14</v>
      </c>
      <c r="E200" s="3" t="s">
        <v>12</v>
      </c>
      <c r="F200" s="3"/>
      <c r="G200" s="10">
        <v>0.27932595999999998</v>
      </c>
      <c r="H200" s="18" cm="1">
        <f t="array" ref="H200">_xlfn.XLOOKUP(Table_Investimentos_Main[[#This Row],[Data]]&amp;Table_Investimentos_Main[[#This Row],[Ticker]],Table_Cotacoes[Data]&amp;Table_Cotacoes[Ticker],Table_Cotacoes[Valor],"")</f>
        <v>482135</v>
      </c>
      <c r="I200" s="5" t="str">
        <f>IF(Table_Investimentos_Main[[#This Row],[Ticker]]&lt;&gt;"",_xlfn.XLOOKUP(Table_Investimentos_Main[[#This Row],[Ticker]],Table_Cotacoes[Ticker],Table_Cotacoes[Moeda Base],""),"BRL")</f>
        <v>BTC</v>
      </c>
      <c r="J200" s="11" cm="1">
        <f t="array" ref="J200">_xlfn.SINGLE(_xlfn.XLOOKUP(Table_Investimentos_Main[[#This Row],[Data]]&amp;"USD",Table_Cotacoes[Data]&amp;Table_Cotacoes[Ticker],Table_Cotacoes[Valor],""))</f>
        <v>5.3387000000000002</v>
      </c>
      <c r="K200" s="18">
        <f>IF(Table_Investimentos_Main[[#This Row],[Ticker]]&lt;&gt;"",Table_Investimentos_Main[[#This Row],[Quantidade]]*Table_Investimentos_Main[[#This Row],[Cotação Ativo]],Table_Investimentos_Main[[#This Row],[Quantidade]])</f>
        <v>134672.82172459998</v>
      </c>
    </row>
    <row r="201" spans="2:11" x14ac:dyDescent="0.2">
      <c r="B201" s="67">
        <v>45992</v>
      </c>
      <c r="C201" t="s">
        <v>42</v>
      </c>
      <c r="D201" t="s">
        <v>14</v>
      </c>
      <c r="E201" s="3" t="s">
        <v>22</v>
      </c>
      <c r="F201" s="3"/>
      <c r="G201" s="10">
        <v>1.2002820000000001E-2</v>
      </c>
      <c r="H201" s="18" cm="1">
        <f t="array" ref="H201">_xlfn.XLOOKUP(Table_Investimentos_Main[[#This Row],[Data]]&amp;Table_Investimentos_Main[[#This Row],[Ticker]],Table_Cotacoes[Data]&amp;Table_Cotacoes[Ticker],Table_Cotacoes[Valor],"")</f>
        <v>482135</v>
      </c>
      <c r="I201" s="5" t="str">
        <f>IF(Table_Investimentos_Main[[#This Row],[Ticker]]&lt;&gt;"",_xlfn.XLOOKUP(Table_Investimentos_Main[[#This Row],[Ticker]],Table_Cotacoes[Ticker],Table_Cotacoes[Moeda Base],""),"BRL")</f>
        <v>BTC</v>
      </c>
      <c r="J201" s="11" cm="1">
        <f t="array" ref="J201">_xlfn.SINGLE(_xlfn.XLOOKUP(Table_Investimentos_Main[[#This Row],[Data]]&amp;"USD",Table_Cotacoes[Data]&amp;Table_Cotacoes[Ticker],Table_Cotacoes[Valor],""))</f>
        <v>5.3387000000000002</v>
      </c>
      <c r="K201" s="18">
        <f>IF(Table_Investimentos_Main[[#This Row],[Ticker]]&lt;&gt;"",Table_Investimentos_Main[[#This Row],[Quantidade]]*Table_Investimentos_Main[[#This Row],[Cotação Ativo]],Table_Investimentos_Main[[#This Row],[Quantidade]])</f>
        <v>5786.9796207000009</v>
      </c>
    </row>
    <row r="202" spans="2:11" x14ac:dyDescent="0.2">
      <c r="B202" s="67">
        <v>45992</v>
      </c>
      <c r="C202" t="s">
        <v>55</v>
      </c>
      <c r="D202" t="s">
        <v>71</v>
      </c>
      <c r="E202" s="3" t="s">
        <v>27</v>
      </c>
      <c r="F202" s="3"/>
      <c r="G202" s="10">
        <v>6.0953400000000002</v>
      </c>
      <c r="H202" s="18" cm="1">
        <f t="array" ref="H202">_xlfn.XLOOKUP(Table_Investimentos_Main[[#This Row],[Data]]&amp;Table_Investimentos_Main[[#This Row],[Ticker]],Table_Cotacoes[Data]&amp;Table_Cotacoes[Ticker],Table_Cotacoes[Valor],"")</f>
        <v>504.34698900000001</v>
      </c>
      <c r="I202" s="5" t="str">
        <f>IF(Table_Investimentos_Main[[#This Row],[Ticker]]&lt;&gt;"",_xlfn.XLOOKUP(Table_Investimentos_Main[[#This Row],[Ticker]],Table_Cotacoes[Ticker],Table_Cotacoes[Moeda Base],""),"BRL")</f>
        <v>USD</v>
      </c>
      <c r="J202" s="11" cm="1">
        <f t="array" ref="J202">_xlfn.SINGLE(_xlfn.XLOOKUP(Table_Investimentos_Main[[#This Row],[Data]]&amp;"USD",Table_Cotacoes[Data]&amp;Table_Cotacoes[Ticker],Table_Cotacoes[Valor],""))</f>
        <v>5.3387000000000002</v>
      </c>
      <c r="K202" s="18">
        <f>IF(Table_Investimentos_Main[[#This Row],[Ticker]]&lt;&gt;"",Table_Investimentos_Main[[#This Row],[Quantidade]]*Table_Investimentos_Main[[#This Row],[Cotação Ativo]],Table_Investimentos_Main[[#This Row],[Quantidade]])</f>
        <v>3074.1663759312601</v>
      </c>
    </row>
    <row r="203" spans="2:11" x14ac:dyDescent="0.2">
      <c r="B203" s="67">
        <v>45992</v>
      </c>
      <c r="C203" t="s">
        <v>70</v>
      </c>
      <c r="D203" t="s">
        <v>72</v>
      </c>
      <c r="E203" s="3" t="s">
        <v>27</v>
      </c>
      <c r="F203" s="3"/>
      <c r="G203" s="10">
        <v>13.87541817</v>
      </c>
      <c r="H203" s="18" cm="1">
        <f t="array" ref="H203">_xlfn.XLOOKUP(Table_Investimentos_Main[[#This Row],[Data]]&amp;Table_Investimentos_Main[[#This Row],[Ticker]],Table_Cotacoes[Data]&amp;Table_Cotacoes[Ticker],Table_Cotacoes[Valor],"")</f>
        <v>448.18386500000003</v>
      </c>
      <c r="I203" s="5" t="str">
        <f>IF(Table_Investimentos_Main[[#This Row],[Ticker]]&lt;&gt;"",_xlfn.XLOOKUP(Table_Investimentos_Main[[#This Row],[Ticker]],Table_Cotacoes[Ticker],Table_Cotacoes[Moeda Base],""),"BRL")</f>
        <v>USD</v>
      </c>
      <c r="J203" s="11" cm="1">
        <f t="array" ref="J203">_xlfn.SINGLE(_xlfn.XLOOKUP(Table_Investimentos_Main[[#This Row],[Data]]&amp;"USD",Table_Cotacoes[Data]&amp;Table_Cotacoes[Ticker],Table_Cotacoes[Valor],""))</f>
        <v>5.3387000000000002</v>
      </c>
      <c r="K203" s="18">
        <f>IF(Table_Investimentos_Main[[#This Row],[Ticker]]&lt;&gt;"",Table_Investimentos_Main[[#This Row],[Quantidade]]*Table_Investimentos_Main[[#This Row],[Cotação Ativo]],Table_Investimentos_Main[[#This Row],[Quantidade]])</f>
        <v>6218.7385439218269</v>
      </c>
    </row>
    <row r="204" spans="2:11" x14ac:dyDescent="0.2">
      <c r="B204" s="67">
        <v>45992</v>
      </c>
      <c r="C204" t="s">
        <v>51</v>
      </c>
      <c r="D204" t="s">
        <v>73</v>
      </c>
      <c r="E204" s="3" t="s">
        <v>27</v>
      </c>
      <c r="F204" s="3"/>
      <c r="G204" s="10">
        <v>1.7415499999999999</v>
      </c>
      <c r="H204" s="18" cm="1">
        <f t="array" ref="H204">_xlfn.XLOOKUP(Table_Investimentos_Main[[#This Row],[Data]]&amp;Table_Investimentos_Main[[#This Row],[Ticker]],Table_Cotacoes[Data]&amp;Table_Cotacoes[Ticker],Table_Cotacoes[Valor],"")</f>
        <v>3371.20112776</v>
      </c>
      <c r="I204" s="5" t="str">
        <f>IF(Table_Investimentos_Main[[#This Row],[Ticker]]&lt;&gt;"",_xlfn.XLOOKUP(Table_Investimentos_Main[[#This Row],[Ticker]],Table_Cotacoes[Ticker],Table_Cotacoes[Moeda Base],""),"BRL")</f>
        <v>USD</v>
      </c>
      <c r="J204" s="11" cm="1">
        <f t="array" ref="J204">_xlfn.SINGLE(_xlfn.XLOOKUP(Table_Investimentos_Main[[#This Row],[Data]]&amp;"USD",Table_Cotacoes[Data]&amp;Table_Cotacoes[Ticker],Table_Cotacoes[Valor],""))</f>
        <v>5.3387000000000002</v>
      </c>
      <c r="K204" s="18">
        <f>IF(Table_Investimentos_Main[[#This Row],[Ticker]]&lt;&gt;"",Table_Investimentos_Main[[#This Row],[Quantidade]]*Table_Investimentos_Main[[#This Row],[Cotação Ativo]],Table_Investimentos_Main[[#This Row],[Quantidade]])</f>
        <v>5871.1153240504273</v>
      </c>
    </row>
    <row r="205" spans="2:11" x14ac:dyDescent="0.2">
      <c r="B205" s="67">
        <v>45992</v>
      </c>
      <c r="C205" t="s">
        <v>74</v>
      </c>
      <c r="E205" s="3" t="s">
        <v>27</v>
      </c>
      <c r="F205" s="3"/>
      <c r="G205" s="10">
        <v>11392.44</v>
      </c>
      <c r="H205" s="18" t="str" cm="1">
        <f t="array" ref="H205">_xlfn.XLOOKUP(Table_Investimentos_Main[[#This Row],[Data]]&amp;Table_Investimentos_Main[[#This Row],[Ticker]],Table_Cotacoes[Data]&amp;Table_Cotacoes[Ticker],Table_Cotacoes[Valor],"")</f>
        <v/>
      </c>
      <c r="I205" s="5" t="str">
        <f>IF(Table_Investimentos_Main[[#This Row],[Ticker]]&lt;&gt;"",_xlfn.XLOOKUP(Table_Investimentos_Main[[#This Row],[Ticker]],Table_Cotacoes[Ticker],Table_Cotacoes[Moeda Base],""),"BRL")</f>
        <v>BRL</v>
      </c>
      <c r="J205" s="11" cm="1">
        <f t="array" ref="J205">_xlfn.SINGLE(_xlfn.XLOOKUP(Table_Investimentos_Main[[#This Row],[Data]]&amp;"USD",Table_Cotacoes[Data]&amp;Table_Cotacoes[Ticker],Table_Cotacoes[Valor],""))</f>
        <v>5.3387000000000002</v>
      </c>
      <c r="K205" s="18">
        <f>IF(Table_Investimentos_Main[[#This Row],[Ticker]]&lt;&gt;"",Table_Investimentos_Main[[#This Row],[Quantidade]]*Table_Investimentos_Main[[#This Row],[Cotação Ativo]],Table_Investimentos_Main[[#This Row],[Quantidade]])</f>
        <v>11392.44</v>
      </c>
    </row>
    <row r="206" spans="2:11" x14ac:dyDescent="0.2">
      <c r="B206" s="67">
        <v>45992</v>
      </c>
      <c r="C206" t="s">
        <v>58</v>
      </c>
      <c r="E206" s="3" t="s">
        <v>27</v>
      </c>
      <c r="F206" s="3"/>
      <c r="G206" s="10">
        <v>5341.55</v>
      </c>
      <c r="H206" s="18" t="str" cm="1">
        <f t="array" ref="H206">_xlfn.XLOOKUP(Table_Investimentos_Main[[#This Row],[Data]]&amp;Table_Investimentos_Main[[#This Row],[Ticker]],Table_Cotacoes[Data]&amp;Table_Cotacoes[Ticker],Table_Cotacoes[Valor],"")</f>
        <v/>
      </c>
      <c r="I206" s="5" t="str">
        <f>IF(Table_Investimentos_Main[[#This Row],[Ticker]]&lt;&gt;"",_xlfn.XLOOKUP(Table_Investimentos_Main[[#This Row],[Ticker]],Table_Cotacoes[Ticker],Table_Cotacoes[Moeda Base],""),"BRL")</f>
        <v>BRL</v>
      </c>
      <c r="J206" s="11" cm="1">
        <f t="array" ref="J206">_xlfn.SINGLE(_xlfn.XLOOKUP(Table_Investimentos_Main[[#This Row],[Data]]&amp;"USD",Table_Cotacoes[Data]&amp;Table_Cotacoes[Ticker],Table_Cotacoes[Valor],""))</f>
        <v>5.3387000000000002</v>
      </c>
      <c r="K206" s="18">
        <f>IF(Table_Investimentos_Main[[#This Row],[Ticker]]&lt;&gt;"",Table_Investimentos_Main[[#This Row],[Quantidade]]*Table_Investimentos_Main[[#This Row],[Cotação Ativo]],Table_Investimentos_Main[[#This Row],[Quantidade]])</f>
        <v>5341.55</v>
      </c>
    </row>
    <row r="207" spans="2:11" x14ac:dyDescent="0.2">
      <c r="B207" s="67">
        <v>45992</v>
      </c>
      <c r="C207" t="s">
        <v>69</v>
      </c>
      <c r="E207" s="3" t="s">
        <v>27</v>
      </c>
      <c r="F207" s="3"/>
      <c r="G207" s="10">
        <f>4697.62+7300</f>
        <v>11997.619999999999</v>
      </c>
      <c r="H207" s="18" t="str" cm="1">
        <f t="array" ref="H207">_xlfn.XLOOKUP(Table_Investimentos_Main[[#This Row],[Data]]&amp;Table_Investimentos_Main[[#This Row],[Ticker]],Table_Cotacoes[Data]&amp;Table_Cotacoes[Ticker],Table_Cotacoes[Valor],"")</f>
        <v/>
      </c>
      <c r="I207" s="5" t="str">
        <f>IF(Table_Investimentos_Main[[#This Row],[Ticker]]&lt;&gt;"",_xlfn.XLOOKUP(Table_Investimentos_Main[[#This Row],[Ticker]],Table_Cotacoes[Ticker],Table_Cotacoes[Moeda Base],""),"BRL")</f>
        <v>BRL</v>
      </c>
      <c r="J207" s="11" cm="1">
        <f t="array" ref="J207">_xlfn.SINGLE(_xlfn.XLOOKUP(Table_Investimentos_Main[[#This Row],[Data]]&amp;"USD",Table_Cotacoes[Data]&amp;Table_Cotacoes[Ticker],Table_Cotacoes[Valor],""))</f>
        <v>5.3387000000000002</v>
      </c>
      <c r="K207" s="18">
        <f>IF(Table_Investimentos_Main[[#This Row],[Ticker]]&lt;&gt;"",Table_Investimentos_Main[[#This Row],[Quantidade]]*Table_Investimentos_Main[[#This Row],[Cotação Ativo]],Table_Investimentos_Main[[#This Row],[Quantidade]])</f>
        <v>11997.619999999999</v>
      </c>
    </row>
    <row r="208" spans="2:11" x14ac:dyDescent="0.2">
      <c r="B208" s="67">
        <v>45992</v>
      </c>
      <c r="C208" t="s">
        <v>49</v>
      </c>
      <c r="D208" t="s">
        <v>57</v>
      </c>
      <c r="E208" s="3" t="s">
        <v>22</v>
      </c>
      <c r="F208" s="3"/>
      <c r="G208" s="10">
        <v>6.0549999999999997</v>
      </c>
      <c r="H208" s="18" cm="1">
        <f t="array" ref="H208">_xlfn.XLOOKUP(Table_Investimentos_Main[[#This Row],[Data]]&amp;Table_Investimentos_Main[[#This Row],[Ticker]],Table_Cotacoes[Data]&amp;Table_Cotacoes[Ticker],Table_Cotacoes[Valor],"")</f>
        <v>720.79</v>
      </c>
      <c r="I208" s="5" t="str">
        <f>IF(Table_Investimentos_Main[[#This Row],[Ticker]]&lt;&gt;"",_xlfn.XLOOKUP(Table_Investimentos_Main[[#This Row],[Ticker]],Table_Cotacoes[Ticker],Table_Cotacoes[Moeda Base],""),"BRL")</f>
        <v>USD</v>
      </c>
      <c r="J208" s="11" cm="1">
        <f t="array" ref="J208">_xlfn.SINGLE(_xlfn.XLOOKUP(Table_Investimentos_Main[[#This Row],[Data]]&amp;"USD",Table_Cotacoes[Data]&amp;Table_Cotacoes[Ticker],Table_Cotacoes[Valor],""))</f>
        <v>5.3387000000000002</v>
      </c>
      <c r="K208" s="18">
        <f>IF(Table_Investimentos_Main[[#This Row],[Ticker]]&lt;&gt;"",Table_Investimentos_Main[[#This Row],[Quantidade]]*Table_Investimentos_Main[[#This Row],[Cotação Ativo]],Table_Investimentos_Main[[#This Row],[Quantidade]])</f>
        <v>4364.3834499999994</v>
      </c>
    </row>
    <row r="209" spans="2:11" x14ac:dyDescent="0.2">
      <c r="B209" s="67">
        <v>45992</v>
      </c>
      <c r="C209" t="s">
        <v>68</v>
      </c>
      <c r="E209" s="3" t="s">
        <v>27</v>
      </c>
      <c r="F209" s="3"/>
      <c r="G209" s="10">
        <v>11106.13</v>
      </c>
      <c r="H209" s="18" t="str" cm="1">
        <f t="array" ref="H209">_xlfn.XLOOKUP(Table_Investimentos_Main[[#This Row],[Data]]&amp;Table_Investimentos_Main[[#This Row],[Ticker]],Table_Cotacoes[Data]&amp;Table_Cotacoes[Ticker],Table_Cotacoes[Valor],"")</f>
        <v/>
      </c>
      <c r="I209" s="5" t="str">
        <f>IF(Table_Investimentos_Main[[#This Row],[Ticker]]&lt;&gt;"",_xlfn.XLOOKUP(Table_Investimentos_Main[[#This Row],[Ticker]],Table_Cotacoes[Ticker],Table_Cotacoes[Moeda Base],""),"BRL")</f>
        <v>BRL</v>
      </c>
      <c r="J209" s="11" cm="1">
        <f t="array" ref="J209">_xlfn.SINGLE(_xlfn.XLOOKUP(Table_Investimentos_Main[[#This Row],[Data]]&amp;"USD",Table_Cotacoes[Data]&amp;Table_Cotacoes[Ticker],Table_Cotacoes[Valor],""))</f>
        <v>5.3387000000000002</v>
      </c>
      <c r="K209" s="18">
        <f>IF(Table_Investimentos_Main[[#This Row],[Ticker]]&lt;&gt;"",Table_Investimentos_Main[[#This Row],[Quantidade]]*Table_Investimentos_Main[[#This Row],[Cotação Ativo]],Table_Investimentos_Main[[#This Row],[Quantidade]])</f>
        <v>11106.13</v>
      </c>
    </row>
    <row r="210" spans="2:11" x14ac:dyDescent="0.2">
      <c r="B210" s="67">
        <v>45992</v>
      </c>
      <c r="C210" t="s">
        <v>64</v>
      </c>
      <c r="D210" t="s">
        <v>24</v>
      </c>
      <c r="E210" s="3" t="s">
        <v>27</v>
      </c>
      <c r="F210" s="3"/>
      <c r="G210" s="10">
        <v>911.85</v>
      </c>
      <c r="H210" s="18" cm="1">
        <f t="array" ref="H210">_xlfn.XLOOKUP(Table_Investimentos_Main[[#This Row],[Data]]&amp;Table_Investimentos_Main[[#This Row],[Ticker]],Table_Cotacoes[Data]&amp;Table_Cotacoes[Ticker],Table_Cotacoes[Valor],"")</f>
        <v>5.3387000000000002</v>
      </c>
      <c r="I210" s="5" t="str">
        <f>IF(Table_Investimentos_Main[[#This Row],[Ticker]]&lt;&gt;"",_xlfn.XLOOKUP(Table_Investimentos_Main[[#This Row],[Ticker]],Table_Cotacoes[Ticker],Table_Cotacoes[Moeda Base],""),"BRL")</f>
        <v>USD</v>
      </c>
      <c r="J210" s="11" cm="1">
        <f t="array" ref="J210">_xlfn.SINGLE(_xlfn.XLOOKUP(Table_Investimentos_Main[[#This Row],[Data]]&amp;"USD",Table_Cotacoes[Data]&amp;Table_Cotacoes[Ticker],Table_Cotacoes[Valor],""))</f>
        <v>5.3387000000000002</v>
      </c>
      <c r="K210" s="18">
        <f>IF(Table_Investimentos_Main[[#This Row],[Ticker]]&lt;&gt;"",Table_Investimentos_Main[[#This Row],[Quantidade]]*Table_Investimentos_Main[[#This Row],[Cotação Ativo]],Table_Investimentos_Main[[#This Row],[Quantidade]])</f>
        <v>4868.0935950000003</v>
      </c>
    </row>
    <row r="211" spans="2:11" x14ac:dyDescent="0.2">
      <c r="B211" s="67">
        <v>45992</v>
      </c>
      <c r="C211" t="s">
        <v>44</v>
      </c>
      <c r="D211" t="s">
        <v>24</v>
      </c>
      <c r="E211" s="3" t="s">
        <v>66</v>
      </c>
      <c r="F211" s="3"/>
      <c r="G211" s="10">
        <v>1679.25</v>
      </c>
      <c r="H211" s="18" cm="1">
        <f t="array" ref="H211">_xlfn.XLOOKUP(Table_Investimentos_Main[[#This Row],[Data]]&amp;Table_Investimentos_Main[[#This Row],[Ticker]],Table_Cotacoes[Data]&amp;Table_Cotacoes[Ticker],Table_Cotacoes[Valor],"")</f>
        <v>5.3387000000000002</v>
      </c>
      <c r="I211" s="5" t="str">
        <f>IF(Table_Investimentos_Main[[#This Row],[Ticker]]&lt;&gt;"",_xlfn.XLOOKUP(Table_Investimentos_Main[[#This Row],[Ticker]],Table_Cotacoes[Ticker],Table_Cotacoes[Moeda Base],""),"BRL")</f>
        <v>USD</v>
      </c>
      <c r="J211" s="11" cm="1">
        <f t="array" ref="J211">_xlfn.SINGLE(_xlfn.XLOOKUP(Table_Investimentos_Main[[#This Row],[Data]]&amp;"USD",Table_Cotacoes[Data]&amp;Table_Cotacoes[Ticker],Table_Cotacoes[Valor],""))</f>
        <v>5.3387000000000002</v>
      </c>
      <c r="K211" s="18">
        <f>IF(Table_Investimentos_Main[[#This Row],[Ticker]]&lt;&gt;"",Table_Investimentos_Main[[#This Row],[Quantidade]]*Table_Investimentos_Main[[#This Row],[Cotação Ativo]],Table_Investimentos_Main[[#This Row],[Quantidade]])</f>
        <v>8965.0119750000013</v>
      </c>
    </row>
    <row r="212" spans="2:11" x14ac:dyDescent="0.2">
      <c r="B212" s="67">
        <v>45992</v>
      </c>
      <c r="C212" t="s">
        <v>21</v>
      </c>
      <c r="D212" t="s">
        <v>24</v>
      </c>
      <c r="E212" s="3" t="s">
        <v>22</v>
      </c>
      <c r="F212" s="3"/>
      <c r="G212" s="10">
        <v>103.45</v>
      </c>
      <c r="H212" s="18" cm="1">
        <f t="array" ref="H212">_xlfn.XLOOKUP(Table_Investimentos_Main[[#This Row],[Data]]&amp;Table_Investimentos_Main[[#This Row],[Ticker]],Table_Cotacoes[Data]&amp;Table_Cotacoes[Ticker],Table_Cotacoes[Valor],"")</f>
        <v>5.3387000000000002</v>
      </c>
      <c r="I212" s="5" t="str">
        <f>IF(Table_Investimentos_Main[[#This Row],[Ticker]]&lt;&gt;"",_xlfn.XLOOKUP(Table_Investimentos_Main[[#This Row],[Ticker]],Table_Cotacoes[Ticker],Table_Cotacoes[Moeda Base],""),"BRL")</f>
        <v>USD</v>
      </c>
      <c r="J212" s="11" cm="1">
        <f t="array" ref="J212">_xlfn.SINGLE(_xlfn.XLOOKUP(Table_Investimentos_Main[[#This Row],[Data]]&amp;"USD",Table_Cotacoes[Data]&amp;Table_Cotacoes[Ticker],Table_Cotacoes[Valor],""))</f>
        <v>5.3387000000000002</v>
      </c>
      <c r="K212" s="18">
        <f>IF(Table_Investimentos_Main[[#This Row],[Ticker]]&lt;&gt;"",Table_Investimentos_Main[[#This Row],[Quantidade]]*Table_Investimentos_Main[[#This Row],[Cotação Ativo]],Table_Investimentos_Main[[#This Row],[Quantidade]])</f>
        <v>552.28851500000007</v>
      </c>
    </row>
    <row r="213" spans="2:11" x14ac:dyDescent="0.2">
      <c r="B213" s="67">
        <v>46023</v>
      </c>
      <c r="C213" t="s">
        <v>44</v>
      </c>
      <c r="D213" t="s">
        <v>24</v>
      </c>
      <c r="E213" s="3" t="s">
        <v>66</v>
      </c>
      <c r="F213" s="3"/>
      <c r="G213" s="10">
        <v>1683.88</v>
      </c>
      <c r="H213" s="18" cm="1">
        <f t="array" ref="H213">_xlfn.XLOOKUP(Table_Investimentos_Main[[#This Row],[Data]]&amp;Table_Investimentos_Main[[#This Row],[Ticker]],Table_Cotacoes[Data]&amp;Table_Cotacoes[Ticker],Table_Cotacoes[Valor],"")</f>
        <v>5.2144000000000004</v>
      </c>
      <c r="I213" s="5" t="str">
        <f>IF(Table_Investimentos_Main[[#This Row],[Ticker]]&lt;&gt;"",_xlfn.XLOOKUP(Table_Investimentos_Main[[#This Row],[Ticker]],Table_Cotacoes[Ticker],Table_Cotacoes[Moeda Base],""),"BRL")</f>
        <v>USD</v>
      </c>
      <c r="J213" s="11" cm="1">
        <f t="array" ref="J213">_xlfn.SINGLE(_xlfn.XLOOKUP(Table_Investimentos_Main[[#This Row],[Data]]&amp;"USD",Table_Cotacoes[Data]&amp;Table_Cotacoes[Ticker],Table_Cotacoes[Valor],""))</f>
        <v>5.2144000000000004</v>
      </c>
      <c r="K213" s="18">
        <f>IF(Table_Investimentos_Main[[#This Row],[Ticker]]&lt;&gt;"",Table_Investimentos_Main[[#This Row],[Quantidade]]*Table_Investimentos_Main[[#This Row],[Cotação Ativo]],Table_Investimentos_Main[[#This Row],[Quantidade]])</f>
        <v>8780.4238720000012</v>
      </c>
    </row>
    <row r="214" spans="2:11" x14ac:dyDescent="0.2">
      <c r="B214" s="67">
        <v>46023</v>
      </c>
      <c r="C214" t="s">
        <v>42</v>
      </c>
      <c r="D214" t="s">
        <v>14</v>
      </c>
      <c r="E214" s="3" t="s">
        <v>22</v>
      </c>
      <c r="F214" s="3"/>
      <c r="G214" s="10">
        <v>1.2002820000000001E-2</v>
      </c>
      <c r="H214" s="18" cm="1">
        <f t="array" ref="H214">_xlfn.XLOOKUP(Table_Investimentos_Main[[#This Row],[Data]]&amp;Table_Investimentos_Main[[#This Row],[Ticker]],Table_Cotacoes[Data]&amp;Table_Cotacoes[Ticker],Table_Cotacoes[Valor],"")</f>
        <v>466870</v>
      </c>
      <c r="I214" s="5" t="str">
        <f>IF(Table_Investimentos_Main[[#This Row],[Ticker]]&lt;&gt;"",_xlfn.XLOOKUP(Table_Investimentos_Main[[#This Row],[Ticker]],Table_Cotacoes[Ticker],Table_Cotacoes[Moeda Base],""),"BRL")</f>
        <v>BTC</v>
      </c>
      <c r="J214" s="11" cm="1">
        <f t="array" ref="J214">_xlfn.SINGLE(_xlfn.XLOOKUP(Table_Investimentos_Main[[#This Row],[Data]]&amp;"USD",Table_Cotacoes[Data]&amp;Table_Cotacoes[Ticker],Table_Cotacoes[Valor],""))</f>
        <v>5.2144000000000004</v>
      </c>
      <c r="K214" s="18">
        <f>IF(Table_Investimentos_Main[[#This Row],[Ticker]]&lt;&gt;"",Table_Investimentos_Main[[#This Row],[Quantidade]]*Table_Investimentos_Main[[#This Row],[Cotação Ativo]],Table_Investimentos_Main[[#This Row],[Quantidade]])</f>
        <v>5603.7565734</v>
      </c>
    </row>
    <row r="215" spans="2:11" x14ac:dyDescent="0.2">
      <c r="B215" s="67">
        <v>46023</v>
      </c>
      <c r="C215" t="s">
        <v>49</v>
      </c>
      <c r="D215" t="s">
        <v>57</v>
      </c>
      <c r="E215" s="3" t="s">
        <v>22</v>
      </c>
      <c r="F215" s="3"/>
      <c r="G215" s="10">
        <v>6.0670000000000002</v>
      </c>
      <c r="H215" s="18" cm="1">
        <f t="array" ref="H215">_xlfn.XLOOKUP(Table_Investimentos_Main[[#This Row],[Data]]&amp;Table_Investimentos_Main[[#This Row],[Ticker]],Table_Cotacoes[Data]&amp;Table_Cotacoes[Ticker],Table_Cotacoes[Valor],"")</f>
        <v>656.21</v>
      </c>
      <c r="I215" s="5" t="str">
        <f>IF(Table_Investimentos_Main[[#This Row],[Ticker]]&lt;&gt;"",_xlfn.XLOOKUP(Table_Investimentos_Main[[#This Row],[Ticker]],Table_Cotacoes[Ticker],Table_Cotacoes[Moeda Base],""),"BRL")</f>
        <v>USD</v>
      </c>
      <c r="J215" s="11" cm="1">
        <f t="array" ref="J215">_xlfn.SINGLE(_xlfn.XLOOKUP(Table_Investimentos_Main[[#This Row],[Data]]&amp;"USD",Table_Cotacoes[Data]&amp;Table_Cotacoes[Ticker],Table_Cotacoes[Valor],""))</f>
        <v>5.2144000000000004</v>
      </c>
      <c r="K215" s="18">
        <f>IF(Table_Investimentos_Main[[#This Row],[Ticker]]&lt;&gt;"",Table_Investimentos_Main[[#This Row],[Quantidade]]*Table_Investimentos_Main[[#This Row],[Cotação Ativo]],Table_Investimentos_Main[[#This Row],[Quantidade]])</f>
        <v>3981.2260700000002</v>
      </c>
    </row>
    <row r="216" spans="2:11" x14ac:dyDescent="0.2">
      <c r="B216" s="67">
        <v>46023</v>
      </c>
      <c r="C216" t="s">
        <v>21</v>
      </c>
      <c r="D216" t="s">
        <v>24</v>
      </c>
      <c r="E216" s="3" t="s">
        <v>22</v>
      </c>
      <c r="F216" s="3"/>
      <c r="G216" s="10">
        <v>104.63</v>
      </c>
      <c r="H216" s="18" cm="1">
        <f t="array" ref="H216">_xlfn.XLOOKUP(Table_Investimentos_Main[[#This Row],[Data]]&amp;Table_Investimentos_Main[[#This Row],[Ticker]],Table_Cotacoes[Data]&amp;Table_Cotacoes[Ticker],Table_Cotacoes[Valor],"")</f>
        <v>5.2144000000000004</v>
      </c>
      <c r="I216" s="5" t="str">
        <f>IF(Table_Investimentos_Main[[#This Row],[Ticker]]&lt;&gt;"",_xlfn.XLOOKUP(Table_Investimentos_Main[[#This Row],[Ticker]],Table_Cotacoes[Ticker],Table_Cotacoes[Moeda Base],""),"BRL")</f>
        <v>USD</v>
      </c>
      <c r="J216" s="11" cm="1">
        <f t="array" ref="J216">_xlfn.SINGLE(_xlfn.XLOOKUP(Table_Investimentos_Main[[#This Row],[Data]]&amp;"USD",Table_Cotacoes[Data]&amp;Table_Cotacoes[Ticker],Table_Cotacoes[Valor],""))</f>
        <v>5.2144000000000004</v>
      </c>
      <c r="K216" s="18">
        <f>IF(Table_Investimentos_Main[[#This Row],[Ticker]]&lt;&gt;"",Table_Investimentos_Main[[#This Row],[Quantidade]]*Table_Investimentos_Main[[#This Row],[Cotação Ativo]],Table_Investimentos_Main[[#This Row],[Quantidade]])</f>
        <v>545.582672</v>
      </c>
    </row>
    <row r="217" spans="2:11" x14ac:dyDescent="0.2">
      <c r="B217" s="67">
        <v>46023</v>
      </c>
      <c r="C217" t="s">
        <v>55</v>
      </c>
      <c r="D217" t="s">
        <v>71</v>
      </c>
      <c r="E217" s="3" t="s">
        <v>27</v>
      </c>
      <c r="F217" s="3"/>
      <c r="G217" s="10">
        <v>6.0953400000000002</v>
      </c>
      <c r="H217" s="18" cm="1">
        <f t="array" ref="H217">_xlfn.XLOOKUP(Table_Investimentos_Main[[#This Row],[Data]]&amp;Table_Investimentos_Main[[#This Row],[Ticker]],Table_Cotacoes[Data]&amp;Table_Cotacoes[Ticker],Table_Cotacoes[Valor],"")</f>
        <v>530.82592</v>
      </c>
      <c r="I217" s="5" t="str">
        <f>IF(Table_Investimentos_Main[[#This Row],[Ticker]]&lt;&gt;"",_xlfn.XLOOKUP(Table_Investimentos_Main[[#This Row],[Ticker]],Table_Cotacoes[Ticker],Table_Cotacoes[Moeda Base],""),"BRL")</f>
        <v>USD</v>
      </c>
      <c r="J217" s="11" cm="1">
        <f t="array" ref="J217">_xlfn.SINGLE(_xlfn.XLOOKUP(Table_Investimentos_Main[[#This Row],[Data]]&amp;"USD",Table_Cotacoes[Data]&amp;Table_Cotacoes[Ticker],Table_Cotacoes[Valor],""))</f>
        <v>5.2144000000000004</v>
      </c>
      <c r="K217" s="18">
        <f>IF(Table_Investimentos_Main[[#This Row],[Ticker]]&lt;&gt;"",Table_Investimentos_Main[[#This Row],[Quantidade]]*Table_Investimentos_Main[[#This Row],[Cotação Ativo]],Table_Investimentos_Main[[#This Row],[Quantidade]])</f>
        <v>3235.5644632128001</v>
      </c>
    </row>
    <row r="218" spans="2:11" x14ac:dyDescent="0.2">
      <c r="B218" s="67">
        <v>46023</v>
      </c>
      <c r="C218" t="s">
        <v>70</v>
      </c>
      <c r="D218" t="s">
        <v>72</v>
      </c>
      <c r="E218" s="3" t="s">
        <v>27</v>
      </c>
      <c r="F218" s="3"/>
      <c r="G218" s="10">
        <v>13.87541817</v>
      </c>
      <c r="H218" s="18" cm="1">
        <f t="array" ref="H218">_xlfn.XLOOKUP(Table_Investimentos_Main[[#This Row],[Data]]&amp;Table_Investimentos_Main[[#This Row],[Ticker]],Table_Cotacoes[Data]&amp;Table_Cotacoes[Ticker],Table_Cotacoes[Valor],"")</f>
        <v>546.31268799999998</v>
      </c>
      <c r="I218" s="5" t="str">
        <f>IF(Table_Investimentos_Main[[#This Row],[Ticker]]&lt;&gt;"",_xlfn.XLOOKUP(Table_Investimentos_Main[[#This Row],[Ticker]],Table_Cotacoes[Ticker],Table_Cotacoes[Moeda Base],""),"BRL")</f>
        <v>USD</v>
      </c>
      <c r="J218" s="11" cm="1">
        <f t="array" ref="J218">_xlfn.SINGLE(_xlfn.XLOOKUP(Table_Investimentos_Main[[#This Row],[Data]]&amp;"USD",Table_Cotacoes[Data]&amp;Table_Cotacoes[Ticker],Table_Cotacoes[Valor],""))</f>
        <v>5.2144000000000004</v>
      </c>
      <c r="K218" s="18">
        <f>IF(Table_Investimentos_Main[[#This Row],[Ticker]]&lt;&gt;"",Table_Investimentos_Main[[#This Row],[Quantidade]]*Table_Investimentos_Main[[#This Row],[Cotação Ativo]],Table_Investimentos_Main[[#This Row],[Quantidade]])</f>
        <v>7580.3169975767405</v>
      </c>
    </row>
    <row r="219" spans="2:11" x14ac:dyDescent="0.2">
      <c r="B219" s="67">
        <v>46023</v>
      </c>
      <c r="C219" t="s">
        <v>51</v>
      </c>
      <c r="D219" t="s">
        <v>73</v>
      </c>
      <c r="E219" s="3" t="s">
        <v>27</v>
      </c>
      <c r="F219" s="3"/>
      <c r="G219" s="10">
        <v>1.7415499999999999</v>
      </c>
      <c r="H219" s="18" cm="1">
        <f t="array" ref="H219">_xlfn.XLOOKUP(Table_Investimentos_Main[[#This Row],[Data]]&amp;Table_Investimentos_Main[[#This Row],[Ticker]],Table_Cotacoes[Data]&amp;Table_Cotacoes[Ticker],Table_Cotacoes[Valor],"")</f>
        <v>3333.04448</v>
      </c>
      <c r="I219" s="5" t="str">
        <f>IF(Table_Investimentos_Main[[#This Row],[Ticker]]&lt;&gt;"",_xlfn.XLOOKUP(Table_Investimentos_Main[[#This Row],[Ticker]],Table_Cotacoes[Ticker],Table_Cotacoes[Moeda Base],""),"BRL")</f>
        <v>USD</v>
      </c>
      <c r="J219" s="11" cm="1">
        <f t="array" ref="J219">_xlfn.SINGLE(_xlfn.XLOOKUP(Table_Investimentos_Main[[#This Row],[Data]]&amp;"USD",Table_Cotacoes[Data]&amp;Table_Cotacoes[Ticker],Table_Cotacoes[Valor],""))</f>
        <v>5.2144000000000004</v>
      </c>
      <c r="K219" s="18">
        <f>IF(Table_Investimentos_Main[[#This Row],[Ticker]]&lt;&gt;"",Table_Investimentos_Main[[#This Row],[Quantidade]]*Table_Investimentos_Main[[#This Row],[Cotação Ativo]],Table_Investimentos_Main[[#This Row],[Quantidade]])</f>
        <v>5804.6636141439994</v>
      </c>
    </row>
    <row r="220" spans="2:11" x14ac:dyDescent="0.2">
      <c r="B220" s="67">
        <v>46023</v>
      </c>
      <c r="C220" t="s">
        <v>74</v>
      </c>
      <c r="E220" s="3" t="s">
        <v>27</v>
      </c>
      <c r="F220" s="3"/>
      <c r="G220" s="10">
        <v>11500.96</v>
      </c>
      <c r="H220" s="18" t="str" cm="1">
        <f t="array" ref="H220">_xlfn.XLOOKUP(Table_Investimentos_Main[[#This Row],[Data]]&amp;Table_Investimentos_Main[[#This Row],[Ticker]],Table_Cotacoes[Data]&amp;Table_Cotacoes[Ticker],Table_Cotacoes[Valor],"")</f>
        <v/>
      </c>
      <c r="I220" s="5" t="str">
        <f>IF(Table_Investimentos_Main[[#This Row],[Ticker]]&lt;&gt;"",_xlfn.XLOOKUP(Table_Investimentos_Main[[#This Row],[Ticker]],Table_Cotacoes[Ticker],Table_Cotacoes[Moeda Base],""),"BRL")</f>
        <v>BRL</v>
      </c>
      <c r="J220" s="11" cm="1">
        <f t="array" ref="J220">_xlfn.SINGLE(_xlfn.XLOOKUP(Table_Investimentos_Main[[#This Row],[Data]]&amp;"USD",Table_Cotacoes[Data]&amp;Table_Cotacoes[Ticker],Table_Cotacoes[Valor],""))</f>
        <v>5.2144000000000004</v>
      </c>
      <c r="K220" s="18">
        <f>IF(Table_Investimentos_Main[[#This Row],[Ticker]]&lt;&gt;"",Table_Investimentos_Main[[#This Row],[Quantidade]]*Table_Investimentos_Main[[#This Row],[Cotação Ativo]],Table_Investimentos_Main[[#This Row],[Quantidade]])</f>
        <v>11500.96</v>
      </c>
    </row>
    <row r="221" spans="2:11" x14ac:dyDescent="0.2">
      <c r="B221" s="67">
        <v>46023</v>
      </c>
      <c r="C221" t="s">
        <v>58</v>
      </c>
      <c r="E221" s="3" t="s">
        <v>27</v>
      </c>
      <c r="F221" s="3"/>
      <c r="G221" s="10">
        <v>5757.57</v>
      </c>
      <c r="H221" s="18" t="str" cm="1">
        <f t="array" ref="H221">_xlfn.XLOOKUP(Table_Investimentos_Main[[#This Row],[Data]]&amp;Table_Investimentos_Main[[#This Row],[Ticker]],Table_Cotacoes[Data]&amp;Table_Cotacoes[Ticker],Table_Cotacoes[Valor],"")</f>
        <v/>
      </c>
      <c r="I221" s="5" t="str">
        <f>IF(Table_Investimentos_Main[[#This Row],[Ticker]]&lt;&gt;"",_xlfn.XLOOKUP(Table_Investimentos_Main[[#This Row],[Ticker]],Table_Cotacoes[Ticker],Table_Cotacoes[Moeda Base],""),"BRL")</f>
        <v>BRL</v>
      </c>
      <c r="J221" s="11" cm="1">
        <f t="array" ref="J221">_xlfn.SINGLE(_xlfn.XLOOKUP(Table_Investimentos_Main[[#This Row],[Data]]&amp;"USD",Table_Cotacoes[Data]&amp;Table_Cotacoes[Ticker],Table_Cotacoes[Valor],""))</f>
        <v>5.2144000000000004</v>
      </c>
      <c r="K221" s="18">
        <f>IF(Table_Investimentos_Main[[#This Row],[Ticker]]&lt;&gt;"",Table_Investimentos_Main[[#This Row],[Quantidade]]*Table_Investimentos_Main[[#This Row],[Cotação Ativo]],Table_Investimentos_Main[[#This Row],[Quantidade]])</f>
        <v>5757.57</v>
      </c>
    </row>
    <row r="222" spans="2:11" x14ac:dyDescent="0.2">
      <c r="B222" s="67">
        <v>46023</v>
      </c>
      <c r="C222" t="s">
        <v>75</v>
      </c>
      <c r="E222" s="3" t="s">
        <v>27</v>
      </c>
      <c r="F222" s="3"/>
      <c r="G222" s="10">
        <f>11997.62*54%</f>
        <v>6478.7148000000007</v>
      </c>
      <c r="H222" s="18" t="str" cm="1">
        <f t="array" ref="H222">_xlfn.XLOOKUP(Table_Investimentos_Main[[#This Row],[Data]]&amp;Table_Investimentos_Main[[#This Row],[Ticker]],Table_Cotacoes[Data]&amp;Table_Cotacoes[Ticker],Table_Cotacoes[Valor],"")</f>
        <v/>
      </c>
      <c r="I222" s="5" t="str">
        <f>IF(Table_Investimentos_Main[[#This Row],[Ticker]]&lt;&gt;"",_xlfn.XLOOKUP(Table_Investimentos_Main[[#This Row],[Ticker]],Table_Cotacoes[Ticker],Table_Cotacoes[Moeda Base],""),"BRL")</f>
        <v>BRL</v>
      </c>
      <c r="J222" s="11" cm="1">
        <f t="array" ref="J222">_xlfn.SINGLE(_xlfn.XLOOKUP(Table_Investimentos_Main[[#This Row],[Data]]&amp;"USD",Table_Cotacoes[Data]&amp;Table_Cotacoes[Ticker],Table_Cotacoes[Valor],""))</f>
        <v>5.2144000000000004</v>
      </c>
      <c r="K222" s="18">
        <f>IF(Table_Investimentos_Main[[#This Row],[Ticker]]&lt;&gt;"",Table_Investimentos_Main[[#This Row],[Quantidade]]*Table_Investimentos_Main[[#This Row],[Cotação Ativo]],Table_Investimentos_Main[[#This Row],[Quantidade]])</f>
        <v>6478.7148000000007</v>
      </c>
    </row>
    <row r="223" spans="2:11" x14ac:dyDescent="0.2">
      <c r="B223" s="67">
        <v>46023</v>
      </c>
      <c r="C223" t="s">
        <v>76</v>
      </c>
      <c r="E223" s="3" t="s">
        <v>27</v>
      </c>
      <c r="F223" s="3"/>
      <c r="G223" s="10">
        <f>11997.62*46%</f>
        <v>5518.9052000000011</v>
      </c>
      <c r="H223" s="18" t="str" cm="1">
        <f t="array" ref="H223">_xlfn.XLOOKUP(Table_Investimentos_Main[[#This Row],[Data]]&amp;Table_Investimentos_Main[[#This Row],[Ticker]],Table_Cotacoes[Data]&amp;Table_Cotacoes[Ticker],Table_Cotacoes[Valor],"")</f>
        <v/>
      </c>
      <c r="I223" s="5" t="str">
        <f>IF(Table_Investimentos_Main[[#This Row],[Ticker]]&lt;&gt;"",_xlfn.XLOOKUP(Table_Investimentos_Main[[#This Row],[Ticker]],Table_Cotacoes[Ticker],Table_Cotacoes[Moeda Base],""),"BRL")</f>
        <v>BRL</v>
      </c>
      <c r="J223" s="11" cm="1">
        <f t="array" ref="J223">_xlfn.SINGLE(_xlfn.XLOOKUP(Table_Investimentos_Main[[#This Row],[Data]]&amp;"USD",Table_Cotacoes[Data]&amp;Table_Cotacoes[Ticker],Table_Cotacoes[Valor],""))</f>
        <v>5.2144000000000004</v>
      </c>
      <c r="K223" s="18">
        <f>IF(Table_Investimentos_Main[[#This Row],[Ticker]]&lt;&gt;"",Table_Investimentos_Main[[#This Row],[Quantidade]]*Table_Investimentos_Main[[#This Row],[Cotação Ativo]],Table_Investimentos_Main[[#This Row],[Quantidade]])</f>
        <v>5518.9052000000011</v>
      </c>
    </row>
    <row r="224" spans="2:11" x14ac:dyDescent="0.2">
      <c r="B224" s="67">
        <v>46023</v>
      </c>
      <c r="C224" t="s">
        <v>68</v>
      </c>
      <c r="E224" s="3" t="s">
        <v>27</v>
      </c>
      <c r="F224" s="3"/>
      <c r="G224" s="10">
        <v>12995.59</v>
      </c>
      <c r="H224" s="18" t="str" cm="1">
        <f t="array" ref="H224">_xlfn.XLOOKUP(Table_Investimentos_Main[[#This Row],[Data]]&amp;Table_Investimentos_Main[[#This Row],[Ticker]],Table_Cotacoes[Data]&amp;Table_Cotacoes[Ticker],Table_Cotacoes[Valor],"")</f>
        <v/>
      </c>
      <c r="I224" s="5" t="str">
        <f>IF(Table_Investimentos_Main[[#This Row],[Ticker]]&lt;&gt;"",_xlfn.XLOOKUP(Table_Investimentos_Main[[#This Row],[Ticker]],Table_Cotacoes[Ticker],Table_Cotacoes[Moeda Base],""),"BRL")</f>
        <v>BRL</v>
      </c>
      <c r="J224" s="11" cm="1">
        <f t="array" ref="J224">_xlfn.SINGLE(_xlfn.XLOOKUP(Table_Investimentos_Main[[#This Row],[Data]]&amp;"USD",Table_Cotacoes[Data]&amp;Table_Cotacoes[Ticker],Table_Cotacoes[Valor],""))</f>
        <v>5.2144000000000004</v>
      </c>
      <c r="K224" s="18">
        <f>IF(Table_Investimentos_Main[[#This Row],[Ticker]]&lt;&gt;"",Table_Investimentos_Main[[#This Row],[Quantidade]]*Table_Investimentos_Main[[#This Row],[Cotação Ativo]],Table_Investimentos_Main[[#This Row],[Quantidade]])</f>
        <v>12995.59</v>
      </c>
    </row>
    <row r="225" spans="2:11" x14ac:dyDescent="0.2">
      <c r="B225" s="67">
        <v>46023</v>
      </c>
      <c r="C225" t="s">
        <v>64</v>
      </c>
      <c r="D225" t="s">
        <v>24</v>
      </c>
      <c r="E225" s="3" t="s">
        <v>27</v>
      </c>
      <c r="F225" s="3"/>
      <c r="G225" s="10">
        <f>916.68+567.24</f>
        <v>1483.92</v>
      </c>
      <c r="H225" s="18" cm="1">
        <f t="array" ref="H225">_xlfn.XLOOKUP(Table_Investimentos_Main[[#This Row],[Data]]&amp;Table_Investimentos_Main[[#This Row],[Ticker]],Table_Cotacoes[Data]&amp;Table_Cotacoes[Ticker],Table_Cotacoes[Valor],"")</f>
        <v>5.2144000000000004</v>
      </c>
      <c r="I225" s="5" t="str">
        <f>IF(Table_Investimentos_Main[[#This Row],[Ticker]]&lt;&gt;"",_xlfn.XLOOKUP(Table_Investimentos_Main[[#This Row],[Ticker]],Table_Cotacoes[Ticker],Table_Cotacoes[Moeda Base],""),"BRL")</f>
        <v>USD</v>
      </c>
      <c r="J225" s="11" cm="1">
        <f t="array" ref="J225">_xlfn.SINGLE(_xlfn.XLOOKUP(Table_Investimentos_Main[[#This Row],[Data]]&amp;"USD",Table_Cotacoes[Data]&amp;Table_Cotacoes[Ticker],Table_Cotacoes[Valor],""))</f>
        <v>5.2144000000000004</v>
      </c>
      <c r="K225" s="18">
        <f>IF(Table_Investimentos_Main[[#This Row],[Ticker]]&lt;&gt;"",Table_Investimentos_Main[[#This Row],[Quantidade]]*Table_Investimentos_Main[[#This Row],[Cotação Ativo]],Table_Investimentos_Main[[#This Row],[Quantidade]])</f>
        <v>7737.7524480000011</v>
      </c>
    </row>
    <row r="226" spans="2:11" x14ac:dyDescent="0.2">
      <c r="B226" s="67">
        <v>46023</v>
      </c>
      <c r="C226" t="s">
        <v>41</v>
      </c>
      <c r="D226" t="s">
        <v>14</v>
      </c>
      <c r="E226" s="3" t="s">
        <v>12</v>
      </c>
      <c r="F226" s="3"/>
      <c r="G226" s="10">
        <v>0.27932595999999998</v>
      </c>
      <c r="H226" s="18" cm="1">
        <f t="array" ref="H226">_xlfn.XLOOKUP(Table_Investimentos_Main[[#This Row],[Data]]&amp;Table_Investimentos_Main[[#This Row],[Ticker]],Table_Cotacoes[Data]&amp;Table_Cotacoes[Ticker],Table_Cotacoes[Valor],"")</f>
        <v>466870</v>
      </c>
      <c r="I226" s="5" t="str">
        <f>IF(Table_Investimentos_Main[[#This Row],[Ticker]]&lt;&gt;"",_xlfn.XLOOKUP(Table_Investimentos_Main[[#This Row],[Ticker]],Table_Cotacoes[Ticker],Table_Cotacoes[Moeda Base],""),"BRL")</f>
        <v>BTC</v>
      </c>
      <c r="J226" s="11" cm="1">
        <f t="array" ref="J226">_xlfn.SINGLE(_xlfn.XLOOKUP(Table_Investimentos_Main[[#This Row],[Data]]&amp;"USD",Table_Cotacoes[Data]&amp;Table_Cotacoes[Ticker],Table_Cotacoes[Valor],""))</f>
        <v>5.2144000000000004</v>
      </c>
      <c r="K226" s="18">
        <f>IF(Table_Investimentos_Main[[#This Row],[Ticker]]&lt;&gt;"",Table_Investimentos_Main[[#This Row],[Quantidade]]*Table_Investimentos_Main[[#This Row],[Cotação Ativo]],Table_Investimentos_Main[[#This Row],[Quantidade]])</f>
        <v>130408.9109452</v>
      </c>
    </row>
    <row r="227" spans="2:11" x14ac:dyDescent="0.2">
      <c r="B227" s="67">
        <v>46054</v>
      </c>
      <c r="C227" t="s">
        <v>44</v>
      </c>
      <c r="D227" t="s">
        <v>24</v>
      </c>
      <c r="E227" s="3" t="s">
        <v>66</v>
      </c>
      <c r="F227" s="3"/>
      <c r="G227" s="10">
        <v>1687.02</v>
      </c>
      <c r="H227" s="18" cm="1">
        <f t="array" ref="H227">_xlfn.XLOOKUP(Table_Investimentos_Main[[#This Row],[Data]]&amp;Table_Investimentos_Main[[#This Row],[Ticker]],Table_Cotacoes[Data]&amp;Table_Cotacoes[Ticker],Table_Cotacoes[Valor],"")</f>
        <v>5.2220000000000004</v>
      </c>
      <c r="I227" s="5" t="str">
        <f>IF(Table_Investimentos_Main[[#This Row],[Ticker]]&lt;&gt;"",_xlfn.XLOOKUP(Table_Investimentos_Main[[#This Row],[Ticker]],Table_Cotacoes[Ticker],Table_Cotacoes[Moeda Base],""),"BRL")</f>
        <v>USD</v>
      </c>
      <c r="J227" s="11" cm="1">
        <f t="array" ref="J227">_xlfn.SINGLE(_xlfn.XLOOKUP(Table_Investimentos_Main[[#This Row],[Data]]&amp;"USD",Table_Cotacoes[Data]&amp;Table_Cotacoes[Ticker],Table_Cotacoes[Valor],""))</f>
        <v>5.2220000000000004</v>
      </c>
      <c r="K227" s="18">
        <f>IF(Table_Investimentos_Main[[#This Row],[Ticker]]&lt;&gt;"",Table_Investimentos_Main[[#This Row],[Quantidade]]*Table_Investimentos_Main[[#This Row],[Cotação Ativo]],Table_Investimentos_Main[[#This Row],[Quantidade]])</f>
        <v>8809.6184400000002</v>
      </c>
    </row>
    <row r="228" spans="2:11" x14ac:dyDescent="0.2">
      <c r="B228" s="67">
        <v>46054</v>
      </c>
      <c r="C228" t="s">
        <v>74</v>
      </c>
      <c r="E228" s="3" t="s">
        <v>27</v>
      </c>
      <c r="F228" s="3"/>
      <c r="G228" s="10">
        <v>11605.01</v>
      </c>
      <c r="H228" s="18" t="str" cm="1">
        <f t="array" ref="H228">_xlfn.XLOOKUP(Table_Investimentos_Main[[#This Row],[Data]]&amp;Table_Investimentos_Main[[#This Row],[Ticker]],Table_Cotacoes[Data]&amp;Table_Cotacoes[Ticker],Table_Cotacoes[Valor],"")</f>
        <v/>
      </c>
      <c r="I228" s="5" t="str">
        <f>IF(Table_Investimentos_Main[[#This Row],[Ticker]]&lt;&gt;"",_xlfn.XLOOKUP(Table_Investimentos_Main[[#This Row],[Ticker]],Table_Cotacoes[Ticker],Table_Cotacoes[Moeda Base],""),"BRL")</f>
        <v>BRL</v>
      </c>
      <c r="J228" s="11" cm="1">
        <f t="array" ref="J228">_xlfn.SINGLE(_xlfn.XLOOKUP(Table_Investimentos_Main[[#This Row],[Data]]&amp;"USD",Table_Cotacoes[Data]&amp;Table_Cotacoes[Ticker],Table_Cotacoes[Valor],""))</f>
        <v>5.2220000000000004</v>
      </c>
      <c r="K228" s="18">
        <f>IF(Table_Investimentos_Main[[#This Row],[Ticker]]&lt;&gt;"",Table_Investimentos_Main[[#This Row],[Quantidade]]*Table_Investimentos_Main[[#This Row],[Cotação Ativo]],Table_Investimentos_Main[[#This Row],[Quantidade]])</f>
        <v>11605.01</v>
      </c>
    </row>
    <row r="229" spans="2:11" x14ac:dyDescent="0.2">
      <c r="B229" s="67">
        <v>46054</v>
      </c>
      <c r="C229" t="s">
        <v>58</v>
      </c>
      <c r="E229" s="3" t="s">
        <v>27</v>
      </c>
      <c r="F229" s="3"/>
      <c r="G229" s="10">
        <v>8651.25</v>
      </c>
      <c r="H229" s="18" t="str" cm="1">
        <f t="array" ref="H229">_xlfn.XLOOKUP(Table_Investimentos_Main[[#This Row],[Data]]&amp;Table_Investimentos_Main[[#This Row],[Ticker]],Table_Cotacoes[Data]&amp;Table_Cotacoes[Ticker],Table_Cotacoes[Valor],"")</f>
        <v/>
      </c>
      <c r="I229" s="5" t="str">
        <f>IF(Table_Investimentos_Main[[#This Row],[Ticker]]&lt;&gt;"",_xlfn.XLOOKUP(Table_Investimentos_Main[[#This Row],[Ticker]],Table_Cotacoes[Ticker],Table_Cotacoes[Moeda Base],""),"BRL")</f>
        <v>BRL</v>
      </c>
      <c r="J229" s="11" cm="1">
        <f t="array" ref="J229">_xlfn.SINGLE(_xlfn.XLOOKUP(Table_Investimentos_Main[[#This Row],[Data]]&amp;"USD",Table_Cotacoes[Data]&amp;Table_Cotacoes[Ticker],Table_Cotacoes[Valor],""))</f>
        <v>5.2220000000000004</v>
      </c>
      <c r="K229" s="18">
        <f>IF(Table_Investimentos_Main[[#This Row],[Ticker]]&lt;&gt;"",Table_Investimentos_Main[[#This Row],[Quantidade]]*Table_Investimentos_Main[[#This Row],[Cotação Ativo]],Table_Investimentos_Main[[#This Row],[Quantidade]])</f>
        <v>8651.25</v>
      </c>
    </row>
    <row r="230" spans="2:11" x14ac:dyDescent="0.2">
      <c r="B230" s="67">
        <v>46054</v>
      </c>
      <c r="C230" t="s">
        <v>42</v>
      </c>
      <c r="D230" t="s">
        <v>14</v>
      </c>
      <c r="E230" s="3" t="s">
        <v>22</v>
      </c>
      <c r="F230" s="3"/>
      <c r="G230" s="10">
        <v>2.1141779999999999E-2</v>
      </c>
      <c r="H230" s="18" cm="1">
        <f t="array" ref="H230">_xlfn.XLOOKUP(Table_Investimentos_Main[[#This Row],[Data]]&amp;Table_Investimentos_Main[[#This Row],[Ticker]],Table_Cotacoes[Data]&amp;Table_Cotacoes[Ticker],Table_Cotacoes[Valor],"")</f>
        <v>354230</v>
      </c>
      <c r="I230" s="5" t="str">
        <f>IF(Table_Investimentos_Main[[#This Row],[Ticker]]&lt;&gt;"",_xlfn.XLOOKUP(Table_Investimentos_Main[[#This Row],[Ticker]],Table_Cotacoes[Ticker],Table_Cotacoes[Moeda Base],""),"BRL")</f>
        <v>BTC</v>
      </c>
      <c r="J230" s="11" cm="1">
        <f t="array" ref="J230">_xlfn.SINGLE(_xlfn.XLOOKUP(Table_Investimentos_Main[[#This Row],[Data]]&amp;"USD",Table_Cotacoes[Data]&amp;Table_Cotacoes[Ticker],Table_Cotacoes[Valor],""))</f>
        <v>5.2220000000000004</v>
      </c>
      <c r="K230" s="18">
        <f>IF(Table_Investimentos_Main[[#This Row],[Ticker]]&lt;&gt;"",Table_Investimentos_Main[[#This Row],[Quantidade]]*Table_Investimentos_Main[[#This Row],[Cotação Ativo]],Table_Investimentos_Main[[#This Row],[Quantidade]])</f>
        <v>7489.0527293999994</v>
      </c>
    </row>
    <row r="231" spans="2:11" x14ac:dyDescent="0.2">
      <c r="B231" s="67">
        <v>46054</v>
      </c>
      <c r="C231" t="s">
        <v>49</v>
      </c>
      <c r="D231" t="s">
        <v>57</v>
      </c>
      <c r="E231" s="3" t="s">
        <v>22</v>
      </c>
      <c r="F231" s="3"/>
      <c r="G231" s="10">
        <v>6.0670000000000002</v>
      </c>
      <c r="H231" s="18" cm="1">
        <f t="array" ref="H231">_xlfn.XLOOKUP(Table_Investimentos_Main[[#This Row],[Data]]&amp;Table_Investimentos_Main[[#This Row],[Ticker]],Table_Cotacoes[Data]&amp;Table_Cotacoes[Ticker],Table_Cotacoes[Valor],"")</f>
        <v>436.27</v>
      </c>
      <c r="I231" s="5" t="str">
        <f>IF(Table_Investimentos_Main[[#This Row],[Ticker]]&lt;&gt;"",_xlfn.XLOOKUP(Table_Investimentos_Main[[#This Row],[Ticker]],Table_Cotacoes[Ticker],Table_Cotacoes[Moeda Base],""),"BRL")</f>
        <v>USD</v>
      </c>
      <c r="J231" s="11" cm="1">
        <f t="array" ref="J231">_xlfn.SINGLE(_xlfn.XLOOKUP(Table_Investimentos_Main[[#This Row],[Data]]&amp;"USD",Table_Cotacoes[Data]&amp;Table_Cotacoes[Ticker],Table_Cotacoes[Valor],""))</f>
        <v>5.2220000000000004</v>
      </c>
      <c r="K231" s="18">
        <f>IF(Table_Investimentos_Main[[#This Row],[Ticker]]&lt;&gt;"",Table_Investimentos_Main[[#This Row],[Quantidade]]*Table_Investimentos_Main[[#This Row],[Cotação Ativo]],Table_Investimentos_Main[[#This Row],[Quantidade]])</f>
        <v>2646.8500899999999</v>
      </c>
    </row>
    <row r="232" spans="2:11" x14ac:dyDescent="0.2">
      <c r="B232" s="67">
        <v>46054</v>
      </c>
      <c r="C232" t="s">
        <v>41</v>
      </c>
      <c r="D232" t="s">
        <v>14</v>
      </c>
      <c r="E232" s="3" t="s">
        <v>12</v>
      </c>
      <c r="F232" s="3"/>
      <c r="G232" s="10">
        <v>0.27932595999999998</v>
      </c>
      <c r="H232" s="18" cm="1">
        <f t="array" ref="H232">_xlfn.XLOOKUP(Table_Investimentos_Main[[#This Row],[Data]]&amp;Table_Investimentos_Main[[#This Row],[Ticker]],Table_Cotacoes[Data]&amp;Table_Cotacoes[Ticker],Table_Cotacoes[Valor],"")</f>
        <v>354230</v>
      </c>
      <c r="I232" s="5" t="str">
        <f>IF(Table_Investimentos_Main[[#This Row],[Ticker]]&lt;&gt;"",_xlfn.XLOOKUP(Table_Investimentos_Main[[#This Row],[Ticker]],Table_Cotacoes[Ticker],Table_Cotacoes[Moeda Base],""),"BRL")</f>
        <v>BTC</v>
      </c>
      <c r="J232" s="11" cm="1">
        <f t="array" ref="J232">_xlfn.SINGLE(_xlfn.XLOOKUP(Table_Investimentos_Main[[#This Row],[Data]]&amp;"USD",Table_Cotacoes[Data]&amp;Table_Cotacoes[Ticker],Table_Cotacoes[Valor],""))</f>
        <v>5.2220000000000004</v>
      </c>
      <c r="K232" s="18">
        <f>IF(Table_Investimentos_Main[[#This Row],[Ticker]]&lt;&gt;"",Table_Investimentos_Main[[#This Row],[Quantidade]]*Table_Investimentos_Main[[#This Row],[Cotação Ativo]],Table_Investimentos_Main[[#This Row],[Quantidade]])</f>
        <v>98945.634810799995</v>
      </c>
    </row>
    <row r="233" spans="2:11" x14ac:dyDescent="0.2">
      <c r="B233" s="67">
        <v>46054</v>
      </c>
      <c r="C233" t="s">
        <v>76</v>
      </c>
      <c r="E233" s="3" t="s">
        <v>27</v>
      </c>
      <c r="F233" s="3"/>
      <c r="G233" s="10">
        <f>13282.98*46%</f>
        <v>6110.1707999999999</v>
      </c>
      <c r="H233" s="18" t="str" cm="1">
        <f t="array" ref="H233">_xlfn.XLOOKUP(Table_Investimentos_Main[[#This Row],[Data]]&amp;Table_Investimentos_Main[[#This Row],[Ticker]],Table_Cotacoes[Data]&amp;Table_Cotacoes[Ticker],Table_Cotacoes[Valor],"")</f>
        <v/>
      </c>
      <c r="I233" s="5" t="str">
        <f>IF(Table_Investimentos_Main[[#This Row],[Ticker]]&lt;&gt;"",_xlfn.XLOOKUP(Table_Investimentos_Main[[#This Row],[Ticker]],Table_Cotacoes[Ticker],Table_Cotacoes[Moeda Base],""),"BRL")</f>
        <v>BRL</v>
      </c>
      <c r="J233" s="11" cm="1">
        <f t="array" ref="J233">_xlfn.SINGLE(_xlfn.XLOOKUP(Table_Investimentos_Main[[#This Row],[Data]]&amp;"USD",Table_Cotacoes[Data]&amp;Table_Cotacoes[Ticker],Table_Cotacoes[Valor],""))</f>
        <v>5.2220000000000004</v>
      </c>
      <c r="K233" s="18">
        <f>IF(Table_Investimentos_Main[[#This Row],[Ticker]]&lt;&gt;"",Table_Investimentos_Main[[#This Row],[Quantidade]]*Table_Investimentos_Main[[#This Row],[Cotação Ativo]],Table_Investimentos_Main[[#This Row],[Quantidade]])</f>
        <v>6110.1707999999999</v>
      </c>
    </row>
    <row r="234" spans="2:11" x14ac:dyDescent="0.2">
      <c r="B234" s="67">
        <v>46054</v>
      </c>
      <c r="C234" t="s">
        <v>68</v>
      </c>
      <c r="E234" s="3" t="s">
        <v>27</v>
      </c>
      <c r="F234" s="3"/>
      <c r="G234" s="10">
        <v>12704</v>
      </c>
      <c r="H234" s="18" t="str" cm="1">
        <f t="array" ref="H234">_xlfn.XLOOKUP(Table_Investimentos_Main[[#This Row],[Data]]&amp;Table_Investimentos_Main[[#This Row],[Ticker]],Table_Cotacoes[Data]&amp;Table_Cotacoes[Ticker],Table_Cotacoes[Valor],"")</f>
        <v/>
      </c>
      <c r="I234" s="5" t="str">
        <f>IF(Table_Investimentos_Main[[#This Row],[Ticker]]&lt;&gt;"",_xlfn.XLOOKUP(Table_Investimentos_Main[[#This Row],[Ticker]],Table_Cotacoes[Ticker],Table_Cotacoes[Moeda Base],""),"BRL")</f>
        <v>BRL</v>
      </c>
      <c r="J234" s="11" cm="1">
        <f t="array" ref="J234">_xlfn.SINGLE(_xlfn.XLOOKUP(Table_Investimentos_Main[[#This Row],[Data]]&amp;"USD",Table_Cotacoes[Data]&amp;Table_Cotacoes[Ticker],Table_Cotacoes[Valor],""))</f>
        <v>5.2220000000000004</v>
      </c>
      <c r="K234" s="18">
        <f>IF(Table_Investimentos_Main[[#This Row],[Ticker]]&lt;&gt;"",Table_Investimentos_Main[[#This Row],[Quantidade]]*Table_Investimentos_Main[[#This Row],[Cotação Ativo]],Table_Investimentos_Main[[#This Row],[Quantidade]])</f>
        <v>12704</v>
      </c>
    </row>
    <row r="235" spans="2:11" x14ac:dyDescent="0.2">
      <c r="B235" s="67">
        <v>46054</v>
      </c>
      <c r="C235" t="s">
        <v>64</v>
      </c>
      <c r="D235" t="s">
        <v>24</v>
      </c>
      <c r="E235" s="3" t="s">
        <v>27</v>
      </c>
      <c r="F235" s="3"/>
      <c r="G235" s="10">
        <v>567.36</v>
      </c>
      <c r="H235" s="18" cm="1">
        <f t="array" ref="H235">_xlfn.XLOOKUP(Table_Investimentos_Main[[#This Row],[Data]]&amp;Table_Investimentos_Main[[#This Row],[Ticker]],Table_Cotacoes[Data]&amp;Table_Cotacoes[Ticker],Table_Cotacoes[Valor],"")</f>
        <v>5.2220000000000004</v>
      </c>
      <c r="I235" s="5" t="str">
        <f>IF(Table_Investimentos_Main[[#This Row],[Ticker]]&lt;&gt;"",_xlfn.XLOOKUP(Table_Investimentos_Main[[#This Row],[Ticker]],Table_Cotacoes[Ticker],Table_Cotacoes[Moeda Base],""),"BRL")</f>
        <v>USD</v>
      </c>
      <c r="J235" s="11" cm="1">
        <f t="array" ref="J235">_xlfn.SINGLE(_xlfn.XLOOKUP(Table_Investimentos_Main[[#This Row],[Data]]&amp;"USD",Table_Cotacoes[Data]&amp;Table_Cotacoes[Ticker],Table_Cotacoes[Valor],""))</f>
        <v>5.2220000000000004</v>
      </c>
      <c r="K235" s="18">
        <f>IF(Table_Investimentos_Main[[#This Row],[Ticker]]&lt;&gt;"",Table_Investimentos_Main[[#This Row],[Quantidade]]*Table_Investimentos_Main[[#This Row],[Cotação Ativo]],Table_Investimentos_Main[[#This Row],[Quantidade]])</f>
        <v>2962.7539200000001</v>
      </c>
    </row>
    <row r="236" spans="2:11" x14ac:dyDescent="0.2">
      <c r="B236" s="67">
        <v>46054</v>
      </c>
      <c r="C236" t="s">
        <v>55</v>
      </c>
      <c r="D236" t="s">
        <v>71</v>
      </c>
      <c r="E236" s="3" t="s">
        <v>27</v>
      </c>
      <c r="F236" s="3"/>
      <c r="G236" s="10">
        <v>6.0953400000000002</v>
      </c>
      <c r="H236" s="18" cm="1">
        <f t="array" ref="H236">_xlfn.XLOOKUP(Table_Investimentos_Main[[#This Row],[Data]]&amp;Table_Investimentos_Main[[#This Row],[Ticker]],Table_Cotacoes[Data]&amp;Table_Cotacoes[Ticker],Table_Cotacoes[Valor],"")</f>
        <v>481.31173999999999</v>
      </c>
      <c r="I236" s="5" t="str">
        <f>IF(Table_Investimentos_Main[[#This Row],[Ticker]]&lt;&gt;"",_xlfn.XLOOKUP(Table_Investimentos_Main[[#This Row],[Ticker]],Table_Cotacoes[Ticker],Table_Cotacoes[Moeda Base],""),"BRL")</f>
        <v>USD</v>
      </c>
      <c r="J236" s="11" cm="1">
        <f t="array" ref="J236">_xlfn.SINGLE(_xlfn.XLOOKUP(Table_Investimentos_Main[[#This Row],[Data]]&amp;"USD",Table_Cotacoes[Data]&amp;Table_Cotacoes[Ticker],Table_Cotacoes[Valor],""))</f>
        <v>5.2220000000000004</v>
      </c>
      <c r="K236" s="18">
        <f>IF(Table_Investimentos_Main[[#This Row],[Ticker]]&lt;&gt;"",Table_Investimentos_Main[[#This Row],[Quantidade]]*Table_Investimentos_Main[[#This Row],[Cotação Ativo]],Table_Investimentos_Main[[#This Row],[Quantidade]])</f>
        <v>2933.7587012916001</v>
      </c>
    </row>
    <row r="237" spans="2:11" x14ac:dyDescent="0.2">
      <c r="B237" s="67">
        <v>46054</v>
      </c>
      <c r="C237" t="s">
        <v>51</v>
      </c>
      <c r="D237" t="s">
        <v>73</v>
      </c>
      <c r="E237" s="3" t="s">
        <v>27</v>
      </c>
      <c r="F237" s="3"/>
      <c r="G237" s="10">
        <v>1.7415499999999999</v>
      </c>
      <c r="H237" s="18" cm="1">
        <f t="array" ref="H237">_xlfn.XLOOKUP(Table_Investimentos_Main[[#This Row],[Data]]&amp;Table_Investimentos_Main[[#This Row],[Ticker]],Table_Cotacoes[Data]&amp;Table_Cotacoes[Ticker],Table_Cotacoes[Valor],"")</f>
        <v>3305.5782199999999</v>
      </c>
      <c r="I237" s="5" t="str">
        <f>IF(Table_Investimentos_Main[[#This Row],[Ticker]]&lt;&gt;"",_xlfn.XLOOKUP(Table_Investimentos_Main[[#This Row],[Ticker]],Table_Cotacoes[Ticker],Table_Cotacoes[Moeda Base],""),"BRL")</f>
        <v>USD</v>
      </c>
      <c r="J237" s="11" cm="1">
        <f t="array" ref="J237">_xlfn.SINGLE(_xlfn.XLOOKUP(Table_Investimentos_Main[[#This Row],[Data]]&amp;"USD",Table_Cotacoes[Data]&amp;Table_Cotacoes[Ticker],Table_Cotacoes[Valor],""))</f>
        <v>5.2220000000000004</v>
      </c>
      <c r="K237" s="18">
        <f>IF(Table_Investimentos_Main[[#This Row],[Ticker]]&lt;&gt;"",Table_Investimentos_Main[[#This Row],[Quantidade]]*Table_Investimentos_Main[[#This Row],[Cotação Ativo]],Table_Investimentos_Main[[#This Row],[Quantidade]])</f>
        <v>5756.8297490409996</v>
      </c>
    </row>
    <row r="238" spans="2:11" x14ac:dyDescent="0.2">
      <c r="B238" s="67">
        <v>46054</v>
      </c>
      <c r="C238" t="s">
        <v>75</v>
      </c>
      <c r="E238" s="3" t="s">
        <v>27</v>
      </c>
      <c r="F238" s="3"/>
      <c r="G238" s="10">
        <f>13282.98*54%</f>
        <v>7172.8092000000006</v>
      </c>
      <c r="H238" s="18" t="str" cm="1">
        <f t="array" ref="H238">_xlfn.XLOOKUP(Table_Investimentos_Main[[#This Row],[Data]]&amp;Table_Investimentos_Main[[#This Row],[Ticker]],Table_Cotacoes[Data]&amp;Table_Cotacoes[Ticker],Table_Cotacoes[Valor],"")</f>
        <v/>
      </c>
      <c r="I238" s="5" t="str">
        <f>IF(Table_Investimentos_Main[[#This Row],[Ticker]]&lt;&gt;"",_xlfn.XLOOKUP(Table_Investimentos_Main[[#This Row],[Ticker]],Table_Cotacoes[Ticker],Table_Cotacoes[Moeda Base],""),"BRL")</f>
        <v>BRL</v>
      </c>
      <c r="J238" s="11" cm="1">
        <f t="array" ref="J238">_xlfn.SINGLE(_xlfn.XLOOKUP(Table_Investimentos_Main[[#This Row],[Data]]&amp;"USD",Table_Cotacoes[Data]&amp;Table_Cotacoes[Ticker],Table_Cotacoes[Valor],""))</f>
        <v>5.2220000000000004</v>
      </c>
      <c r="K238" s="18">
        <f>IF(Table_Investimentos_Main[[#This Row],[Ticker]]&lt;&gt;"",Table_Investimentos_Main[[#This Row],[Quantidade]]*Table_Investimentos_Main[[#This Row],[Cotação Ativo]],Table_Investimentos_Main[[#This Row],[Quantidade]])</f>
        <v>7172.8092000000006</v>
      </c>
    </row>
    <row r="239" spans="2:11" x14ac:dyDescent="0.2">
      <c r="B239" s="67">
        <v>46054</v>
      </c>
      <c r="C239" t="s">
        <v>77</v>
      </c>
      <c r="D239" t="s">
        <v>78</v>
      </c>
      <c r="E239" s="3" t="s">
        <v>27</v>
      </c>
      <c r="F239" s="3"/>
      <c r="G239" s="10">
        <v>3.1924899999999998</v>
      </c>
      <c r="H239" s="18" cm="1">
        <f t="array" ref="H239">_xlfn.XLOOKUP(Table_Investimentos_Main[[#This Row],[Data]]&amp;Table_Investimentos_Main[[#This Row],[Ticker]],Table_Cotacoes[Data]&amp;Table_Cotacoes[Ticker],Table_Cotacoes[Valor],"")</f>
        <v>386.37578000000002</v>
      </c>
      <c r="I239" s="5" t="str">
        <f>IF(Table_Investimentos_Main[[#This Row],[Ticker]]&lt;&gt;"",_xlfn.XLOOKUP(Table_Investimentos_Main[[#This Row],[Ticker]],Table_Cotacoes[Ticker],Table_Cotacoes[Moeda Base],""),"BRL")</f>
        <v>USD</v>
      </c>
      <c r="J239" s="11" cm="1">
        <f t="array" ref="J239">_xlfn.SINGLE(_xlfn.XLOOKUP(Table_Investimentos_Main[[#This Row],[Data]]&amp;"USD",Table_Cotacoes[Data]&amp;Table_Cotacoes[Ticker],Table_Cotacoes[Valor],""))</f>
        <v>5.2220000000000004</v>
      </c>
      <c r="K239" s="18">
        <f>IF(Table_Investimentos_Main[[#This Row],[Ticker]]&lt;&gt;"",Table_Investimentos_Main[[#This Row],[Quantidade]]*Table_Investimentos_Main[[#This Row],[Cotação Ativo]],Table_Investimentos_Main[[#This Row],[Quantidade]])</f>
        <v>1233.5008138922001</v>
      </c>
    </row>
    <row r="240" spans="2:11" x14ac:dyDescent="0.2">
      <c r="B240" s="67">
        <v>46054</v>
      </c>
      <c r="C240" t="s">
        <v>70</v>
      </c>
      <c r="D240" t="s">
        <v>72</v>
      </c>
      <c r="E240" s="3" t="s">
        <v>27</v>
      </c>
      <c r="F240" s="3"/>
      <c r="G240" s="10">
        <v>13.87541817</v>
      </c>
      <c r="H240" s="18" cm="1">
        <f t="array" ref="H240">_xlfn.XLOOKUP(Table_Investimentos_Main[[#This Row],[Data]]&amp;Table_Investimentos_Main[[#This Row],[Ticker]],Table_Cotacoes[Data]&amp;Table_Cotacoes[Ticker],Table_Cotacoes[Valor],"")</f>
        <v>516.66467999999998</v>
      </c>
      <c r="I240" s="5" t="str">
        <f>IF(Table_Investimentos_Main[[#This Row],[Ticker]]&lt;&gt;"",_xlfn.XLOOKUP(Table_Investimentos_Main[[#This Row],[Ticker]],Table_Cotacoes[Ticker],Table_Cotacoes[Moeda Base],""),"BRL")</f>
        <v>USD</v>
      </c>
      <c r="J240" s="11" cm="1">
        <f t="array" ref="J240">_xlfn.SINGLE(_xlfn.XLOOKUP(Table_Investimentos_Main[[#This Row],[Data]]&amp;"USD",Table_Cotacoes[Data]&amp;Table_Cotacoes[Ticker],Table_Cotacoes[Valor],""))</f>
        <v>5.2220000000000004</v>
      </c>
      <c r="K240" s="18">
        <f>IF(Table_Investimentos_Main[[#This Row],[Ticker]]&lt;&gt;"",Table_Investimentos_Main[[#This Row],[Quantidade]]*Table_Investimentos_Main[[#This Row],[Cotação Ativo]],Table_Investimentos_Main[[#This Row],[Quantidade]])</f>
        <v>7168.9384886692351</v>
      </c>
    </row>
    <row r="241" spans="2:11" x14ac:dyDescent="0.2">
      <c r="B241" s="67">
        <v>46054</v>
      </c>
      <c r="C241" t="s">
        <v>79</v>
      </c>
      <c r="D241" t="s">
        <v>80</v>
      </c>
      <c r="E241" s="3" t="s">
        <v>27</v>
      </c>
      <c r="F241" s="3"/>
      <c r="G241" s="10">
        <v>14.47</v>
      </c>
      <c r="H241" s="18" cm="1">
        <f t="array" ref="H241">_xlfn.XLOOKUP(Table_Investimentos_Main[[#This Row],[Data]]&amp;Table_Investimentos_Main[[#This Row],[Ticker]],Table_Cotacoes[Data]&amp;Table_Cotacoes[Ticker],Table_Cotacoes[Valor],"")</f>
        <v>260.16003999999998</v>
      </c>
      <c r="I241" s="5" t="str">
        <f>IF(Table_Investimentos_Main[[#This Row],[Ticker]]&lt;&gt;"",_xlfn.XLOOKUP(Table_Investimentos_Main[[#This Row],[Ticker]],Table_Cotacoes[Ticker],Table_Cotacoes[Moeda Base],""),"BRL")</f>
        <v>USD</v>
      </c>
      <c r="J241" s="11" cm="1">
        <f t="array" ref="J241">_xlfn.SINGLE(_xlfn.XLOOKUP(Table_Investimentos_Main[[#This Row],[Data]]&amp;"USD",Table_Cotacoes[Data]&amp;Table_Cotacoes[Ticker],Table_Cotacoes[Valor],""))</f>
        <v>5.2220000000000004</v>
      </c>
      <c r="K241" s="18">
        <f>IF(Table_Investimentos_Main[[#This Row],[Ticker]]&lt;&gt;"",Table_Investimentos_Main[[#This Row],[Quantidade]]*Table_Investimentos_Main[[#This Row],[Cotação Ativo]],Table_Investimentos_Main[[#This Row],[Quantidade]])</f>
        <v>3764.5157787999997</v>
      </c>
    </row>
    <row r="242" spans="2:11" x14ac:dyDescent="0.2">
      <c r="B242" s="67">
        <v>46082</v>
      </c>
      <c r="C242" t="s">
        <v>44</v>
      </c>
      <c r="D242" t="s">
        <v>24</v>
      </c>
      <c r="E242" s="3" t="s">
        <v>66</v>
      </c>
      <c r="F242" s="3"/>
      <c r="G242" s="10">
        <v>1690.33</v>
      </c>
      <c r="H242" s="18" cm="1">
        <f t="array" ref="H242">_xlfn.XLOOKUP(Table_Investimentos_Main[[#This Row],[Data]]&amp;Table_Investimentos_Main[[#This Row],[Ticker]],Table_Cotacoes[Data]&amp;Table_Cotacoes[Ticker],Table_Cotacoes[Valor],"")</f>
        <v>5.1883999999999997</v>
      </c>
      <c r="I242" s="5" t="str">
        <f>IF(Table_Investimentos_Main[[#This Row],[Ticker]]&lt;&gt;"",_xlfn.XLOOKUP(Table_Investimentos_Main[[#This Row],[Ticker]],Table_Cotacoes[Ticker],Table_Cotacoes[Moeda Base],""),"BRL")</f>
        <v>USD</v>
      </c>
      <c r="J242" s="11" cm="1">
        <f t="array" ref="J242">_xlfn.SINGLE(_xlfn.XLOOKUP(Table_Investimentos_Main[[#This Row],[Data]]&amp;"USD",Table_Cotacoes[Data]&amp;Table_Cotacoes[Ticker],Table_Cotacoes[Valor],""))</f>
        <v>5.1883999999999997</v>
      </c>
      <c r="K242" s="18">
        <f>IF(Table_Investimentos_Main[[#This Row],[Ticker]]&lt;&gt;"",Table_Investimentos_Main[[#This Row],[Quantidade]]*Table_Investimentos_Main[[#This Row],[Cotação Ativo]],Table_Investimentos_Main[[#This Row],[Quantidade]])</f>
        <v>8770.1081719999984</v>
      </c>
    </row>
    <row r="243" spans="2:11" x14ac:dyDescent="0.2">
      <c r="B243" s="67">
        <v>46082</v>
      </c>
      <c r="C243" t="s">
        <v>74</v>
      </c>
      <c r="E243" s="3" t="s">
        <v>27</v>
      </c>
      <c r="F243" s="3"/>
      <c r="G243" s="10">
        <v>11743.35</v>
      </c>
      <c r="H243" s="18" t="str" cm="1">
        <f t="array" ref="H243">_xlfn.XLOOKUP(Table_Investimentos_Main[[#This Row],[Data]]&amp;Table_Investimentos_Main[[#This Row],[Ticker]],Table_Cotacoes[Data]&amp;Table_Cotacoes[Ticker],Table_Cotacoes[Valor],"")</f>
        <v/>
      </c>
      <c r="I243" s="5" t="str">
        <f>IF(Table_Investimentos_Main[[#This Row],[Ticker]]&lt;&gt;"",_xlfn.XLOOKUP(Table_Investimentos_Main[[#This Row],[Ticker]],Table_Cotacoes[Ticker],Table_Cotacoes[Moeda Base],""),"BRL")</f>
        <v>BRL</v>
      </c>
      <c r="J243" s="11" cm="1">
        <f t="array" ref="J243">_xlfn.SINGLE(_xlfn.XLOOKUP(Table_Investimentos_Main[[#This Row],[Data]]&amp;"USD",Table_Cotacoes[Data]&amp;Table_Cotacoes[Ticker],Table_Cotacoes[Valor],""))</f>
        <v>5.1883999999999997</v>
      </c>
      <c r="K243" s="18">
        <f>IF(Table_Investimentos_Main[[#This Row],[Ticker]]&lt;&gt;"",Table_Investimentos_Main[[#This Row],[Quantidade]]*Table_Investimentos_Main[[#This Row],[Cotação Ativo]],Table_Investimentos_Main[[#This Row],[Quantidade]])</f>
        <v>11743.35</v>
      </c>
    </row>
    <row r="244" spans="2:11" x14ac:dyDescent="0.2">
      <c r="B244" s="67">
        <v>46082</v>
      </c>
      <c r="C244" t="s">
        <v>58</v>
      </c>
      <c r="E244" s="3" t="s">
        <v>27</v>
      </c>
      <c r="F244" s="3"/>
      <c r="G244" s="10">
        <v>9347.15</v>
      </c>
      <c r="H244" s="18" t="str" cm="1">
        <f t="array" ref="H244">_xlfn.XLOOKUP(Table_Investimentos_Main[[#This Row],[Data]]&amp;Table_Investimentos_Main[[#This Row],[Ticker]],Table_Cotacoes[Data]&amp;Table_Cotacoes[Ticker],Table_Cotacoes[Valor],"")</f>
        <v/>
      </c>
      <c r="I244" s="5" t="str">
        <f>IF(Table_Investimentos_Main[[#This Row],[Ticker]]&lt;&gt;"",_xlfn.XLOOKUP(Table_Investimentos_Main[[#This Row],[Ticker]],Table_Cotacoes[Ticker],Table_Cotacoes[Moeda Base],""),"BRL")</f>
        <v>BRL</v>
      </c>
      <c r="J244" s="11" cm="1">
        <f t="array" ref="J244">_xlfn.SINGLE(_xlfn.XLOOKUP(Table_Investimentos_Main[[#This Row],[Data]]&amp;"USD",Table_Cotacoes[Data]&amp;Table_Cotacoes[Ticker],Table_Cotacoes[Valor],""))</f>
        <v>5.1883999999999997</v>
      </c>
      <c r="K244" s="18">
        <f>IF(Table_Investimentos_Main[[#This Row],[Ticker]]&lt;&gt;"",Table_Investimentos_Main[[#This Row],[Quantidade]]*Table_Investimentos_Main[[#This Row],[Cotação Ativo]],Table_Investimentos_Main[[#This Row],[Quantidade]])</f>
        <v>9347.15</v>
      </c>
    </row>
    <row r="245" spans="2:11" x14ac:dyDescent="0.2">
      <c r="B245" s="67">
        <v>46082</v>
      </c>
      <c r="C245" t="s">
        <v>42</v>
      </c>
      <c r="D245" t="s">
        <v>14</v>
      </c>
      <c r="E245" s="3" t="s">
        <v>22</v>
      </c>
      <c r="F245" s="3"/>
      <c r="G245" s="10">
        <v>6.1070400000000002E-3</v>
      </c>
      <c r="H245" s="18" cm="1">
        <f t="array" ref="H245">_xlfn.XLOOKUP(Table_Investimentos_Main[[#This Row],[Data]]&amp;Table_Investimentos_Main[[#This Row],[Ticker]],Table_Cotacoes[Data]&amp;Table_Cotacoes[Ticker],Table_Cotacoes[Valor],"")</f>
        <v>367285</v>
      </c>
      <c r="I245" s="5" t="str">
        <f>IF(Table_Investimentos_Main[[#This Row],[Ticker]]&lt;&gt;"",_xlfn.XLOOKUP(Table_Investimentos_Main[[#This Row],[Ticker]],Table_Cotacoes[Ticker],Table_Cotacoes[Moeda Base],""),"BRL")</f>
        <v>BTC</v>
      </c>
      <c r="J245" s="11" cm="1">
        <f t="array" ref="J245">_xlfn.SINGLE(_xlfn.XLOOKUP(Table_Investimentos_Main[[#This Row],[Data]]&amp;"USD",Table_Cotacoes[Data]&amp;Table_Cotacoes[Ticker],Table_Cotacoes[Valor],""))</f>
        <v>5.1883999999999997</v>
      </c>
      <c r="K245" s="18">
        <f>IF(Table_Investimentos_Main[[#This Row],[Ticker]]&lt;&gt;"",Table_Investimentos_Main[[#This Row],[Quantidade]]*Table_Investimentos_Main[[#This Row],[Cotação Ativo]],Table_Investimentos_Main[[#This Row],[Quantidade]])</f>
        <v>2243.0241864</v>
      </c>
    </row>
    <row r="246" spans="2:11" x14ac:dyDescent="0.2">
      <c r="B246" s="67">
        <v>46082</v>
      </c>
      <c r="C246" t="s">
        <v>49</v>
      </c>
      <c r="D246" t="s">
        <v>57</v>
      </c>
      <c r="E246" s="3" t="s">
        <v>22</v>
      </c>
      <c r="F246" s="3"/>
      <c r="G246" s="10">
        <v>6.0940000000000003</v>
      </c>
      <c r="H246" s="18" cm="1">
        <f t="array" ref="H246">_xlfn.XLOOKUP(Table_Investimentos_Main[[#This Row],[Data]]&amp;Table_Investimentos_Main[[#This Row],[Ticker]],Table_Cotacoes[Data]&amp;Table_Cotacoes[Ticker],Table_Cotacoes[Valor],"")</f>
        <v>450.02</v>
      </c>
      <c r="I246" s="5" t="str">
        <f>IF(Table_Investimentos_Main[[#This Row],[Ticker]]&lt;&gt;"",_xlfn.XLOOKUP(Table_Investimentos_Main[[#This Row],[Ticker]],Table_Cotacoes[Ticker],Table_Cotacoes[Moeda Base],""),"BRL")</f>
        <v>USD</v>
      </c>
      <c r="J246" s="11" cm="1">
        <f t="array" ref="J246">_xlfn.SINGLE(_xlfn.XLOOKUP(Table_Investimentos_Main[[#This Row],[Data]]&amp;"USD",Table_Cotacoes[Data]&amp;Table_Cotacoes[Ticker],Table_Cotacoes[Valor],""))</f>
        <v>5.1883999999999997</v>
      </c>
      <c r="K246" s="18">
        <f>IF(Table_Investimentos_Main[[#This Row],[Ticker]]&lt;&gt;"",Table_Investimentos_Main[[#This Row],[Quantidade]]*Table_Investimentos_Main[[#This Row],[Cotação Ativo]],Table_Investimentos_Main[[#This Row],[Quantidade]])</f>
        <v>2742.4218799999999</v>
      </c>
    </row>
    <row r="247" spans="2:11" x14ac:dyDescent="0.2">
      <c r="B247" s="67">
        <v>46082</v>
      </c>
      <c r="C247" t="s">
        <v>41</v>
      </c>
      <c r="D247" t="s">
        <v>14</v>
      </c>
      <c r="E247" s="3" t="s">
        <v>12</v>
      </c>
      <c r="F247" s="3"/>
      <c r="G247" s="10">
        <v>0.30045274</v>
      </c>
      <c r="H247" s="18" cm="1">
        <f t="array" ref="H247">_xlfn.XLOOKUP(Table_Investimentos_Main[[#This Row],[Data]]&amp;Table_Investimentos_Main[[#This Row],[Ticker]],Table_Cotacoes[Data]&amp;Table_Cotacoes[Ticker],Table_Cotacoes[Valor],"")</f>
        <v>367285</v>
      </c>
      <c r="I247" s="5" t="str">
        <f>IF(Table_Investimentos_Main[[#This Row],[Ticker]]&lt;&gt;"",_xlfn.XLOOKUP(Table_Investimentos_Main[[#This Row],[Ticker]],Table_Cotacoes[Ticker],Table_Cotacoes[Moeda Base],""),"BRL")</f>
        <v>BTC</v>
      </c>
      <c r="J247" s="11" cm="1">
        <f t="array" ref="J247">_xlfn.SINGLE(_xlfn.XLOOKUP(Table_Investimentos_Main[[#This Row],[Data]]&amp;"USD",Table_Cotacoes[Data]&amp;Table_Cotacoes[Ticker],Table_Cotacoes[Valor],""))</f>
        <v>5.1883999999999997</v>
      </c>
      <c r="K247" s="18">
        <f>IF(Table_Investimentos_Main[[#This Row],[Ticker]]&lt;&gt;"",Table_Investimentos_Main[[#This Row],[Quantidade]]*Table_Investimentos_Main[[#This Row],[Cotação Ativo]],Table_Investimentos_Main[[#This Row],[Quantidade]])</f>
        <v>110351.78461089999</v>
      </c>
    </row>
    <row r="248" spans="2:11" x14ac:dyDescent="0.2">
      <c r="B248" s="67">
        <v>46082</v>
      </c>
      <c r="C248" t="s">
        <v>76</v>
      </c>
      <c r="E248" s="3" t="s">
        <v>27</v>
      </c>
      <c r="F248" s="3"/>
      <c r="G248" s="10">
        <f>17238.83*46%</f>
        <v>7929.8618000000015</v>
      </c>
      <c r="H248" s="18" t="str" cm="1">
        <f t="array" ref="H248">_xlfn.XLOOKUP(Table_Investimentos_Main[[#This Row],[Data]]&amp;Table_Investimentos_Main[[#This Row],[Ticker]],Table_Cotacoes[Data]&amp;Table_Cotacoes[Ticker],Table_Cotacoes[Valor],"")</f>
        <v/>
      </c>
      <c r="I248" s="5" t="str">
        <f>IF(Table_Investimentos_Main[[#This Row],[Ticker]]&lt;&gt;"",_xlfn.XLOOKUP(Table_Investimentos_Main[[#This Row],[Ticker]],Table_Cotacoes[Ticker],Table_Cotacoes[Moeda Base],""),"BRL")</f>
        <v>BRL</v>
      </c>
      <c r="J248" s="11" cm="1">
        <f t="array" ref="J248">_xlfn.SINGLE(_xlfn.XLOOKUP(Table_Investimentos_Main[[#This Row],[Data]]&amp;"USD",Table_Cotacoes[Data]&amp;Table_Cotacoes[Ticker],Table_Cotacoes[Valor],""))</f>
        <v>5.1883999999999997</v>
      </c>
      <c r="K248" s="18">
        <f>IF(Table_Investimentos_Main[[#This Row],[Ticker]]&lt;&gt;"",Table_Investimentos_Main[[#This Row],[Quantidade]]*Table_Investimentos_Main[[#This Row],[Cotação Ativo]],Table_Investimentos_Main[[#This Row],[Quantidade]])</f>
        <v>7929.8618000000015</v>
      </c>
    </row>
    <row r="249" spans="2:11" x14ac:dyDescent="0.2">
      <c r="B249" s="67">
        <v>46082</v>
      </c>
      <c r="C249" t="s">
        <v>68</v>
      </c>
      <c r="E249" s="3" t="s">
        <v>27</v>
      </c>
      <c r="F249" s="3"/>
      <c r="G249" s="10">
        <v>13211.9</v>
      </c>
      <c r="H249" s="18" t="str" cm="1">
        <f t="array" ref="H249">_xlfn.XLOOKUP(Table_Investimentos_Main[[#This Row],[Data]]&amp;Table_Investimentos_Main[[#This Row],[Ticker]],Table_Cotacoes[Data]&amp;Table_Cotacoes[Ticker],Table_Cotacoes[Valor],"")</f>
        <v/>
      </c>
      <c r="I249" s="5" t="str">
        <f>IF(Table_Investimentos_Main[[#This Row],[Ticker]]&lt;&gt;"",_xlfn.XLOOKUP(Table_Investimentos_Main[[#This Row],[Ticker]],Table_Cotacoes[Ticker],Table_Cotacoes[Moeda Base],""),"BRL")</f>
        <v>BRL</v>
      </c>
      <c r="J249" s="11" cm="1">
        <f t="array" ref="J249">_xlfn.SINGLE(_xlfn.XLOOKUP(Table_Investimentos_Main[[#This Row],[Data]]&amp;"USD",Table_Cotacoes[Data]&amp;Table_Cotacoes[Ticker],Table_Cotacoes[Valor],""))</f>
        <v>5.1883999999999997</v>
      </c>
      <c r="K249" s="18">
        <f>IF(Table_Investimentos_Main[[#This Row],[Ticker]]&lt;&gt;"",Table_Investimentos_Main[[#This Row],[Quantidade]]*Table_Investimentos_Main[[#This Row],[Cotação Ativo]],Table_Investimentos_Main[[#This Row],[Quantidade]])</f>
        <v>13211.9</v>
      </c>
    </row>
    <row r="250" spans="2:11" x14ac:dyDescent="0.2">
      <c r="B250" s="67">
        <v>46082</v>
      </c>
      <c r="C250" t="s">
        <v>64</v>
      </c>
      <c r="D250" t="s">
        <v>24</v>
      </c>
      <c r="E250" s="3" t="s">
        <v>27</v>
      </c>
      <c r="F250" s="3"/>
      <c r="G250" s="10">
        <v>568.97</v>
      </c>
      <c r="H250" s="18" cm="1">
        <f t="array" ref="H250">_xlfn.XLOOKUP(Table_Investimentos_Main[[#This Row],[Data]]&amp;Table_Investimentos_Main[[#This Row],[Ticker]],Table_Cotacoes[Data]&amp;Table_Cotacoes[Ticker],Table_Cotacoes[Valor],"")</f>
        <v>5.1883999999999997</v>
      </c>
      <c r="I250" s="5" t="str">
        <f>IF(Table_Investimentos_Main[[#This Row],[Ticker]]&lt;&gt;"",_xlfn.XLOOKUP(Table_Investimentos_Main[[#This Row],[Ticker]],Table_Cotacoes[Ticker],Table_Cotacoes[Moeda Base],""),"BRL")</f>
        <v>USD</v>
      </c>
      <c r="J250" s="11" cm="1">
        <f t="array" ref="J250">_xlfn.SINGLE(_xlfn.XLOOKUP(Table_Investimentos_Main[[#This Row],[Data]]&amp;"USD",Table_Cotacoes[Data]&amp;Table_Cotacoes[Ticker],Table_Cotacoes[Valor],""))</f>
        <v>5.1883999999999997</v>
      </c>
      <c r="K250" s="18">
        <f>IF(Table_Investimentos_Main[[#This Row],[Ticker]]&lt;&gt;"",Table_Investimentos_Main[[#This Row],[Quantidade]]*Table_Investimentos_Main[[#This Row],[Cotação Ativo]],Table_Investimentos_Main[[#This Row],[Quantidade]])</f>
        <v>2952.043948</v>
      </c>
    </row>
    <row r="251" spans="2:11" x14ac:dyDescent="0.2">
      <c r="B251" s="67">
        <v>46082</v>
      </c>
      <c r="C251" t="s">
        <v>55</v>
      </c>
      <c r="D251" t="s">
        <v>71</v>
      </c>
      <c r="E251" s="3" t="s">
        <v>27</v>
      </c>
      <c r="F251" s="3"/>
      <c r="G251" s="10">
        <v>6.0953400000000002</v>
      </c>
      <c r="H251" s="18" cm="1">
        <f t="array" ref="H251">_xlfn.XLOOKUP(Table_Investimentos_Main[[#This Row],[Data]]&amp;Table_Investimentos_Main[[#This Row],[Ticker]],Table_Cotacoes[Data]&amp;Table_Cotacoes[Ticker],Table_Cotacoes[Valor],"")</f>
        <v>461.56006400000001</v>
      </c>
      <c r="I251" s="5" t="str">
        <f>IF(Table_Investimentos_Main[[#This Row],[Ticker]]&lt;&gt;"",_xlfn.XLOOKUP(Table_Investimentos_Main[[#This Row],[Ticker]],Table_Cotacoes[Ticker],Table_Cotacoes[Moeda Base],""),"BRL")</f>
        <v>USD</v>
      </c>
      <c r="J251" s="11" cm="1">
        <f t="array" ref="J251">_xlfn.SINGLE(_xlfn.XLOOKUP(Table_Investimentos_Main[[#This Row],[Data]]&amp;"USD",Table_Cotacoes[Data]&amp;Table_Cotacoes[Ticker],Table_Cotacoes[Valor],""))</f>
        <v>5.1883999999999997</v>
      </c>
      <c r="K251" s="18">
        <f>IF(Table_Investimentos_Main[[#This Row],[Ticker]]&lt;&gt;"",Table_Investimentos_Main[[#This Row],[Quantidade]]*Table_Investimentos_Main[[#This Row],[Cotação Ativo]],Table_Investimentos_Main[[#This Row],[Quantidade]])</f>
        <v>2813.3655205017603</v>
      </c>
    </row>
    <row r="252" spans="2:11" x14ac:dyDescent="0.2">
      <c r="B252" s="67">
        <v>46082</v>
      </c>
      <c r="C252" t="s">
        <v>51</v>
      </c>
      <c r="D252" t="s">
        <v>73</v>
      </c>
      <c r="E252" s="3" t="s">
        <v>27</v>
      </c>
      <c r="F252" s="3"/>
      <c r="G252" s="10">
        <v>1.7415499999999999</v>
      </c>
      <c r="H252" s="18" cm="1">
        <f t="array" ref="H252">_xlfn.XLOOKUP(Table_Investimentos_Main[[#This Row],[Data]]&amp;Table_Investimentos_Main[[#This Row],[Ticker]],Table_Cotacoes[Data]&amp;Table_Cotacoes[Ticker],Table_Cotacoes[Valor],"")</f>
        <v>3229.6233480000001</v>
      </c>
      <c r="I252" s="5" t="str">
        <f>IF(Table_Investimentos_Main[[#This Row],[Ticker]]&lt;&gt;"",_xlfn.XLOOKUP(Table_Investimentos_Main[[#This Row],[Ticker]],Table_Cotacoes[Ticker],Table_Cotacoes[Moeda Base],""),"BRL")</f>
        <v>USD</v>
      </c>
      <c r="J252" s="11" cm="1">
        <f t="array" ref="J252">_xlfn.SINGLE(_xlfn.XLOOKUP(Table_Investimentos_Main[[#This Row],[Data]]&amp;"USD",Table_Cotacoes[Data]&amp;Table_Cotacoes[Ticker],Table_Cotacoes[Valor],""))</f>
        <v>5.1883999999999997</v>
      </c>
      <c r="K252" s="18">
        <f>IF(Table_Investimentos_Main[[#This Row],[Ticker]]&lt;&gt;"",Table_Investimentos_Main[[#This Row],[Quantidade]]*Table_Investimentos_Main[[#This Row],[Cotação Ativo]],Table_Investimentos_Main[[#This Row],[Quantidade]])</f>
        <v>5624.5505417094</v>
      </c>
    </row>
    <row r="253" spans="2:11" x14ac:dyDescent="0.2">
      <c r="B253" s="67">
        <v>46082</v>
      </c>
      <c r="C253" t="s">
        <v>75</v>
      </c>
      <c r="E253" s="3" t="s">
        <v>27</v>
      </c>
      <c r="F253" s="3"/>
      <c r="G253" s="10">
        <f>17238.83*54%</f>
        <v>9308.9682000000012</v>
      </c>
      <c r="H253" s="18" t="str" cm="1">
        <f t="array" ref="H253">_xlfn.XLOOKUP(Table_Investimentos_Main[[#This Row],[Data]]&amp;Table_Investimentos_Main[[#This Row],[Ticker]],Table_Cotacoes[Data]&amp;Table_Cotacoes[Ticker],Table_Cotacoes[Valor],"")</f>
        <v/>
      </c>
      <c r="I253" s="5" t="str">
        <f>IF(Table_Investimentos_Main[[#This Row],[Ticker]]&lt;&gt;"",_xlfn.XLOOKUP(Table_Investimentos_Main[[#This Row],[Ticker]],Table_Cotacoes[Ticker],Table_Cotacoes[Moeda Base],""),"BRL")</f>
        <v>BRL</v>
      </c>
      <c r="J253" s="11" cm="1">
        <f t="array" ref="J253">_xlfn.SINGLE(_xlfn.XLOOKUP(Table_Investimentos_Main[[#This Row],[Data]]&amp;"USD",Table_Cotacoes[Data]&amp;Table_Cotacoes[Ticker],Table_Cotacoes[Valor],""))</f>
        <v>5.1883999999999997</v>
      </c>
      <c r="K253" s="18">
        <f>IF(Table_Investimentos_Main[[#This Row],[Ticker]]&lt;&gt;"",Table_Investimentos_Main[[#This Row],[Quantidade]]*Table_Investimentos_Main[[#This Row],[Cotação Ativo]],Table_Investimentos_Main[[#This Row],[Quantidade]])</f>
        <v>9308.9682000000012</v>
      </c>
    </row>
    <row r="254" spans="2:11" x14ac:dyDescent="0.2">
      <c r="B254" s="67">
        <v>46082</v>
      </c>
      <c r="C254" t="s">
        <v>77</v>
      </c>
      <c r="D254" t="s">
        <v>78</v>
      </c>
      <c r="E254" s="3" t="s">
        <v>27</v>
      </c>
      <c r="F254" s="3"/>
      <c r="G254" s="10">
        <v>3.1924899999999998</v>
      </c>
      <c r="H254" s="18" cm="1">
        <f t="array" ref="H254">_xlfn.XLOOKUP(Table_Investimentos_Main[[#This Row],[Data]]&amp;Table_Investimentos_Main[[#This Row],[Ticker]],Table_Cotacoes[Data]&amp;Table_Cotacoes[Ticker],Table_Cotacoes[Valor],"")</f>
        <v>422.23199199999988</v>
      </c>
      <c r="I254" s="5" t="str">
        <f>IF(Table_Investimentos_Main[[#This Row],[Ticker]]&lt;&gt;"",_xlfn.XLOOKUP(Table_Investimentos_Main[[#This Row],[Ticker]],Table_Cotacoes[Ticker],Table_Cotacoes[Moeda Base],""),"BRL")</f>
        <v>USD</v>
      </c>
      <c r="J254" s="11" cm="1">
        <f t="array" ref="J254">_xlfn.SINGLE(_xlfn.XLOOKUP(Table_Investimentos_Main[[#This Row],[Data]]&amp;"USD",Table_Cotacoes[Data]&amp;Table_Cotacoes[Ticker],Table_Cotacoes[Valor],""))</f>
        <v>5.1883999999999997</v>
      </c>
      <c r="K254" s="18">
        <f>IF(Table_Investimentos_Main[[#This Row],[Ticker]]&lt;&gt;"",Table_Investimentos_Main[[#This Row],[Quantidade]]*Table_Investimentos_Main[[#This Row],[Cotação Ativo]],Table_Investimentos_Main[[#This Row],[Quantidade]])</f>
        <v>1347.9714121400796</v>
      </c>
    </row>
    <row r="255" spans="2:11" x14ac:dyDescent="0.2">
      <c r="B255" s="67">
        <v>46082</v>
      </c>
      <c r="C255" t="s">
        <v>70</v>
      </c>
      <c r="D255" t="s">
        <v>72</v>
      </c>
      <c r="E255" s="3" t="s">
        <v>27</v>
      </c>
      <c r="F255" s="3"/>
      <c r="G255" s="10">
        <v>13.87541817</v>
      </c>
      <c r="H255" s="18" cm="1">
        <f t="array" ref="H255">_xlfn.XLOOKUP(Table_Investimentos_Main[[#This Row],[Data]]&amp;Table_Investimentos_Main[[#This Row],[Ticker]],Table_Cotacoes[Data]&amp;Table_Cotacoes[Ticker],Table_Cotacoes[Valor],"")</f>
        <v>532.22607199999993</v>
      </c>
      <c r="I255" s="5" t="str">
        <f>IF(Table_Investimentos_Main[[#This Row],[Ticker]]&lt;&gt;"",_xlfn.XLOOKUP(Table_Investimentos_Main[[#This Row],[Ticker]],Table_Cotacoes[Ticker],Table_Cotacoes[Moeda Base],""),"BRL")</f>
        <v>USD</v>
      </c>
      <c r="J255" s="11" cm="1">
        <f t="array" ref="J255">_xlfn.SINGLE(_xlfn.XLOOKUP(Table_Investimentos_Main[[#This Row],[Data]]&amp;"USD",Table_Cotacoes[Data]&amp;Table_Cotacoes[Ticker],Table_Cotacoes[Valor],""))</f>
        <v>5.1883999999999997</v>
      </c>
      <c r="K255" s="18">
        <f>IF(Table_Investimentos_Main[[#This Row],[Ticker]]&lt;&gt;"",Table_Investimentos_Main[[#This Row],[Quantidade]]*Table_Investimentos_Main[[#This Row],[Cotação Ativo]],Table_Investimentos_Main[[#This Row],[Quantidade]])</f>
        <v>7384.8593099765267</v>
      </c>
    </row>
    <row r="256" spans="2:11" x14ac:dyDescent="0.2">
      <c r="B256" s="67">
        <v>46082</v>
      </c>
      <c r="C256" t="s">
        <v>79</v>
      </c>
      <c r="D256" t="s">
        <v>80</v>
      </c>
      <c r="E256" s="3" t="s">
        <v>27</v>
      </c>
      <c r="F256" s="3"/>
      <c r="G256" s="10">
        <v>14.47</v>
      </c>
      <c r="H256" s="18" cm="1">
        <f t="array" ref="H256">_xlfn.XLOOKUP(Table_Investimentos_Main[[#This Row],[Data]]&amp;Table_Investimentos_Main[[#This Row],[Ticker]],Table_Cotacoes[Data]&amp;Table_Cotacoes[Ticker],Table_Cotacoes[Valor],"")</f>
        <v>268.13651199999998</v>
      </c>
      <c r="I256" s="5" t="str">
        <f>IF(Table_Investimentos_Main[[#This Row],[Ticker]]&lt;&gt;"",_xlfn.XLOOKUP(Table_Investimentos_Main[[#This Row],[Ticker]],Table_Cotacoes[Ticker],Table_Cotacoes[Moeda Base],""),"BRL")</f>
        <v>USD</v>
      </c>
      <c r="J256" s="11" cm="1">
        <f t="array" ref="J256">_xlfn.SINGLE(_xlfn.XLOOKUP(Table_Investimentos_Main[[#This Row],[Data]]&amp;"USD",Table_Cotacoes[Data]&amp;Table_Cotacoes[Ticker],Table_Cotacoes[Valor],""))</f>
        <v>5.1883999999999997</v>
      </c>
      <c r="K256" s="18">
        <f>IF(Table_Investimentos_Main[[#This Row],[Ticker]]&lt;&gt;"",Table_Investimentos_Main[[#This Row],[Quantidade]]*Table_Investimentos_Main[[#This Row],[Cotação Ativo]],Table_Investimentos_Main[[#This Row],[Quantidade]])</f>
        <v>3879.9353286400001</v>
      </c>
    </row>
    <row r="257" spans="2:11" x14ac:dyDescent="0.2">
      <c r="B257" s="67">
        <v>46113</v>
      </c>
      <c r="C257" t="s">
        <v>44</v>
      </c>
      <c r="D257" t="s">
        <v>24</v>
      </c>
      <c r="E257" s="3" t="s">
        <v>66</v>
      </c>
      <c r="F257" s="3"/>
      <c r="G257" s="10">
        <v>1692.72</v>
      </c>
      <c r="H257" s="18" cm="1">
        <f t="array" ref="H257">_xlfn.XLOOKUP(Table_Investimentos_Main[[#This Row],[Data]]&amp;Table_Investimentos_Main[[#This Row],[Ticker]],Table_Cotacoes[Data]&amp;Table_Cotacoes[Ticker],Table_Cotacoes[Valor],"")</f>
        <v>4.9702999999999999</v>
      </c>
      <c r="I257" s="5" t="str">
        <f>IF(Table_Investimentos_Main[[#This Row],[Ticker]]&lt;&gt;"",_xlfn.XLOOKUP(Table_Investimentos_Main[[#This Row],[Ticker]],Table_Cotacoes[Ticker],Table_Cotacoes[Moeda Base],""),"BRL")</f>
        <v>USD</v>
      </c>
      <c r="J257" s="11" cm="1">
        <f t="array" ref="J257">_xlfn.SINGLE(_xlfn.XLOOKUP(Table_Investimentos_Main[[#This Row],[Data]]&amp;"USD",Table_Cotacoes[Data]&amp;Table_Cotacoes[Ticker],Table_Cotacoes[Valor],""))</f>
        <v>4.9702999999999999</v>
      </c>
      <c r="K257" s="18">
        <f>IF(Table_Investimentos_Main[[#This Row],[Ticker]]&lt;&gt;"",Table_Investimentos_Main[[#This Row],[Quantidade]]*Table_Investimentos_Main[[#This Row],[Cotação Ativo]],Table_Investimentos_Main[[#This Row],[Quantidade]])</f>
        <v>8413.3262159999995</v>
      </c>
    </row>
    <row r="258" spans="2:11" x14ac:dyDescent="0.2">
      <c r="B258" s="67">
        <v>46113</v>
      </c>
      <c r="C258" t="s">
        <v>42</v>
      </c>
      <c r="D258" t="s">
        <v>14</v>
      </c>
      <c r="E258" s="3" t="s">
        <v>22</v>
      </c>
      <c r="F258" s="3"/>
      <c r="G258" s="10">
        <v>6.1070400000000002E-3</v>
      </c>
      <c r="H258" s="18" cm="1">
        <f t="array" ref="H258">_xlfn.XLOOKUP(Table_Investimentos_Main[[#This Row],[Data]]&amp;Table_Investimentos_Main[[#This Row],[Ticker]],Table_Cotacoes[Data]&amp;Table_Cotacoes[Ticker],Table_Cotacoes[Valor],"")</f>
        <v>374009</v>
      </c>
      <c r="I258" s="5" t="str">
        <f>IF(Table_Investimentos_Main[[#This Row],[Ticker]]&lt;&gt;"",_xlfn.XLOOKUP(Table_Investimentos_Main[[#This Row],[Ticker]],Table_Cotacoes[Ticker],Table_Cotacoes[Moeda Base],""),"BRL")</f>
        <v>BTC</v>
      </c>
      <c r="J258" s="11" cm="1">
        <f t="array" ref="J258">_xlfn.SINGLE(_xlfn.XLOOKUP(Table_Investimentos_Main[[#This Row],[Data]]&amp;"USD",Table_Cotacoes[Data]&amp;Table_Cotacoes[Ticker],Table_Cotacoes[Valor],""))</f>
        <v>4.9702999999999999</v>
      </c>
      <c r="K258" s="18">
        <f>IF(Table_Investimentos_Main[[#This Row],[Ticker]]&lt;&gt;"",Table_Investimentos_Main[[#This Row],[Quantidade]]*Table_Investimentos_Main[[#This Row],[Cotação Ativo]],Table_Investimentos_Main[[#This Row],[Quantidade]])</f>
        <v>2284.0879233599999</v>
      </c>
    </row>
    <row r="259" spans="2:11" x14ac:dyDescent="0.2">
      <c r="B259" s="67">
        <v>46113</v>
      </c>
      <c r="C259" t="s">
        <v>49</v>
      </c>
      <c r="D259" t="s">
        <v>57</v>
      </c>
      <c r="E259" s="3" t="s">
        <v>22</v>
      </c>
      <c r="F259" s="3"/>
      <c r="G259" s="10">
        <v>6.1093000000000002</v>
      </c>
      <c r="H259" s="18" cm="1">
        <f t="array" ref="H259">_xlfn.XLOOKUP(Table_Investimentos_Main[[#This Row],[Data]]&amp;Table_Investimentos_Main[[#This Row],[Ticker]],Table_Cotacoes[Data]&amp;Table_Cotacoes[Ticker],Table_Cotacoes[Valor],"")</f>
        <v>432.48</v>
      </c>
      <c r="I259" s="5" t="str">
        <f>IF(Table_Investimentos_Main[[#This Row],[Ticker]]&lt;&gt;"",_xlfn.XLOOKUP(Table_Investimentos_Main[[#This Row],[Ticker]],Table_Cotacoes[Ticker],Table_Cotacoes[Moeda Base],""),"BRL")</f>
        <v>USD</v>
      </c>
      <c r="J259" s="11" cm="1">
        <f t="array" ref="J259">_xlfn.SINGLE(_xlfn.XLOOKUP(Table_Investimentos_Main[[#This Row],[Data]]&amp;"USD",Table_Cotacoes[Data]&amp;Table_Cotacoes[Ticker],Table_Cotacoes[Valor],""))</f>
        <v>4.9702999999999999</v>
      </c>
      <c r="K259" s="18">
        <f>IF(Table_Investimentos_Main[[#This Row],[Ticker]]&lt;&gt;"",Table_Investimentos_Main[[#This Row],[Quantidade]]*Table_Investimentos_Main[[#This Row],[Cotação Ativo]],Table_Investimentos_Main[[#This Row],[Quantidade]])</f>
        <v>2642.1500640000004</v>
      </c>
    </row>
    <row r="260" spans="2:11" x14ac:dyDescent="0.2">
      <c r="B260" s="67">
        <v>46113</v>
      </c>
      <c r="C260" t="s">
        <v>64</v>
      </c>
      <c r="D260" t="s">
        <v>24</v>
      </c>
      <c r="E260" s="3" t="s">
        <v>27</v>
      </c>
      <c r="F260" s="3"/>
      <c r="G260" s="10">
        <v>322.98</v>
      </c>
      <c r="H260" s="18" cm="1">
        <f t="array" ref="H260">_xlfn.XLOOKUP(Table_Investimentos_Main[[#This Row],[Data]]&amp;Table_Investimentos_Main[[#This Row],[Ticker]],Table_Cotacoes[Data]&amp;Table_Cotacoes[Ticker],Table_Cotacoes[Valor],"")</f>
        <v>4.9702999999999999</v>
      </c>
      <c r="I260" s="5" t="str">
        <f>IF(Table_Investimentos_Main[[#This Row],[Ticker]]&lt;&gt;"",_xlfn.XLOOKUP(Table_Investimentos_Main[[#This Row],[Ticker]],Table_Cotacoes[Ticker],Table_Cotacoes[Moeda Base],""),"BRL")</f>
        <v>USD</v>
      </c>
      <c r="J260" s="11" cm="1">
        <f t="array" ref="J260">_xlfn.SINGLE(_xlfn.XLOOKUP(Table_Investimentos_Main[[#This Row],[Data]]&amp;"USD",Table_Cotacoes[Data]&amp;Table_Cotacoes[Ticker],Table_Cotacoes[Valor],""))</f>
        <v>4.9702999999999999</v>
      </c>
      <c r="K260" s="18">
        <f>IF(Table_Investimentos_Main[[#This Row],[Ticker]]&lt;&gt;"",Table_Investimentos_Main[[#This Row],[Quantidade]]*Table_Investimentos_Main[[#This Row],[Cotação Ativo]],Table_Investimentos_Main[[#This Row],[Quantidade]])</f>
        <v>1605.3074940000001</v>
      </c>
    </row>
    <row r="261" spans="2:11" x14ac:dyDescent="0.2">
      <c r="B261" s="67">
        <v>46113</v>
      </c>
      <c r="C261" t="s">
        <v>68</v>
      </c>
      <c r="E261" s="3" t="s">
        <v>27</v>
      </c>
      <c r="F261" s="3"/>
      <c r="G261" s="10">
        <v>14088.77</v>
      </c>
      <c r="H261" s="18" t="str" cm="1">
        <f t="array" ref="H261">_xlfn.XLOOKUP(Table_Investimentos_Main[[#This Row],[Data]]&amp;Table_Investimentos_Main[[#This Row],[Ticker]],Table_Cotacoes[Data]&amp;Table_Cotacoes[Ticker],Table_Cotacoes[Valor],"")</f>
        <v/>
      </c>
      <c r="I261" s="5" t="str">
        <f>IF(Table_Investimentos_Main[[#This Row],[Ticker]]&lt;&gt;"",_xlfn.XLOOKUP(Table_Investimentos_Main[[#This Row],[Ticker]],Table_Cotacoes[Ticker],Table_Cotacoes[Moeda Base],""),"BRL")</f>
        <v>BRL</v>
      </c>
      <c r="J261" s="11" cm="1">
        <f t="array" ref="J261">_xlfn.SINGLE(_xlfn.XLOOKUP(Table_Investimentos_Main[[#This Row],[Data]]&amp;"USD",Table_Cotacoes[Data]&amp;Table_Cotacoes[Ticker],Table_Cotacoes[Valor],""))</f>
        <v>4.9702999999999999</v>
      </c>
      <c r="K261" s="18">
        <f>IF(Table_Investimentos_Main[[#This Row],[Ticker]]&lt;&gt;"",Table_Investimentos_Main[[#This Row],[Quantidade]]*Table_Investimentos_Main[[#This Row],[Cotação Ativo]],Table_Investimentos_Main[[#This Row],[Quantidade]])</f>
        <v>14088.77</v>
      </c>
    </row>
    <row r="262" spans="2:11" x14ac:dyDescent="0.2">
      <c r="B262" s="67">
        <v>46113</v>
      </c>
      <c r="C262" t="s">
        <v>75</v>
      </c>
      <c r="E262" s="3" t="s">
        <v>27</v>
      </c>
      <c r="F262" s="3"/>
      <c r="G262" s="10">
        <f>20514.15*54%</f>
        <v>11077.641000000001</v>
      </c>
      <c r="H262" s="18" t="str" cm="1">
        <f t="array" ref="H262">_xlfn.XLOOKUP(Table_Investimentos_Main[[#This Row],[Data]]&amp;Table_Investimentos_Main[[#This Row],[Ticker]],Table_Cotacoes[Data]&amp;Table_Cotacoes[Ticker],Table_Cotacoes[Valor],"")</f>
        <v/>
      </c>
      <c r="I262" s="5" t="str">
        <f>IF(Table_Investimentos_Main[[#This Row],[Ticker]]&lt;&gt;"",_xlfn.XLOOKUP(Table_Investimentos_Main[[#This Row],[Ticker]],Table_Cotacoes[Ticker],Table_Cotacoes[Moeda Base],""),"BRL")</f>
        <v>BRL</v>
      </c>
      <c r="J262" s="11" cm="1">
        <f t="array" ref="J262">_xlfn.SINGLE(_xlfn.XLOOKUP(Table_Investimentos_Main[[#This Row],[Data]]&amp;"USD",Table_Cotacoes[Data]&amp;Table_Cotacoes[Ticker],Table_Cotacoes[Valor],""))</f>
        <v>4.9702999999999999</v>
      </c>
      <c r="K262" s="18">
        <f>IF(Table_Investimentos_Main[[#This Row],[Ticker]]&lt;&gt;"",Table_Investimentos_Main[[#This Row],[Quantidade]]*Table_Investimentos_Main[[#This Row],[Cotação Ativo]],Table_Investimentos_Main[[#This Row],[Quantidade]])</f>
        <v>11077.641000000001</v>
      </c>
    </row>
    <row r="263" spans="2:11" x14ac:dyDescent="0.2">
      <c r="B263" s="67">
        <v>46113</v>
      </c>
      <c r="C263" t="s">
        <v>81</v>
      </c>
      <c r="E263" s="3" t="s">
        <v>27</v>
      </c>
      <c r="F263" s="3"/>
      <c r="G263" s="10">
        <f>20514.15*46%</f>
        <v>9436.5090000000018</v>
      </c>
      <c r="H263" s="18" t="str" cm="1">
        <f t="array" ref="H263">_xlfn.XLOOKUP(Table_Investimentos_Main[[#This Row],[Data]]&amp;Table_Investimentos_Main[[#This Row],[Ticker]],Table_Cotacoes[Data]&amp;Table_Cotacoes[Ticker],Table_Cotacoes[Valor],"")</f>
        <v/>
      </c>
      <c r="I263" s="5" t="str">
        <f>IF(Table_Investimentos_Main[[#This Row],[Ticker]]&lt;&gt;"",_xlfn.XLOOKUP(Table_Investimentos_Main[[#This Row],[Ticker]],Table_Cotacoes[Ticker],Table_Cotacoes[Moeda Base],""),"BRL")</f>
        <v>BRL</v>
      </c>
      <c r="J263" s="11" cm="1">
        <f t="array" ref="J263">_xlfn.SINGLE(_xlfn.XLOOKUP(Table_Investimentos_Main[[#This Row],[Data]]&amp;"USD",Table_Cotacoes[Data]&amp;Table_Cotacoes[Ticker],Table_Cotacoes[Valor],""))</f>
        <v>4.9702999999999999</v>
      </c>
      <c r="K263" s="18">
        <f>IF(Table_Investimentos_Main[[#This Row],[Ticker]]&lt;&gt;"",Table_Investimentos_Main[[#This Row],[Quantidade]]*Table_Investimentos_Main[[#This Row],[Cotação Ativo]],Table_Investimentos_Main[[#This Row],[Quantidade]])</f>
        <v>9436.5090000000018</v>
      </c>
    </row>
    <row r="264" spans="2:11" x14ac:dyDescent="0.2">
      <c r="B264" s="67">
        <v>46113</v>
      </c>
      <c r="C264" t="s">
        <v>58</v>
      </c>
      <c r="E264" s="3" t="s">
        <v>27</v>
      </c>
      <c r="F264" s="3"/>
      <c r="G264" s="10">
        <v>2842.03</v>
      </c>
      <c r="H264" s="18" t="str" cm="1">
        <f t="array" ref="H264">_xlfn.XLOOKUP(Table_Investimentos_Main[[#This Row],[Data]]&amp;Table_Investimentos_Main[[#This Row],[Ticker]],Table_Cotacoes[Data]&amp;Table_Cotacoes[Ticker],Table_Cotacoes[Valor],"")</f>
        <v/>
      </c>
      <c r="I264" s="5" t="str">
        <f>IF(Table_Investimentos_Main[[#This Row],[Ticker]]&lt;&gt;"",_xlfn.XLOOKUP(Table_Investimentos_Main[[#This Row],[Ticker]],Table_Cotacoes[Ticker],Table_Cotacoes[Moeda Base],""),"BRL")</f>
        <v>BRL</v>
      </c>
      <c r="J264" s="11" cm="1">
        <f t="array" ref="J264">_xlfn.SINGLE(_xlfn.XLOOKUP(Table_Investimentos_Main[[#This Row],[Data]]&amp;"USD",Table_Cotacoes[Data]&amp;Table_Cotacoes[Ticker],Table_Cotacoes[Valor],""))</f>
        <v>4.9702999999999999</v>
      </c>
      <c r="K264" s="18">
        <f>IF(Table_Investimentos_Main[[#This Row],[Ticker]]&lt;&gt;"",Table_Investimentos_Main[[#This Row],[Quantidade]]*Table_Investimentos_Main[[#This Row],[Cotação Ativo]],Table_Investimentos_Main[[#This Row],[Quantidade]])</f>
        <v>2842.03</v>
      </c>
    </row>
    <row r="265" spans="2:11" x14ac:dyDescent="0.2">
      <c r="B265" s="67">
        <v>46113</v>
      </c>
      <c r="C265" t="s">
        <v>82</v>
      </c>
      <c r="E265" s="3" t="s">
        <v>27</v>
      </c>
      <c r="F265" s="3"/>
      <c r="G265" s="10">
        <v>9594.66</v>
      </c>
      <c r="H265" s="18" t="str" cm="1">
        <f t="array" ref="H265">_xlfn.XLOOKUP(Table_Investimentos_Main[[#This Row],[Data]]&amp;Table_Investimentos_Main[[#This Row],[Ticker]],Table_Cotacoes[Data]&amp;Table_Cotacoes[Ticker],Table_Cotacoes[Valor],"")</f>
        <v/>
      </c>
      <c r="I265" s="5" t="str">
        <f>IF(Table_Investimentos_Main[[#This Row],[Ticker]]&lt;&gt;"",_xlfn.XLOOKUP(Table_Investimentos_Main[[#This Row],[Ticker]],Table_Cotacoes[Ticker],Table_Cotacoes[Moeda Base],""),"BRL")</f>
        <v>BRL</v>
      </c>
      <c r="J265" s="11" cm="1">
        <f t="array" ref="J265">_xlfn.SINGLE(_xlfn.XLOOKUP(Table_Investimentos_Main[[#This Row],[Data]]&amp;"USD",Table_Cotacoes[Data]&amp;Table_Cotacoes[Ticker],Table_Cotacoes[Valor],""))</f>
        <v>4.9702999999999999</v>
      </c>
      <c r="K265" s="18">
        <f>IF(Table_Investimentos_Main[[#This Row],[Ticker]]&lt;&gt;"",Table_Investimentos_Main[[#This Row],[Quantidade]]*Table_Investimentos_Main[[#This Row],[Cotação Ativo]],Table_Investimentos_Main[[#This Row],[Quantidade]])</f>
        <v>9594.66</v>
      </c>
    </row>
    <row r="266" spans="2:11" x14ac:dyDescent="0.2">
      <c r="B266" s="67">
        <v>46113</v>
      </c>
      <c r="C266" t="s">
        <v>74</v>
      </c>
      <c r="E266" s="3" t="s">
        <v>27</v>
      </c>
      <c r="F266" s="3"/>
      <c r="G266" s="10">
        <v>11870.58</v>
      </c>
      <c r="H266" s="18" t="str" cm="1">
        <f t="array" ref="H266">_xlfn.XLOOKUP(Table_Investimentos_Main[[#This Row],[Data]]&amp;Table_Investimentos_Main[[#This Row],[Ticker]],Table_Cotacoes[Data]&amp;Table_Cotacoes[Ticker],Table_Cotacoes[Valor],"")</f>
        <v/>
      </c>
      <c r="I266" s="5" t="str">
        <f>IF(Table_Investimentos_Main[[#This Row],[Ticker]]&lt;&gt;"",_xlfn.XLOOKUP(Table_Investimentos_Main[[#This Row],[Ticker]],Table_Cotacoes[Ticker],Table_Cotacoes[Moeda Base],""),"BRL")</f>
        <v>BRL</v>
      </c>
      <c r="J266" s="11" cm="1">
        <f t="array" ref="J266">_xlfn.SINGLE(_xlfn.XLOOKUP(Table_Investimentos_Main[[#This Row],[Data]]&amp;"USD",Table_Cotacoes[Data]&amp;Table_Cotacoes[Ticker],Table_Cotacoes[Valor],""))</f>
        <v>4.9702999999999999</v>
      </c>
      <c r="K266" s="18">
        <f>IF(Table_Investimentos_Main[[#This Row],[Ticker]]&lt;&gt;"",Table_Investimentos_Main[[#This Row],[Quantidade]]*Table_Investimentos_Main[[#This Row],[Cotação Ativo]],Table_Investimentos_Main[[#This Row],[Quantidade]])</f>
        <v>11870.58</v>
      </c>
    </row>
    <row r="267" spans="2:11" x14ac:dyDescent="0.2">
      <c r="B267" s="67">
        <v>46113</v>
      </c>
      <c r="C267" t="s">
        <v>51</v>
      </c>
      <c r="D267" t="s">
        <v>73</v>
      </c>
      <c r="E267" s="3" t="s">
        <v>27</v>
      </c>
      <c r="F267" s="3"/>
      <c r="G267" s="10">
        <v>1.7415499999999999</v>
      </c>
      <c r="H267" s="18" cm="1">
        <f t="array" ref="H267">_xlfn.XLOOKUP(Table_Investimentos_Main[[#This Row],[Data]]&amp;Table_Investimentos_Main[[#This Row],[Ticker]],Table_Cotacoes[Data]&amp;Table_Cotacoes[Ticker],Table_Cotacoes[Valor],"")</f>
        <v>3150.9216849999998</v>
      </c>
      <c r="I267" s="5" t="str">
        <f>IF(Table_Investimentos_Main[[#This Row],[Ticker]]&lt;&gt;"",_xlfn.XLOOKUP(Table_Investimentos_Main[[#This Row],[Ticker]],Table_Cotacoes[Ticker],Table_Cotacoes[Moeda Base],""),"BRL")</f>
        <v>USD</v>
      </c>
      <c r="J267" s="11" cm="1">
        <f t="array" ref="J267">_xlfn.SINGLE(_xlfn.XLOOKUP(Table_Investimentos_Main[[#This Row],[Data]]&amp;"USD",Table_Cotacoes[Data]&amp;Table_Cotacoes[Ticker],Table_Cotacoes[Valor],""))</f>
        <v>4.9702999999999999</v>
      </c>
      <c r="K267" s="18">
        <f>IF(Table_Investimentos_Main[[#This Row],[Ticker]]&lt;&gt;"",Table_Investimentos_Main[[#This Row],[Quantidade]]*Table_Investimentos_Main[[#This Row],[Cotação Ativo]],Table_Investimentos_Main[[#This Row],[Quantidade]])</f>
        <v>5487.4876605117497</v>
      </c>
    </row>
    <row r="268" spans="2:11" x14ac:dyDescent="0.2">
      <c r="B268" s="67">
        <v>46113</v>
      </c>
      <c r="C268" t="s">
        <v>77</v>
      </c>
      <c r="D268" t="s">
        <v>78</v>
      </c>
      <c r="E268" s="3" t="s">
        <v>27</v>
      </c>
      <c r="F268" s="3"/>
      <c r="G268" s="10">
        <v>3.1924899999999998</v>
      </c>
      <c r="H268" s="18" cm="1">
        <f t="array" ref="H268">_xlfn.XLOOKUP(Table_Investimentos_Main[[#This Row],[Data]]&amp;Table_Investimentos_Main[[#This Row],[Ticker]],Table_Cotacoes[Data]&amp;Table_Cotacoes[Ticker],Table_Cotacoes[Valor],"")</f>
        <v>369.04477500000002</v>
      </c>
      <c r="I268" s="5" t="str">
        <f>IF(Table_Investimentos_Main[[#This Row],[Ticker]]&lt;&gt;"",_xlfn.XLOOKUP(Table_Investimentos_Main[[#This Row],[Ticker]],Table_Cotacoes[Ticker],Table_Cotacoes[Moeda Base],""),"BRL")</f>
        <v>USD</v>
      </c>
      <c r="J268" s="11" cm="1">
        <f t="array" ref="J268">_xlfn.SINGLE(_xlfn.XLOOKUP(Table_Investimentos_Main[[#This Row],[Data]]&amp;"USD",Table_Cotacoes[Data]&amp;Table_Cotacoes[Ticker],Table_Cotacoes[Valor],""))</f>
        <v>4.9702999999999999</v>
      </c>
      <c r="K268" s="18">
        <f>IF(Table_Investimentos_Main[[#This Row],[Ticker]]&lt;&gt;"",Table_Investimentos_Main[[#This Row],[Quantidade]]*Table_Investimentos_Main[[#This Row],[Cotação Ativo]],Table_Investimentos_Main[[#This Row],[Quantidade]])</f>
        <v>1178.1717537397499</v>
      </c>
    </row>
    <row r="269" spans="2:11" x14ac:dyDescent="0.2">
      <c r="B269" s="67">
        <v>46113</v>
      </c>
      <c r="C269" t="s">
        <v>79</v>
      </c>
      <c r="D269" t="s">
        <v>80</v>
      </c>
      <c r="E269" s="3" t="s">
        <v>27</v>
      </c>
      <c r="F269" s="3"/>
      <c r="G269" s="10">
        <v>14.47</v>
      </c>
      <c r="H269" s="18" cm="1">
        <f t="array" ref="H269">_xlfn.XLOOKUP(Table_Investimentos_Main[[#This Row],[Data]]&amp;Table_Investimentos_Main[[#This Row],[Ticker]],Table_Cotacoes[Data]&amp;Table_Cotacoes[Ticker],Table_Cotacoes[Valor],"")</f>
        <v>237.28212199999999</v>
      </c>
      <c r="I269" s="5" t="str">
        <f>IF(Table_Investimentos_Main[[#This Row],[Ticker]]&lt;&gt;"",_xlfn.XLOOKUP(Table_Investimentos_Main[[#This Row],[Ticker]],Table_Cotacoes[Ticker],Table_Cotacoes[Moeda Base],""),"BRL")</f>
        <v>USD</v>
      </c>
      <c r="J269" s="11" cm="1">
        <f t="array" ref="J269">_xlfn.SINGLE(_xlfn.XLOOKUP(Table_Investimentos_Main[[#This Row],[Data]]&amp;"USD",Table_Cotacoes[Data]&amp;Table_Cotacoes[Ticker],Table_Cotacoes[Valor],""))</f>
        <v>4.9702999999999999</v>
      </c>
      <c r="K269" s="18">
        <f>IF(Table_Investimentos_Main[[#This Row],[Ticker]]&lt;&gt;"",Table_Investimentos_Main[[#This Row],[Quantidade]]*Table_Investimentos_Main[[#This Row],[Cotação Ativo]],Table_Investimentos_Main[[#This Row],[Quantidade]])</f>
        <v>3433.4723053399998</v>
      </c>
    </row>
    <row r="270" spans="2:11" x14ac:dyDescent="0.2">
      <c r="B270" s="67">
        <v>46113</v>
      </c>
      <c r="C270" t="s">
        <v>83</v>
      </c>
      <c r="D270" t="s">
        <v>84</v>
      </c>
      <c r="E270" s="3" t="s">
        <v>27</v>
      </c>
      <c r="F270" s="3"/>
      <c r="G270" s="10">
        <v>4.4690819900000003</v>
      </c>
      <c r="H270" s="18" cm="1">
        <f t="array" ref="H270">_xlfn.XLOOKUP(Table_Investimentos_Main[[#This Row],[Data]]&amp;Table_Investimentos_Main[[#This Row],[Ticker]],Table_Cotacoes[Data]&amp;Table_Cotacoes[Ticker],Table_Cotacoes[Valor],"")</f>
        <v>280.14999999999998</v>
      </c>
      <c r="I270" s="5" t="str">
        <f>IF(Table_Investimentos_Main[[#This Row],[Ticker]]&lt;&gt;"",_xlfn.XLOOKUP(Table_Investimentos_Main[[#This Row],[Ticker]],Table_Cotacoes[Ticker],Table_Cotacoes[Moeda Base],""),"BRL")</f>
        <v>USD</v>
      </c>
      <c r="J270" s="11" cm="1">
        <f t="array" ref="J270">_xlfn.SINGLE(_xlfn.XLOOKUP(Table_Investimentos_Main[[#This Row],[Data]]&amp;"USD",Table_Cotacoes[Data]&amp;Table_Cotacoes[Ticker],Table_Cotacoes[Valor],""))</f>
        <v>4.9702999999999999</v>
      </c>
      <c r="K270" s="18">
        <f>IF(Table_Investimentos_Main[[#This Row],[Ticker]]&lt;&gt;"",Table_Investimentos_Main[[#This Row],[Quantidade]]*Table_Investimentos_Main[[#This Row],[Cotação Ativo]],Table_Investimentos_Main[[#This Row],[Quantidade]])</f>
        <v>1252.0133194984999</v>
      </c>
    </row>
    <row r="271" spans="2:11" x14ac:dyDescent="0.2">
      <c r="B271" s="67">
        <v>46113</v>
      </c>
      <c r="C271" t="s">
        <v>70</v>
      </c>
      <c r="D271" t="s">
        <v>72</v>
      </c>
      <c r="E271" s="3" t="s">
        <v>27</v>
      </c>
      <c r="F271" s="3"/>
      <c r="G271" s="10">
        <v>13.87541817</v>
      </c>
      <c r="H271" s="18" cm="1">
        <f t="array" ref="H271">_xlfn.XLOOKUP(Table_Investimentos_Main[[#This Row],[Data]]&amp;Table_Investimentos_Main[[#This Row],[Ticker]],Table_Cotacoes[Data]&amp;Table_Cotacoes[Ticker],Table_Cotacoes[Valor],"")</f>
        <v>471.13473699999997</v>
      </c>
      <c r="I271" s="5" t="str">
        <f>IF(Table_Investimentos_Main[[#This Row],[Ticker]]&lt;&gt;"",_xlfn.XLOOKUP(Table_Investimentos_Main[[#This Row],[Ticker]],Table_Cotacoes[Ticker],Table_Cotacoes[Moeda Base],""),"BRL")</f>
        <v>USD</v>
      </c>
      <c r="J271" s="11" cm="1">
        <f t="array" ref="J271">_xlfn.SINGLE(_xlfn.XLOOKUP(Table_Investimentos_Main[[#This Row],[Data]]&amp;"USD",Table_Cotacoes[Data]&amp;Table_Cotacoes[Ticker],Table_Cotacoes[Valor],""))</f>
        <v>4.9702999999999999</v>
      </c>
      <c r="K271" s="18">
        <f>IF(Table_Investimentos_Main[[#This Row],[Ticker]]&lt;&gt;"",Table_Investimentos_Main[[#This Row],[Quantidade]]*Table_Investimentos_Main[[#This Row],[Cotação Ativo]],Table_Investimentos_Main[[#This Row],[Quantidade]])</f>
        <v>6537.1914902879707</v>
      </c>
    </row>
    <row r="272" spans="2:11" x14ac:dyDescent="0.2">
      <c r="B272" s="67">
        <v>46113</v>
      </c>
      <c r="C272" t="s">
        <v>55</v>
      </c>
      <c r="D272" t="s">
        <v>71</v>
      </c>
      <c r="E272" s="3" t="s">
        <v>27</v>
      </c>
      <c r="F272" s="3"/>
      <c r="G272" s="10">
        <v>6.0953400000000002</v>
      </c>
      <c r="H272" s="18" cm="1">
        <f t="array" ref="H272">_xlfn.XLOOKUP(Table_Investimentos_Main[[#This Row],[Data]]&amp;Table_Investimentos_Main[[#This Row],[Ticker]],Table_Cotacoes[Data]&amp;Table_Cotacoes[Ticker],Table_Cotacoes[Valor],"")</f>
        <v>476.05533400000002</v>
      </c>
      <c r="I272" s="5" t="str">
        <f>IF(Table_Investimentos_Main[[#This Row],[Ticker]]&lt;&gt;"",_xlfn.XLOOKUP(Table_Investimentos_Main[[#This Row],[Ticker]],Table_Cotacoes[Ticker],Table_Cotacoes[Moeda Base],""),"BRL")</f>
        <v>USD</v>
      </c>
      <c r="J272" s="11" cm="1">
        <f t="array" ref="J272">_xlfn.SINGLE(_xlfn.XLOOKUP(Table_Investimentos_Main[[#This Row],[Data]]&amp;"USD",Table_Cotacoes[Data]&amp;Table_Cotacoes[Ticker],Table_Cotacoes[Valor],""))</f>
        <v>4.9702999999999999</v>
      </c>
      <c r="K272" s="18">
        <f>IF(Table_Investimentos_Main[[#This Row],[Ticker]]&lt;&gt;"",Table_Investimentos_Main[[#This Row],[Quantidade]]*Table_Investimentos_Main[[#This Row],[Cotação Ativo]],Table_Investimentos_Main[[#This Row],[Quantidade]])</f>
        <v>2901.7191195435603</v>
      </c>
    </row>
    <row r="273" spans="2:11" x14ac:dyDescent="0.2">
      <c r="B273" s="67">
        <v>46113</v>
      </c>
      <c r="C273" t="s">
        <v>41</v>
      </c>
      <c r="D273" t="s">
        <v>14</v>
      </c>
      <c r="E273" s="3" t="s">
        <v>12</v>
      </c>
      <c r="F273" s="3"/>
      <c r="G273" s="10">
        <v>0.30045274</v>
      </c>
      <c r="H273" s="18" cm="1">
        <f t="array" ref="H273">_xlfn.XLOOKUP(Table_Investimentos_Main[[#This Row],[Data]]&amp;Table_Investimentos_Main[[#This Row],[Ticker]],Table_Cotacoes[Data]&amp;Table_Cotacoes[Ticker],Table_Cotacoes[Valor],"")</f>
        <v>374009</v>
      </c>
      <c r="I273" s="5" t="str">
        <f>IF(Table_Investimentos_Main[[#This Row],[Ticker]]&lt;&gt;"",_xlfn.XLOOKUP(Table_Investimentos_Main[[#This Row],[Ticker]],Table_Cotacoes[Ticker],Table_Cotacoes[Moeda Base],""),"BRL")</f>
        <v>BTC</v>
      </c>
      <c r="J273" s="11" cm="1">
        <f t="array" ref="J273">_xlfn.SINGLE(_xlfn.XLOOKUP(Table_Investimentos_Main[[#This Row],[Data]]&amp;"USD",Table_Cotacoes[Data]&amp;Table_Cotacoes[Ticker],Table_Cotacoes[Valor],""))</f>
        <v>4.9702999999999999</v>
      </c>
      <c r="K273" s="18">
        <f>IF(Table_Investimentos_Main[[#This Row],[Ticker]]&lt;&gt;"",Table_Investimentos_Main[[#This Row],[Quantidade]]*Table_Investimentos_Main[[#This Row],[Cotação Ativo]],Table_Investimentos_Main[[#This Row],[Quantidade]])</f>
        <v>112372.02883466</v>
      </c>
    </row>
    <row r="274" spans="2:11" x14ac:dyDescent="0.2">
      <c r="B274" s="67">
        <v>46143</v>
      </c>
      <c r="C274" t="s">
        <v>44</v>
      </c>
      <c r="D274" t="s">
        <v>24</v>
      </c>
      <c r="E274" s="3" t="s">
        <v>66</v>
      </c>
      <c r="F274" s="3"/>
      <c r="G274" s="10">
        <v>1697.7</v>
      </c>
      <c r="H274" s="18" cm="1">
        <f t="array" ref="H274">_xlfn.XLOOKUP(Table_Investimentos_Main[[#This Row],[Data]]&amp;Table_Investimentos_Main[[#This Row],[Ticker]],Table_Cotacoes[Data]&amp;Table_Cotacoes[Ticker],Table_Cotacoes[Valor],"")</f>
        <v>4.9280999999999997</v>
      </c>
      <c r="I274" s="5" t="str">
        <f>IF(Table_Investimentos_Main[[#This Row],[Ticker]]&lt;&gt;"",_xlfn.XLOOKUP(Table_Investimentos_Main[[#This Row],[Ticker]],Table_Cotacoes[Ticker],Table_Cotacoes[Moeda Base],""),"BRL")</f>
        <v>USD</v>
      </c>
      <c r="J274" s="11" cm="1">
        <f t="array" ref="J274">_xlfn.SINGLE(_xlfn.XLOOKUP(Table_Investimentos_Main[[#This Row],[Data]]&amp;"USD",Table_Cotacoes[Data]&amp;Table_Cotacoes[Ticker],Table_Cotacoes[Valor],""))</f>
        <v>4.9280999999999997</v>
      </c>
      <c r="K274" s="18">
        <f>IF(Table_Investimentos_Main[[#This Row],[Ticker]]&lt;&gt;"",Table_Investimentos_Main[[#This Row],[Quantidade]]*Table_Investimentos_Main[[#This Row],[Cotação Ativo]],Table_Investimentos_Main[[#This Row],[Quantidade]])</f>
        <v>8366.4353699999992</v>
      </c>
    </row>
    <row r="275" spans="2:11" x14ac:dyDescent="0.2">
      <c r="B275" s="67">
        <v>46143</v>
      </c>
      <c r="C275" t="s">
        <v>42</v>
      </c>
      <c r="D275" t="s">
        <v>14</v>
      </c>
      <c r="E275" s="3" t="s">
        <v>22</v>
      </c>
      <c r="F275" s="3"/>
      <c r="G275" s="10">
        <v>6.1070400000000002E-3</v>
      </c>
      <c r="H275" s="18" cm="1">
        <f t="array" ref="H275">_xlfn.XLOOKUP(Table_Investimentos_Main[[#This Row],[Data]]&amp;Table_Investimentos_Main[[#This Row],[Ticker]],Table_Cotacoes[Data]&amp;Table_Cotacoes[Ticker],Table_Cotacoes[Valor],"")</f>
        <v>401794</v>
      </c>
      <c r="I275" s="5" t="str">
        <f>IF(Table_Investimentos_Main[[#This Row],[Ticker]]&lt;&gt;"",_xlfn.XLOOKUP(Table_Investimentos_Main[[#This Row],[Ticker]],Table_Cotacoes[Ticker],Table_Cotacoes[Moeda Base],""),"BRL")</f>
        <v>BTC</v>
      </c>
      <c r="J275" s="11" cm="1">
        <f t="array" ref="J275">_xlfn.SINGLE(_xlfn.XLOOKUP(Table_Investimentos_Main[[#This Row],[Data]]&amp;"USD",Table_Cotacoes[Data]&amp;Table_Cotacoes[Ticker],Table_Cotacoes[Valor],""))</f>
        <v>4.9280999999999997</v>
      </c>
      <c r="K275" s="18">
        <f>IF(Table_Investimentos_Main[[#This Row],[Ticker]]&lt;&gt;"",Table_Investimentos_Main[[#This Row],[Quantidade]]*Table_Investimentos_Main[[#This Row],[Cotação Ativo]],Table_Investimentos_Main[[#This Row],[Quantidade]])</f>
        <v>2453.7720297599999</v>
      </c>
    </row>
    <row r="276" spans="2:11" x14ac:dyDescent="0.2">
      <c r="B276" s="67">
        <v>46143</v>
      </c>
      <c r="C276" t="s">
        <v>49</v>
      </c>
      <c r="D276" t="s">
        <v>57</v>
      </c>
      <c r="E276" s="3" t="s">
        <v>22</v>
      </c>
      <c r="F276" s="3"/>
      <c r="G276" s="10">
        <v>6.1093000000000002</v>
      </c>
      <c r="H276" s="18" cm="1">
        <f t="array" ref="H276">_xlfn.XLOOKUP(Table_Investimentos_Main[[#This Row],[Data]]&amp;Table_Investimentos_Main[[#This Row],[Ticker]],Table_Cotacoes[Data]&amp;Table_Cotacoes[Ticker],Table_Cotacoes[Valor],"")</f>
        <v>423.54</v>
      </c>
      <c r="I276" s="5" t="str">
        <f>IF(Table_Investimentos_Main[[#This Row],[Ticker]]&lt;&gt;"",_xlfn.XLOOKUP(Table_Investimentos_Main[[#This Row],[Ticker]],Table_Cotacoes[Ticker],Table_Cotacoes[Moeda Base],""),"BRL")</f>
        <v>USD</v>
      </c>
      <c r="J276" s="11" cm="1">
        <f t="array" ref="J276">_xlfn.SINGLE(_xlfn.XLOOKUP(Table_Investimentos_Main[[#This Row],[Data]]&amp;"USD",Table_Cotacoes[Data]&amp;Table_Cotacoes[Ticker],Table_Cotacoes[Valor],""))</f>
        <v>4.9280999999999997</v>
      </c>
      <c r="K276" s="18">
        <f>IF(Table_Investimentos_Main[[#This Row],[Ticker]]&lt;&gt;"",Table_Investimentos_Main[[#This Row],[Quantidade]]*Table_Investimentos_Main[[#This Row],[Cotação Ativo]],Table_Investimentos_Main[[#This Row],[Quantidade]])</f>
        <v>2587.5329220000003</v>
      </c>
    </row>
    <row r="277" spans="2:11" x14ac:dyDescent="0.2">
      <c r="B277" s="67">
        <v>46143</v>
      </c>
      <c r="C277" t="s">
        <v>64</v>
      </c>
      <c r="D277" t="s">
        <v>24</v>
      </c>
      <c r="E277" s="3" t="s">
        <v>27</v>
      </c>
      <c r="F277" s="3"/>
      <c r="G277" s="10">
        <v>323.47000000000003</v>
      </c>
      <c r="H277" s="18" cm="1">
        <f t="array" ref="H277">_xlfn.XLOOKUP(Table_Investimentos_Main[[#This Row],[Data]]&amp;Table_Investimentos_Main[[#This Row],[Ticker]],Table_Cotacoes[Data]&amp;Table_Cotacoes[Ticker],Table_Cotacoes[Valor],"")</f>
        <v>4.9280999999999997</v>
      </c>
      <c r="I277" s="5" t="str">
        <f>IF(Table_Investimentos_Main[[#This Row],[Ticker]]&lt;&gt;"",_xlfn.XLOOKUP(Table_Investimentos_Main[[#This Row],[Ticker]],Table_Cotacoes[Ticker],Table_Cotacoes[Moeda Base],""),"BRL")</f>
        <v>USD</v>
      </c>
      <c r="J277" s="11" cm="1">
        <f t="array" ref="J277">_xlfn.SINGLE(_xlfn.XLOOKUP(Table_Investimentos_Main[[#This Row],[Data]]&amp;"USD",Table_Cotacoes[Data]&amp;Table_Cotacoes[Ticker],Table_Cotacoes[Valor],""))</f>
        <v>4.9280999999999997</v>
      </c>
      <c r="K277" s="18">
        <f>IF(Table_Investimentos_Main[[#This Row],[Ticker]]&lt;&gt;"",Table_Investimentos_Main[[#This Row],[Quantidade]]*Table_Investimentos_Main[[#This Row],[Cotação Ativo]],Table_Investimentos_Main[[#This Row],[Quantidade]])</f>
        <v>1594.0925070000001</v>
      </c>
    </row>
    <row r="278" spans="2:11" x14ac:dyDescent="0.2">
      <c r="B278" s="67">
        <v>46143</v>
      </c>
      <c r="C278" t="s">
        <v>68</v>
      </c>
      <c r="E278" s="3" t="s">
        <v>27</v>
      </c>
      <c r="F278" s="3"/>
      <c r="G278" s="10">
        <v>12860.49</v>
      </c>
      <c r="H278" s="18" t="str" cm="1">
        <f t="array" ref="H278">_xlfn.XLOOKUP(Table_Investimentos_Main[[#This Row],[Data]]&amp;Table_Investimentos_Main[[#This Row],[Ticker]],Table_Cotacoes[Data]&amp;Table_Cotacoes[Ticker],Table_Cotacoes[Valor],"")</f>
        <v/>
      </c>
      <c r="I278" s="5" t="str">
        <f>IF(Table_Investimentos_Main[[#This Row],[Ticker]]&lt;&gt;"",_xlfn.XLOOKUP(Table_Investimentos_Main[[#This Row],[Ticker]],Table_Cotacoes[Ticker],Table_Cotacoes[Moeda Base],""),"BRL")</f>
        <v>BRL</v>
      </c>
      <c r="J278" s="11" cm="1">
        <f t="array" ref="J278">_xlfn.SINGLE(_xlfn.XLOOKUP(Table_Investimentos_Main[[#This Row],[Data]]&amp;"USD",Table_Cotacoes[Data]&amp;Table_Cotacoes[Ticker],Table_Cotacoes[Valor],""))</f>
        <v>4.9280999999999997</v>
      </c>
      <c r="K278" s="18">
        <f>IF(Table_Investimentos_Main[[#This Row],[Ticker]]&lt;&gt;"",Table_Investimentos_Main[[#This Row],[Quantidade]]*Table_Investimentos_Main[[#This Row],[Cotação Ativo]],Table_Investimentos_Main[[#This Row],[Quantidade]])</f>
        <v>12860.49</v>
      </c>
    </row>
    <row r="279" spans="2:11" x14ac:dyDescent="0.2">
      <c r="B279" s="67">
        <v>46143</v>
      </c>
      <c r="C279" t="s">
        <v>75</v>
      </c>
      <c r="E279" s="3" t="s">
        <v>27</v>
      </c>
      <c r="F279" s="3"/>
      <c r="G279" s="10">
        <f>20435.69*54%</f>
        <v>11035.2726</v>
      </c>
      <c r="H279" s="18" t="str" cm="1">
        <f t="array" ref="H279">_xlfn.XLOOKUP(Table_Investimentos_Main[[#This Row],[Data]]&amp;Table_Investimentos_Main[[#This Row],[Ticker]],Table_Cotacoes[Data]&amp;Table_Cotacoes[Ticker],Table_Cotacoes[Valor],"")</f>
        <v/>
      </c>
      <c r="I279" s="5" t="str">
        <f>IF(Table_Investimentos_Main[[#This Row],[Ticker]]&lt;&gt;"",_xlfn.XLOOKUP(Table_Investimentos_Main[[#This Row],[Ticker]],Table_Cotacoes[Ticker],Table_Cotacoes[Moeda Base],""),"BRL")</f>
        <v>BRL</v>
      </c>
      <c r="J279" s="11" cm="1">
        <f t="array" ref="J279">_xlfn.SINGLE(_xlfn.XLOOKUP(Table_Investimentos_Main[[#This Row],[Data]]&amp;"USD",Table_Cotacoes[Data]&amp;Table_Cotacoes[Ticker],Table_Cotacoes[Valor],""))</f>
        <v>4.9280999999999997</v>
      </c>
      <c r="K279" s="18">
        <f>IF(Table_Investimentos_Main[[#This Row],[Ticker]]&lt;&gt;"",Table_Investimentos_Main[[#This Row],[Quantidade]]*Table_Investimentos_Main[[#This Row],[Cotação Ativo]],Table_Investimentos_Main[[#This Row],[Quantidade]])</f>
        <v>11035.2726</v>
      </c>
    </row>
    <row r="280" spans="2:11" x14ac:dyDescent="0.2">
      <c r="B280" s="67">
        <v>46143</v>
      </c>
      <c r="C280" t="s">
        <v>81</v>
      </c>
      <c r="E280" s="3" t="s">
        <v>27</v>
      </c>
      <c r="F280" s="3"/>
      <c r="G280" s="10">
        <f>20435.69*46%</f>
        <v>9400.4174000000003</v>
      </c>
      <c r="H280" s="18" t="str" cm="1">
        <f t="array" ref="H280">_xlfn.XLOOKUP(Table_Investimentos_Main[[#This Row],[Data]]&amp;Table_Investimentos_Main[[#This Row],[Ticker]],Table_Cotacoes[Data]&amp;Table_Cotacoes[Ticker],Table_Cotacoes[Valor],"")</f>
        <v/>
      </c>
      <c r="I280" s="5" t="str">
        <f>IF(Table_Investimentos_Main[[#This Row],[Ticker]]&lt;&gt;"",_xlfn.XLOOKUP(Table_Investimentos_Main[[#This Row],[Ticker]],Table_Cotacoes[Ticker],Table_Cotacoes[Moeda Base],""),"BRL")</f>
        <v>BRL</v>
      </c>
      <c r="J280" s="11" cm="1">
        <f t="array" ref="J280">_xlfn.SINGLE(_xlfn.XLOOKUP(Table_Investimentos_Main[[#This Row],[Data]]&amp;"USD",Table_Cotacoes[Data]&amp;Table_Cotacoes[Ticker],Table_Cotacoes[Valor],""))</f>
        <v>4.9280999999999997</v>
      </c>
      <c r="K280" s="18">
        <f>IF(Table_Investimentos_Main[[#This Row],[Ticker]]&lt;&gt;"",Table_Investimentos_Main[[#This Row],[Quantidade]]*Table_Investimentos_Main[[#This Row],[Cotação Ativo]],Table_Investimentos_Main[[#This Row],[Quantidade]])</f>
        <v>9400.4174000000003</v>
      </c>
    </row>
    <row r="281" spans="2:11" x14ac:dyDescent="0.2">
      <c r="B281" s="67">
        <v>46143</v>
      </c>
      <c r="C281" t="s">
        <v>58</v>
      </c>
      <c r="E281" s="3" t="s">
        <v>27</v>
      </c>
      <c r="F281" s="3"/>
      <c r="G281" s="10">
        <v>8555.89</v>
      </c>
      <c r="H281" s="18" t="str" cm="1">
        <f t="array" ref="H281">_xlfn.XLOOKUP(Table_Investimentos_Main[[#This Row],[Data]]&amp;Table_Investimentos_Main[[#This Row],[Ticker]],Table_Cotacoes[Data]&amp;Table_Cotacoes[Ticker],Table_Cotacoes[Valor],"")</f>
        <v/>
      </c>
      <c r="I281" s="5" t="str">
        <f>IF(Table_Investimentos_Main[[#This Row],[Ticker]]&lt;&gt;"",_xlfn.XLOOKUP(Table_Investimentos_Main[[#This Row],[Ticker]],Table_Cotacoes[Ticker],Table_Cotacoes[Moeda Base],""),"BRL")</f>
        <v>BRL</v>
      </c>
      <c r="J281" s="11" cm="1">
        <f t="array" ref="J281">_xlfn.SINGLE(_xlfn.XLOOKUP(Table_Investimentos_Main[[#This Row],[Data]]&amp;"USD",Table_Cotacoes[Data]&amp;Table_Cotacoes[Ticker],Table_Cotacoes[Valor],""))</f>
        <v>4.9280999999999997</v>
      </c>
      <c r="K281" s="18">
        <f>IF(Table_Investimentos_Main[[#This Row],[Ticker]]&lt;&gt;"",Table_Investimentos_Main[[#This Row],[Quantidade]]*Table_Investimentos_Main[[#This Row],[Cotação Ativo]],Table_Investimentos_Main[[#This Row],[Quantidade]])</f>
        <v>8555.89</v>
      </c>
    </row>
    <row r="282" spans="2:11" x14ac:dyDescent="0.2">
      <c r="B282" s="67">
        <v>46143</v>
      </c>
      <c r="C282" t="s">
        <v>82</v>
      </c>
      <c r="E282" s="3" t="s">
        <v>27</v>
      </c>
      <c r="F282" s="3"/>
      <c r="G282" s="10">
        <v>9651.92</v>
      </c>
      <c r="H282" s="18" t="str" cm="1">
        <f t="array" ref="H282">_xlfn.XLOOKUP(Table_Investimentos_Main[[#This Row],[Data]]&amp;Table_Investimentos_Main[[#This Row],[Ticker]],Table_Cotacoes[Data]&amp;Table_Cotacoes[Ticker],Table_Cotacoes[Valor],"")</f>
        <v/>
      </c>
      <c r="I282" s="5" t="str">
        <f>IF(Table_Investimentos_Main[[#This Row],[Ticker]]&lt;&gt;"",_xlfn.XLOOKUP(Table_Investimentos_Main[[#This Row],[Ticker]],Table_Cotacoes[Ticker],Table_Cotacoes[Moeda Base],""),"BRL")</f>
        <v>BRL</v>
      </c>
      <c r="J282" s="11" cm="1">
        <f t="array" ref="J282">_xlfn.SINGLE(_xlfn.XLOOKUP(Table_Investimentos_Main[[#This Row],[Data]]&amp;"USD",Table_Cotacoes[Data]&amp;Table_Cotacoes[Ticker],Table_Cotacoes[Valor],""))</f>
        <v>4.9280999999999997</v>
      </c>
      <c r="K282" s="18">
        <f>IF(Table_Investimentos_Main[[#This Row],[Ticker]]&lt;&gt;"",Table_Investimentos_Main[[#This Row],[Quantidade]]*Table_Investimentos_Main[[#This Row],[Cotação Ativo]],Table_Investimentos_Main[[#This Row],[Quantidade]])</f>
        <v>9651.92</v>
      </c>
    </row>
    <row r="283" spans="2:11" x14ac:dyDescent="0.2">
      <c r="B283" s="67">
        <v>46143</v>
      </c>
      <c r="C283" t="s">
        <v>74</v>
      </c>
      <c r="E283" s="3" t="s">
        <v>27</v>
      </c>
      <c r="F283" s="3"/>
      <c r="G283" s="10">
        <v>11942.62</v>
      </c>
      <c r="H283" s="18" t="str" cm="1">
        <f t="array" ref="H283">_xlfn.XLOOKUP(Table_Investimentos_Main[[#This Row],[Data]]&amp;Table_Investimentos_Main[[#This Row],[Ticker]],Table_Cotacoes[Data]&amp;Table_Cotacoes[Ticker],Table_Cotacoes[Valor],"")</f>
        <v/>
      </c>
      <c r="I283" s="5" t="str">
        <f>IF(Table_Investimentos_Main[[#This Row],[Ticker]]&lt;&gt;"",_xlfn.XLOOKUP(Table_Investimentos_Main[[#This Row],[Ticker]],Table_Cotacoes[Ticker],Table_Cotacoes[Moeda Base],""),"BRL")</f>
        <v>BRL</v>
      </c>
      <c r="J283" s="11" cm="1">
        <f t="array" ref="J283">_xlfn.SINGLE(_xlfn.XLOOKUP(Table_Investimentos_Main[[#This Row],[Data]]&amp;"USD",Table_Cotacoes[Data]&amp;Table_Cotacoes[Ticker],Table_Cotacoes[Valor],""))</f>
        <v>4.9280999999999997</v>
      </c>
      <c r="K283" s="18">
        <f>IF(Table_Investimentos_Main[[#This Row],[Ticker]]&lt;&gt;"",Table_Investimentos_Main[[#This Row],[Quantidade]]*Table_Investimentos_Main[[#This Row],[Cotação Ativo]],Table_Investimentos_Main[[#This Row],[Quantidade]])</f>
        <v>11942.62</v>
      </c>
    </row>
    <row r="284" spans="2:11" x14ac:dyDescent="0.2">
      <c r="B284" s="67">
        <v>46143</v>
      </c>
      <c r="C284" t="s">
        <v>51</v>
      </c>
      <c r="D284" t="s">
        <v>73</v>
      </c>
      <c r="E284" s="3" t="s">
        <v>27</v>
      </c>
      <c r="F284" s="3"/>
      <c r="G284" s="10">
        <v>1.7415499999999999</v>
      </c>
      <c r="H284" s="18" cm="1">
        <f t="array" ref="H284">_xlfn.XLOOKUP(Table_Investimentos_Main[[#This Row],[Data]]&amp;Table_Investimentos_Main[[#This Row],[Ticker]],Table_Cotacoes[Data]&amp;Table_Cotacoes[Ticker],Table_Cotacoes[Valor],"")</f>
        <v>3283.8394349999999</v>
      </c>
      <c r="I284" s="5" t="str">
        <f>IF(Table_Investimentos_Main[[#This Row],[Ticker]]&lt;&gt;"",_xlfn.XLOOKUP(Table_Investimentos_Main[[#This Row],[Ticker]],Table_Cotacoes[Ticker],Table_Cotacoes[Moeda Base],""),"BRL")</f>
        <v>USD</v>
      </c>
      <c r="J284" s="11" cm="1">
        <f t="array" ref="J284">_xlfn.SINGLE(_xlfn.XLOOKUP(Table_Investimentos_Main[[#This Row],[Data]]&amp;"USD",Table_Cotacoes[Data]&amp;Table_Cotacoes[Ticker],Table_Cotacoes[Valor],""))</f>
        <v>4.9280999999999997</v>
      </c>
      <c r="K284" s="18">
        <f>IF(Table_Investimentos_Main[[#This Row],[Ticker]]&lt;&gt;"",Table_Investimentos_Main[[#This Row],[Quantidade]]*Table_Investimentos_Main[[#This Row],[Cotação Ativo]],Table_Investimentos_Main[[#This Row],[Quantidade]])</f>
        <v>5718.9705680242496</v>
      </c>
    </row>
    <row r="285" spans="2:11" x14ac:dyDescent="0.2">
      <c r="B285" s="67">
        <v>46143</v>
      </c>
      <c r="C285" t="s">
        <v>77</v>
      </c>
      <c r="D285" t="s">
        <v>78</v>
      </c>
      <c r="E285" s="3" t="s">
        <v>27</v>
      </c>
      <c r="F285" s="3"/>
      <c r="G285" s="10">
        <v>3.1924899999999998</v>
      </c>
      <c r="H285" s="18" cm="1">
        <f t="array" ref="H285">_xlfn.XLOOKUP(Table_Investimentos_Main[[#This Row],[Data]]&amp;Table_Investimentos_Main[[#This Row],[Ticker]],Table_Cotacoes[Data]&amp;Table_Cotacoes[Ticker],Table_Cotacoes[Valor],"")</f>
        <v>341.12308200000001</v>
      </c>
      <c r="I285" s="5" t="str">
        <f>IF(Table_Investimentos_Main[[#This Row],[Ticker]]&lt;&gt;"",_xlfn.XLOOKUP(Table_Investimentos_Main[[#This Row],[Ticker]],Table_Cotacoes[Ticker],Table_Cotacoes[Moeda Base],""),"BRL")</f>
        <v>USD</v>
      </c>
      <c r="J285" s="11" cm="1">
        <f t="array" ref="J285">_xlfn.SINGLE(_xlfn.XLOOKUP(Table_Investimentos_Main[[#This Row],[Data]]&amp;"USD",Table_Cotacoes[Data]&amp;Table_Cotacoes[Ticker],Table_Cotacoes[Valor],""))</f>
        <v>4.9280999999999997</v>
      </c>
      <c r="K285" s="18">
        <f>IF(Table_Investimentos_Main[[#This Row],[Ticker]]&lt;&gt;"",Table_Investimentos_Main[[#This Row],[Quantidade]]*Table_Investimentos_Main[[#This Row],[Cotação Ativo]],Table_Investimentos_Main[[#This Row],[Quantidade]])</f>
        <v>1089.03202805418</v>
      </c>
    </row>
    <row r="286" spans="2:11" x14ac:dyDescent="0.2">
      <c r="B286" s="67">
        <v>46143</v>
      </c>
      <c r="C286" t="s">
        <v>79</v>
      </c>
      <c r="D286" t="s">
        <v>80</v>
      </c>
      <c r="E286" s="3" t="s">
        <v>27</v>
      </c>
      <c r="F286" s="3"/>
      <c r="G286" s="10">
        <v>14.47</v>
      </c>
      <c r="H286" s="18" cm="1">
        <f t="array" ref="H286">_xlfn.XLOOKUP(Table_Investimentos_Main[[#This Row],[Data]]&amp;Table_Investimentos_Main[[#This Row],[Ticker]],Table_Cotacoes[Data]&amp;Table_Cotacoes[Ticker],Table_Cotacoes[Valor],"")</f>
        <v>223.785021</v>
      </c>
      <c r="I286" s="5" t="str">
        <f>IF(Table_Investimentos_Main[[#This Row],[Ticker]]&lt;&gt;"",_xlfn.XLOOKUP(Table_Investimentos_Main[[#This Row],[Ticker]],Table_Cotacoes[Ticker],Table_Cotacoes[Moeda Base],""),"BRL")</f>
        <v>USD</v>
      </c>
      <c r="J286" s="11" cm="1">
        <f t="array" ref="J286">_xlfn.SINGLE(_xlfn.XLOOKUP(Table_Investimentos_Main[[#This Row],[Data]]&amp;"USD",Table_Cotacoes[Data]&amp;Table_Cotacoes[Ticker],Table_Cotacoes[Valor],""))</f>
        <v>4.9280999999999997</v>
      </c>
      <c r="K286" s="18">
        <f>IF(Table_Investimentos_Main[[#This Row],[Ticker]]&lt;&gt;"",Table_Investimentos_Main[[#This Row],[Quantidade]]*Table_Investimentos_Main[[#This Row],[Cotação Ativo]],Table_Investimentos_Main[[#This Row],[Quantidade]])</f>
        <v>3238.1692538700004</v>
      </c>
    </row>
    <row r="287" spans="2:11" x14ac:dyDescent="0.2">
      <c r="B287" s="67">
        <v>46143</v>
      </c>
      <c r="C287" t="s">
        <v>83</v>
      </c>
      <c r="D287" t="s">
        <v>84</v>
      </c>
      <c r="E287" s="3" t="s">
        <v>27</v>
      </c>
      <c r="F287" s="3"/>
      <c r="G287" s="10">
        <v>4.4690819900000003</v>
      </c>
      <c r="H287" s="18" cm="1">
        <f t="array" ref="H287">_xlfn.XLOOKUP(Table_Investimentos_Main[[#This Row],[Data]]&amp;Table_Investimentos_Main[[#This Row],[Ticker]],Table_Cotacoes[Data]&amp;Table_Cotacoes[Ticker],Table_Cotacoes[Valor],"")</f>
        <v>294.30613199999999</v>
      </c>
      <c r="I287" s="5" t="str">
        <f>IF(Table_Investimentos_Main[[#This Row],[Ticker]]&lt;&gt;"",_xlfn.XLOOKUP(Table_Investimentos_Main[[#This Row],[Ticker]],Table_Cotacoes[Ticker],Table_Cotacoes[Moeda Base],""),"BRL")</f>
        <v>USD</v>
      </c>
      <c r="J287" s="11" cm="1">
        <f t="array" ref="J287">_xlfn.SINGLE(_xlfn.XLOOKUP(Table_Investimentos_Main[[#This Row],[Data]]&amp;"USD",Table_Cotacoes[Data]&amp;Table_Cotacoes[Ticker],Table_Cotacoes[Valor],""))</f>
        <v>4.9280999999999997</v>
      </c>
      <c r="K287" s="18">
        <f>IF(Table_Investimentos_Main[[#This Row],[Ticker]]&lt;&gt;"",Table_Investimentos_Main[[#This Row],[Quantidade]]*Table_Investimentos_Main[[#This Row],[Cotação Ativo]],Table_Investimentos_Main[[#This Row],[Quantidade]])</f>
        <v>1315.2782340677627</v>
      </c>
    </row>
    <row r="288" spans="2:11" x14ac:dyDescent="0.2">
      <c r="B288" s="67">
        <v>46143</v>
      </c>
      <c r="C288" t="s">
        <v>70</v>
      </c>
      <c r="D288" t="s">
        <v>72</v>
      </c>
      <c r="E288" s="3" t="s">
        <v>27</v>
      </c>
      <c r="F288" s="3"/>
      <c r="G288" s="10">
        <v>13.87541817</v>
      </c>
      <c r="H288" s="18" cm="1">
        <f t="array" ref="H288">_xlfn.XLOOKUP(Table_Investimentos_Main[[#This Row],[Data]]&amp;Table_Investimentos_Main[[#This Row],[Ticker]],Table_Cotacoes[Data]&amp;Table_Cotacoes[Ticker],Table_Cotacoes[Valor],"")</f>
        <v>444.268215</v>
      </c>
      <c r="I288" s="5" t="str">
        <f>IF(Table_Investimentos_Main[[#This Row],[Ticker]]&lt;&gt;"",_xlfn.XLOOKUP(Table_Investimentos_Main[[#This Row],[Ticker]],Table_Cotacoes[Ticker],Table_Cotacoes[Moeda Base],""),"BRL")</f>
        <v>USD</v>
      </c>
      <c r="J288" s="11" cm="1">
        <f t="array" ref="J288">_xlfn.SINGLE(_xlfn.XLOOKUP(Table_Investimentos_Main[[#This Row],[Data]]&amp;"USD",Table_Cotacoes[Data]&amp;Table_Cotacoes[Ticker],Table_Cotacoes[Valor],""))</f>
        <v>4.9280999999999997</v>
      </c>
      <c r="K288" s="18">
        <f>IF(Table_Investimentos_Main[[#This Row],[Ticker]]&lt;&gt;"",Table_Investimentos_Main[[#This Row],[Quantidade]]*Table_Investimentos_Main[[#This Row],[Cotação Ativo]],Table_Investimentos_Main[[#This Row],[Quantidade]])</f>
        <v>6164.4072627644664</v>
      </c>
    </row>
    <row r="289" spans="2:11" x14ac:dyDescent="0.2">
      <c r="B289" s="67">
        <v>46143</v>
      </c>
      <c r="C289" t="s">
        <v>85</v>
      </c>
      <c r="D289" t="s">
        <v>24</v>
      </c>
      <c r="E289" s="3" t="s">
        <v>27</v>
      </c>
      <c r="F289" s="3"/>
      <c r="G289" s="10">
        <v>570.42999999999995</v>
      </c>
      <c r="H289" s="18" cm="1">
        <f t="array" ref="H289">_xlfn.XLOOKUP(Table_Investimentos_Main[[#This Row],[Data]]&amp;Table_Investimentos_Main[[#This Row],[Ticker]],Table_Cotacoes[Data]&amp;Table_Cotacoes[Ticker],Table_Cotacoes[Valor],"")</f>
        <v>4.9280999999999997</v>
      </c>
      <c r="I289" s="5" t="str">
        <f>IF(Table_Investimentos_Main[[#This Row],[Ticker]]&lt;&gt;"",_xlfn.XLOOKUP(Table_Investimentos_Main[[#This Row],[Ticker]],Table_Cotacoes[Ticker],Table_Cotacoes[Moeda Base],""),"BRL")</f>
        <v>USD</v>
      </c>
      <c r="J289" s="11" cm="1">
        <f t="array" ref="J289">_xlfn.SINGLE(_xlfn.XLOOKUP(Table_Investimentos_Main[[#This Row],[Data]]&amp;"USD",Table_Cotacoes[Data]&amp;Table_Cotacoes[Ticker],Table_Cotacoes[Valor],""))</f>
        <v>4.9280999999999997</v>
      </c>
      <c r="K289" s="18">
        <f>IF(Table_Investimentos_Main[[#This Row],[Ticker]]&lt;&gt;"",Table_Investimentos_Main[[#This Row],[Quantidade]]*Table_Investimentos_Main[[#This Row],[Cotação Ativo]],Table_Investimentos_Main[[#This Row],[Quantidade]])</f>
        <v>2811.1360829999994</v>
      </c>
    </row>
    <row r="290" spans="2:11" x14ac:dyDescent="0.2">
      <c r="B290" s="67">
        <v>46143</v>
      </c>
      <c r="C290" t="s">
        <v>41</v>
      </c>
      <c r="D290" t="s">
        <v>14</v>
      </c>
      <c r="E290" s="3" t="s">
        <v>12</v>
      </c>
      <c r="F290" s="3"/>
      <c r="G290" s="10">
        <v>0.30045274</v>
      </c>
      <c r="H290" s="18" cm="1">
        <f t="array" ref="H290">_xlfn.XLOOKUP(Table_Investimentos_Main[[#This Row],[Data]]&amp;Table_Investimentos_Main[[#This Row],[Ticker]],Table_Cotacoes[Data]&amp;Table_Cotacoes[Ticker],Table_Cotacoes[Valor],"")</f>
        <v>401794</v>
      </c>
      <c r="I290" s="5" t="str">
        <f>IF(Table_Investimentos_Main[[#This Row],[Ticker]]&lt;&gt;"",_xlfn.XLOOKUP(Table_Investimentos_Main[[#This Row],[Ticker]],Table_Cotacoes[Ticker],Table_Cotacoes[Moeda Base],""),"BRL")</f>
        <v>BTC</v>
      </c>
      <c r="J290" s="11" cm="1">
        <f t="array" ref="J290">_xlfn.SINGLE(_xlfn.XLOOKUP(Table_Investimentos_Main[[#This Row],[Data]]&amp;"USD",Table_Cotacoes[Data]&amp;Table_Cotacoes[Ticker],Table_Cotacoes[Valor],""))</f>
        <v>4.9280999999999997</v>
      </c>
      <c r="K290" s="18">
        <f>IF(Table_Investimentos_Main[[#This Row],[Ticker]]&lt;&gt;"",Table_Investimentos_Main[[#This Row],[Quantidade]]*Table_Investimentos_Main[[#This Row],[Cotação Ativo]],Table_Investimentos_Main[[#This Row],[Quantidade]])</f>
        <v>120720.10821556</v>
      </c>
    </row>
    <row r="291" spans="2:11" x14ac:dyDescent="0.2">
      <c r="B291" s="67">
        <v>46174</v>
      </c>
      <c r="C291" t="s">
        <v>44</v>
      </c>
      <c r="D291" t="s">
        <v>24</v>
      </c>
      <c r="E291" s="3" t="s">
        <v>66</v>
      </c>
      <c r="F291" s="3"/>
      <c r="G291" s="10">
        <v>1702.29</v>
      </c>
      <c r="H291" s="18" cm="1">
        <f t="array" ref="H291">_xlfn.XLOOKUP(Table_Investimentos_Main[[#This Row],[Data]]&amp;Table_Investimentos_Main[[#This Row],[Ticker]],Table_Cotacoes[Data]&amp;Table_Cotacoes[Ticker],Table_Cotacoes[Valor],"")</f>
        <v>5.1824000000000003</v>
      </c>
      <c r="I291" s="5" t="str">
        <f>IF(Table_Investimentos_Main[[#This Row],[Ticker]]&lt;&gt;"",_xlfn.XLOOKUP(Table_Investimentos_Main[[#This Row],[Ticker]],Table_Cotacoes[Ticker],Table_Cotacoes[Moeda Base],""),"BRL")</f>
        <v>USD</v>
      </c>
      <c r="J291" s="11" cm="1">
        <f t="array" ref="J291">_xlfn.SINGLE(_xlfn.XLOOKUP(Table_Investimentos_Main[[#This Row],[Data]]&amp;"USD",Table_Cotacoes[Data]&amp;Table_Cotacoes[Ticker],Table_Cotacoes[Valor],""))</f>
        <v>5.1824000000000003</v>
      </c>
      <c r="K291" s="18">
        <f>IF(Table_Investimentos_Main[[#This Row],[Ticker]]&lt;&gt;"",Table_Investimentos_Main[[#This Row],[Quantidade]]*Table_Investimentos_Main[[#This Row],[Cotação Ativo]],Table_Investimentos_Main[[#This Row],[Quantidade]])</f>
        <v>8821.9476960000011</v>
      </c>
    </row>
    <row r="292" spans="2:11" x14ac:dyDescent="0.2">
      <c r="B292" s="67">
        <v>46174</v>
      </c>
      <c r="C292" t="s">
        <v>42</v>
      </c>
      <c r="D292" t="s">
        <v>14</v>
      </c>
      <c r="E292" s="3" t="s">
        <v>22</v>
      </c>
      <c r="F292" s="3"/>
      <c r="G292" s="10">
        <v>6.1070400000000002E-3</v>
      </c>
      <c r="H292" s="18" cm="1">
        <f t="array" ref="H292">_xlfn.XLOOKUP(Table_Investimentos_Main[[#This Row],[Data]]&amp;Table_Investimentos_Main[[#This Row],[Ticker]],Table_Cotacoes[Data]&amp;Table_Cotacoes[Ticker],Table_Cotacoes[Valor],"")</f>
        <v>318428</v>
      </c>
      <c r="I292" s="5" t="str">
        <f>IF(Table_Investimentos_Main[[#This Row],[Ticker]]&lt;&gt;"",_xlfn.XLOOKUP(Table_Investimentos_Main[[#This Row],[Ticker]],Table_Cotacoes[Ticker],Table_Cotacoes[Moeda Base],""),"BRL")</f>
        <v>BTC</v>
      </c>
      <c r="J292" s="11" cm="1">
        <f t="array" ref="J292">_xlfn.SINGLE(_xlfn.XLOOKUP(Table_Investimentos_Main[[#This Row],[Data]]&amp;"USD",Table_Cotacoes[Data]&amp;Table_Cotacoes[Ticker],Table_Cotacoes[Valor],""))</f>
        <v>5.1824000000000003</v>
      </c>
      <c r="K292" s="18">
        <f>IF(Table_Investimentos_Main[[#This Row],[Ticker]]&lt;&gt;"",Table_Investimentos_Main[[#This Row],[Quantidade]]*Table_Investimentos_Main[[#This Row],[Cotação Ativo]],Table_Investimentos_Main[[#This Row],[Quantidade]])</f>
        <v>1944.65253312</v>
      </c>
    </row>
    <row r="293" spans="2:11" x14ac:dyDescent="0.2">
      <c r="B293" s="67">
        <v>46174</v>
      </c>
      <c r="C293" t="s">
        <v>49</v>
      </c>
      <c r="D293" t="s">
        <v>57</v>
      </c>
      <c r="E293" s="3" t="s">
        <v>22</v>
      </c>
      <c r="F293" s="3"/>
      <c r="G293" s="10">
        <v>6.1093000000000002</v>
      </c>
      <c r="H293" s="18" cm="1">
        <f t="array" ref="H293">_xlfn.XLOOKUP(Table_Investimentos_Main[[#This Row],[Data]]&amp;Table_Investimentos_Main[[#This Row],[Ticker]],Table_Cotacoes[Data]&amp;Table_Cotacoes[Ticker],Table_Cotacoes[Valor],"")</f>
        <v>335.84</v>
      </c>
      <c r="I293" s="5" t="str">
        <f>IF(Table_Investimentos_Main[[#This Row],[Ticker]]&lt;&gt;"",_xlfn.XLOOKUP(Table_Investimentos_Main[[#This Row],[Ticker]],Table_Cotacoes[Ticker],Table_Cotacoes[Moeda Base],""),"BRL")</f>
        <v>USD</v>
      </c>
      <c r="J293" s="11" cm="1">
        <f t="array" ref="J293">_xlfn.SINGLE(_xlfn.XLOOKUP(Table_Investimentos_Main[[#This Row],[Data]]&amp;"USD",Table_Cotacoes[Data]&amp;Table_Cotacoes[Ticker],Table_Cotacoes[Valor],""))</f>
        <v>5.1824000000000003</v>
      </c>
      <c r="K293" s="18">
        <f>IF(Table_Investimentos_Main[[#This Row],[Ticker]]&lt;&gt;"",Table_Investimentos_Main[[#This Row],[Quantidade]]*Table_Investimentos_Main[[#This Row],[Cotação Ativo]],Table_Investimentos_Main[[#This Row],[Quantidade]])</f>
        <v>2051.747312</v>
      </c>
    </row>
    <row r="294" spans="2:11" x14ac:dyDescent="0.2">
      <c r="B294" s="67">
        <v>46174</v>
      </c>
      <c r="C294" t="s">
        <v>68</v>
      </c>
      <c r="E294" s="3" t="s">
        <v>27</v>
      </c>
      <c r="F294" s="3"/>
      <c r="G294" s="10">
        <v>11400.78</v>
      </c>
      <c r="H294" s="18" t="str" cm="1">
        <f t="array" ref="H294">_xlfn.XLOOKUP(Table_Investimentos_Main[[#This Row],[Data]]&amp;Table_Investimentos_Main[[#This Row],[Ticker]],Table_Cotacoes[Data]&amp;Table_Cotacoes[Ticker],Table_Cotacoes[Valor],"")</f>
        <v/>
      </c>
      <c r="I294" s="5" t="str">
        <f>IF(Table_Investimentos_Main[[#This Row],[Ticker]]&lt;&gt;"",_xlfn.XLOOKUP(Table_Investimentos_Main[[#This Row],[Ticker]],Table_Cotacoes[Ticker],Table_Cotacoes[Moeda Base],""),"BRL")</f>
        <v>BRL</v>
      </c>
      <c r="J294" s="11" cm="1">
        <f t="array" ref="J294">_xlfn.SINGLE(_xlfn.XLOOKUP(Table_Investimentos_Main[[#This Row],[Data]]&amp;"USD",Table_Cotacoes[Data]&amp;Table_Cotacoes[Ticker],Table_Cotacoes[Valor],""))</f>
        <v>5.1824000000000003</v>
      </c>
      <c r="K294" s="18">
        <f>IF(Table_Investimentos_Main[[#This Row],[Ticker]]&lt;&gt;"",Table_Investimentos_Main[[#This Row],[Quantidade]]*Table_Investimentos_Main[[#This Row],[Cotação Ativo]],Table_Investimentos_Main[[#This Row],[Quantidade]])</f>
        <v>11400.78</v>
      </c>
    </row>
    <row r="295" spans="2:11" x14ac:dyDescent="0.2">
      <c r="B295" s="67">
        <v>46174</v>
      </c>
      <c r="C295" t="s">
        <v>75</v>
      </c>
      <c r="E295" s="3" t="s">
        <v>27</v>
      </c>
      <c r="F295" s="3"/>
      <c r="G295" s="10">
        <f>21300.04*54%</f>
        <v>11502.021600000002</v>
      </c>
      <c r="H295" s="18" t="str" cm="1">
        <f t="array" ref="H295">_xlfn.XLOOKUP(Table_Investimentos_Main[[#This Row],[Data]]&amp;Table_Investimentos_Main[[#This Row],[Ticker]],Table_Cotacoes[Data]&amp;Table_Cotacoes[Ticker],Table_Cotacoes[Valor],"")</f>
        <v/>
      </c>
      <c r="I295" s="5" t="str">
        <f>IF(Table_Investimentos_Main[[#This Row],[Ticker]]&lt;&gt;"",_xlfn.XLOOKUP(Table_Investimentos_Main[[#This Row],[Ticker]],Table_Cotacoes[Ticker],Table_Cotacoes[Moeda Base],""),"BRL")</f>
        <v>BRL</v>
      </c>
      <c r="J295" s="11" cm="1">
        <f t="array" ref="J295">_xlfn.SINGLE(_xlfn.XLOOKUP(Table_Investimentos_Main[[#This Row],[Data]]&amp;"USD",Table_Cotacoes[Data]&amp;Table_Cotacoes[Ticker],Table_Cotacoes[Valor],""))</f>
        <v>5.1824000000000003</v>
      </c>
      <c r="K295" s="18">
        <f>IF(Table_Investimentos_Main[[#This Row],[Ticker]]&lt;&gt;"",Table_Investimentos_Main[[#This Row],[Quantidade]]*Table_Investimentos_Main[[#This Row],[Cotação Ativo]],Table_Investimentos_Main[[#This Row],[Quantidade]])</f>
        <v>11502.021600000002</v>
      </c>
    </row>
    <row r="296" spans="2:11" x14ac:dyDescent="0.2">
      <c r="B296" s="67">
        <v>46174</v>
      </c>
      <c r="C296" t="s">
        <v>81</v>
      </c>
      <c r="E296" s="3" t="s">
        <v>27</v>
      </c>
      <c r="F296" s="3"/>
      <c r="G296" s="10">
        <f>21300.04*46%</f>
        <v>9798.0184000000008</v>
      </c>
      <c r="H296" s="18" t="str" cm="1">
        <f t="array" ref="H296">_xlfn.XLOOKUP(Table_Investimentos_Main[[#This Row],[Data]]&amp;Table_Investimentos_Main[[#This Row],[Ticker]],Table_Cotacoes[Data]&amp;Table_Cotacoes[Ticker],Table_Cotacoes[Valor],"")</f>
        <v/>
      </c>
      <c r="I296" s="5" t="str">
        <f>IF(Table_Investimentos_Main[[#This Row],[Ticker]]&lt;&gt;"",_xlfn.XLOOKUP(Table_Investimentos_Main[[#This Row],[Ticker]],Table_Cotacoes[Ticker],Table_Cotacoes[Moeda Base],""),"BRL")</f>
        <v>BRL</v>
      </c>
      <c r="J296" s="11" cm="1">
        <f t="array" ref="J296">_xlfn.SINGLE(_xlfn.XLOOKUP(Table_Investimentos_Main[[#This Row],[Data]]&amp;"USD",Table_Cotacoes[Data]&amp;Table_Cotacoes[Ticker],Table_Cotacoes[Valor],""))</f>
        <v>5.1824000000000003</v>
      </c>
      <c r="K296" s="18">
        <f>IF(Table_Investimentos_Main[[#This Row],[Ticker]]&lt;&gt;"",Table_Investimentos_Main[[#This Row],[Quantidade]]*Table_Investimentos_Main[[#This Row],[Cotação Ativo]],Table_Investimentos_Main[[#This Row],[Quantidade]])</f>
        <v>9798.0184000000008</v>
      </c>
    </row>
    <row r="297" spans="2:11" x14ac:dyDescent="0.2">
      <c r="B297" s="67">
        <v>46174</v>
      </c>
      <c r="C297" t="s">
        <v>58</v>
      </c>
      <c r="E297" s="3" t="s">
        <v>27</v>
      </c>
      <c r="F297" s="3"/>
      <c r="G297" s="10">
        <v>5202.4399999999996</v>
      </c>
      <c r="H297" s="18" t="str" cm="1">
        <f t="array" ref="H297">_xlfn.XLOOKUP(Table_Investimentos_Main[[#This Row],[Data]]&amp;Table_Investimentos_Main[[#This Row],[Ticker]],Table_Cotacoes[Data]&amp;Table_Cotacoes[Ticker],Table_Cotacoes[Valor],"")</f>
        <v/>
      </c>
      <c r="I297" s="5" t="str">
        <f>IF(Table_Investimentos_Main[[#This Row],[Ticker]]&lt;&gt;"",_xlfn.XLOOKUP(Table_Investimentos_Main[[#This Row],[Ticker]],Table_Cotacoes[Ticker],Table_Cotacoes[Moeda Base],""),"BRL")</f>
        <v>BRL</v>
      </c>
      <c r="J297" s="11" cm="1">
        <f t="array" ref="J297">_xlfn.SINGLE(_xlfn.XLOOKUP(Table_Investimentos_Main[[#This Row],[Data]]&amp;"USD",Table_Cotacoes[Data]&amp;Table_Cotacoes[Ticker],Table_Cotacoes[Valor],""))</f>
        <v>5.1824000000000003</v>
      </c>
      <c r="K297" s="18">
        <f>IF(Table_Investimentos_Main[[#This Row],[Ticker]]&lt;&gt;"",Table_Investimentos_Main[[#This Row],[Quantidade]]*Table_Investimentos_Main[[#This Row],[Cotação Ativo]],Table_Investimentos_Main[[#This Row],[Quantidade]])</f>
        <v>5202.4399999999996</v>
      </c>
    </row>
    <row r="298" spans="2:11" x14ac:dyDescent="0.2">
      <c r="B298" s="67">
        <v>46174</v>
      </c>
      <c r="C298" t="s">
        <v>89</v>
      </c>
      <c r="E298" s="3" t="s">
        <v>27</v>
      </c>
      <c r="F298" s="3"/>
      <c r="G298" s="10">
        <v>9776.3799999999992</v>
      </c>
      <c r="H298" s="18" t="str" cm="1">
        <f t="array" ref="H298">_xlfn.XLOOKUP(Table_Investimentos_Main[[#This Row],[Data]]&amp;Table_Investimentos_Main[[#This Row],[Ticker]],Table_Cotacoes[Data]&amp;Table_Cotacoes[Ticker],Table_Cotacoes[Valor],"")</f>
        <v/>
      </c>
      <c r="I298" s="5" t="str">
        <f>IF(Table_Investimentos_Main[[#This Row],[Ticker]]&lt;&gt;"",_xlfn.XLOOKUP(Table_Investimentos_Main[[#This Row],[Ticker]],Table_Cotacoes[Ticker],Table_Cotacoes[Moeda Base],""),"BRL")</f>
        <v>BRL</v>
      </c>
      <c r="J298" s="11" cm="1">
        <f t="array" ref="J298">_xlfn.SINGLE(_xlfn.XLOOKUP(Table_Investimentos_Main[[#This Row],[Data]]&amp;"USD",Table_Cotacoes[Data]&amp;Table_Cotacoes[Ticker],Table_Cotacoes[Valor],""))</f>
        <v>5.1824000000000003</v>
      </c>
      <c r="K298" s="18">
        <f>IF(Table_Investimentos_Main[[#This Row],[Ticker]]&lt;&gt;"",Table_Investimentos_Main[[#This Row],[Quantidade]]*Table_Investimentos_Main[[#This Row],[Cotação Ativo]],Table_Investimentos_Main[[#This Row],[Quantidade]])</f>
        <v>9776.3799999999992</v>
      </c>
    </row>
    <row r="299" spans="2:11" x14ac:dyDescent="0.2">
      <c r="B299" s="67">
        <v>46174</v>
      </c>
      <c r="C299" t="s">
        <v>74</v>
      </c>
      <c r="E299" s="3" t="s">
        <v>27</v>
      </c>
      <c r="F299" s="3"/>
      <c r="G299" s="10">
        <v>12074.95</v>
      </c>
      <c r="H299" s="18" t="str" cm="1">
        <f t="array" ref="H299">_xlfn.XLOOKUP(Table_Investimentos_Main[[#This Row],[Data]]&amp;Table_Investimentos_Main[[#This Row],[Ticker]],Table_Cotacoes[Data]&amp;Table_Cotacoes[Ticker],Table_Cotacoes[Valor],"")</f>
        <v/>
      </c>
      <c r="I299" s="5" t="str">
        <f>IF(Table_Investimentos_Main[[#This Row],[Ticker]]&lt;&gt;"",_xlfn.XLOOKUP(Table_Investimentos_Main[[#This Row],[Ticker]],Table_Cotacoes[Ticker],Table_Cotacoes[Moeda Base],""),"BRL")</f>
        <v>BRL</v>
      </c>
      <c r="J299" s="11" cm="1">
        <f t="array" ref="J299">_xlfn.SINGLE(_xlfn.XLOOKUP(Table_Investimentos_Main[[#This Row],[Data]]&amp;"USD",Table_Cotacoes[Data]&amp;Table_Cotacoes[Ticker],Table_Cotacoes[Valor],""))</f>
        <v>5.1824000000000003</v>
      </c>
      <c r="K299" s="18">
        <f>IF(Table_Investimentos_Main[[#This Row],[Ticker]]&lt;&gt;"",Table_Investimentos_Main[[#This Row],[Quantidade]]*Table_Investimentos_Main[[#This Row],[Cotação Ativo]],Table_Investimentos_Main[[#This Row],[Quantidade]])</f>
        <v>12074.95</v>
      </c>
    </row>
    <row r="300" spans="2:11" x14ac:dyDescent="0.2">
      <c r="B300" s="67">
        <v>46174</v>
      </c>
      <c r="C300" t="s">
        <v>51</v>
      </c>
      <c r="D300" t="s">
        <v>73</v>
      </c>
      <c r="E300" s="3" t="s">
        <v>27</v>
      </c>
      <c r="F300" s="3"/>
      <c r="G300" s="10">
        <v>2.806</v>
      </c>
      <c r="H300" s="18" cm="1">
        <f t="array" ref="H300">_xlfn.XLOOKUP(Table_Investimentos_Main[[#This Row],[Data]]&amp;Table_Investimentos_Main[[#This Row],[Ticker]],Table_Cotacoes[Data]&amp;Table_Cotacoes[Ticker],Table_Cotacoes[Valor],"")</f>
        <v>3529.5253440000001</v>
      </c>
      <c r="I300" s="5" t="str">
        <f>IF(Table_Investimentos_Main[[#This Row],[Ticker]]&lt;&gt;"",_xlfn.XLOOKUP(Table_Investimentos_Main[[#This Row],[Ticker]],Table_Cotacoes[Ticker],Table_Cotacoes[Moeda Base],""),"BRL")</f>
        <v>USD</v>
      </c>
      <c r="J300" s="11" cm="1">
        <f t="array" ref="J300">_xlfn.SINGLE(_xlfn.XLOOKUP(Table_Investimentos_Main[[#This Row],[Data]]&amp;"USD",Table_Cotacoes[Data]&amp;Table_Cotacoes[Ticker],Table_Cotacoes[Valor],""))</f>
        <v>5.1824000000000003</v>
      </c>
      <c r="K300" s="18">
        <f>IF(Table_Investimentos_Main[[#This Row],[Ticker]]&lt;&gt;"",Table_Investimentos_Main[[#This Row],[Quantidade]]*Table_Investimentos_Main[[#This Row],[Cotação Ativo]],Table_Investimentos_Main[[#This Row],[Quantidade]])</f>
        <v>9903.8481152639997</v>
      </c>
    </row>
    <row r="301" spans="2:11" x14ac:dyDescent="0.2">
      <c r="B301" s="67">
        <v>46174</v>
      </c>
      <c r="C301" t="s">
        <v>77</v>
      </c>
      <c r="D301" t="s">
        <v>78</v>
      </c>
      <c r="E301" s="3" t="s">
        <v>27</v>
      </c>
      <c r="F301" s="3"/>
      <c r="G301" s="10">
        <v>3.1924899999999998</v>
      </c>
      <c r="H301" s="18" cm="1">
        <f t="array" ref="H301">_xlfn.XLOOKUP(Table_Investimentos_Main[[#This Row],[Data]]&amp;Table_Investimentos_Main[[#This Row],[Ticker]],Table_Cotacoes[Data]&amp;Table_Cotacoes[Ticker],Table_Cotacoes[Valor],"")</f>
        <v>327.52767999999998</v>
      </c>
      <c r="I301" s="5" t="str">
        <f>IF(Table_Investimentos_Main[[#This Row],[Ticker]]&lt;&gt;"",_xlfn.XLOOKUP(Table_Investimentos_Main[[#This Row],[Ticker]],Table_Cotacoes[Ticker],Table_Cotacoes[Moeda Base],""),"BRL")</f>
        <v>USD</v>
      </c>
      <c r="J301" s="11" cm="1">
        <f t="array" ref="J301">_xlfn.SINGLE(_xlfn.XLOOKUP(Table_Investimentos_Main[[#This Row],[Data]]&amp;"USD",Table_Cotacoes[Data]&amp;Table_Cotacoes[Ticker],Table_Cotacoes[Valor],""))</f>
        <v>5.1824000000000003</v>
      </c>
      <c r="K301" s="18">
        <f>IF(Table_Investimentos_Main[[#This Row],[Ticker]]&lt;&gt;"",Table_Investimentos_Main[[#This Row],[Quantidade]]*Table_Investimentos_Main[[#This Row],[Cotação Ativo]],Table_Investimentos_Main[[#This Row],[Quantidade]])</f>
        <v>1045.6288431231999</v>
      </c>
    </row>
    <row r="302" spans="2:11" x14ac:dyDescent="0.2">
      <c r="B302" s="67">
        <v>46174</v>
      </c>
      <c r="C302" t="s">
        <v>79</v>
      </c>
      <c r="D302" t="s">
        <v>80</v>
      </c>
      <c r="E302" s="3" t="s">
        <v>27</v>
      </c>
      <c r="F302" s="3"/>
      <c r="G302" s="10">
        <v>14.47</v>
      </c>
      <c r="H302" s="18" cm="1">
        <f t="array" ref="H302">_xlfn.XLOOKUP(Table_Investimentos_Main[[#This Row],[Data]]&amp;Table_Investimentos_Main[[#This Row],[Ticker]],Table_Cotacoes[Data]&amp;Table_Cotacoes[Ticker],Table_Cotacoes[Valor],"")</f>
        <v>222.63590400000001</v>
      </c>
      <c r="I302" s="5" t="str">
        <f>IF(Table_Investimentos_Main[[#This Row],[Ticker]]&lt;&gt;"",_xlfn.XLOOKUP(Table_Investimentos_Main[[#This Row],[Ticker]],Table_Cotacoes[Ticker],Table_Cotacoes[Moeda Base],""),"BRL")</f>
        <v>USD</v>
      </c>
      <c r="J302" s="11" cm="1">
        <f t="array" ref="J302">_xlfn.SINGLE(_xlfn.XLOOKUP(Table_Investimentos_Main[[#This Row],[Data]]&amp;"USD",Table_Cotacoes[Data]&amp;Table_Cotacoes[Ticker],Table_Cotacoes[Valor],""))</f>
        <v>5.1824000000000003</v>
      </c>
      <c r="K302" s="18">
        <f>IF(Table_Investimentos_Main[[#This Row],[Ticker]]&lt;&gt;"",Table_Investimentos_Main[[#This Row],[Quantidade]]*Table_Investimentos_Main[[#This Row],[Cotação Ativo]],Table_Investimentos_Main[[#This Row],[Quantidade]])</f>
        <v>3221.5415308800002</v>
      </c>
    </row>
    <row r="303" spans="2:11" x14ac:dyDescent="0.2">
      <c r="B303" s="67">
        <v>46174</v>
      </c>
      <c r="C303" t="s">
        <v>83</v>
      </c>
      <c r="D303" t="s">
        <v>84</v>
      </c>
      <c r="E303" s="3" t="s">
        <v>27</v>
      </c>
      <c r="F303" s="3"/>
      <c r="G303" s="10">
        <v>4.4690819900000003</v>
      </c>
      <c r="H303" s="18" cm="1">
        <f t="array" ref="H303">_xlfn.XLOOKUP(Table_Investimentos_Main[[#This Row],[Data]]&amp;Table_Investimentos_Main[[#This Row],[Ticker]],Table_Cotacoes[Data]&amp;Table_Cotacoes[Ticker],Table_Cotacoes[Valor],"")</f>
        <v>296.588752</v>
      </c>
      <c r="I303" s="5" t="str">
        <f>IF(Table_Investimentos_Main[[#This Row],[Ticker]]&lt;&gt;"",_xlfn.XLOOKUP(Table_Investimentos_Main[[#This Row],[Ticker]],Table_Cotacoes[Ticker],Table_Cotacoes[Moeda Base],""),"BRL")</f>
        <v>USD</v>
      </c>
      <c r="J303" s="11" cm="1">
        <f t="array" ref="J303">_xlfn.SINGLE(_xlfn.XLOOKUP(Table_Investimentos_Main[[#This Row],[Data]]&amp;"USD",Table_Cotacoes[Data]&amp;Table_Cotacoes[Ticker],Table_Cotacoes[Valor],""))</f>
        <v>5.1824000000000003</v>
      </c>
      <c r="K303" s="18">
        <f>IF(Table_Investimentos_Main[[#This Row],[Ticker]]&lt;&gt;"",Table_Investimentos_Main[[#This Row],[Quantidade]]*Table_Investimentos_Main[[#This Row],[Cotação Ativo]],Table_Investimentos_Main[[#This Row],[Quantidade]])</f>
        <v>1325.4794499997765</v>
      </c>
    </row>
    <row r="304" spans="2:11" x14ac:dyDescent="0.2">
      <c r="B304" s="67">
        <v>46174</v>
      </c>
      <c r="C304" t="s">
        <v>70</v>
      </c>
      <c r="D304" t="s">
        <v>72</v>
      </c>
      <c r="E304" s="3" t="s">
        <v>27</v>
      </c>
      <c r="F304" s="3"/>
      <c r="G304" s="10">
        <v>13.87541817</v>
      </c>
      <c r="H304" s="18" cm="1">
        <f t="array" ref="H304">_xlfn.XLOOKUP(Table_Investimentos_Main[[#This Row],[Data]]&amp;Table_Investimentos_Main[[#This Row],[Ticker]],Table_Cotacoes[Data]&amp;Table_Cotacoes[Ticker],Table_Cotacoes[Valor],"")</f>
        <v>442.11054400000012</v>
      </c>
      <c r="I304" s="5" t="str">
        <f>IF(Table_Investimentos_Main[[#This Row],[Ticker]]&lt;&gt;"",_xlfn.XLOOKUP(Table_Investimentos_Main[[#This Row],[Ticker]],Table_Cotacoes[Ticker],Table_Cotacoes[Moeda Base],""),"BRL")</f>
        <v>USD</v>
      </c>
      <c r="J304" s="11" cm="1">
        <f t="array" ref="J304">_xlfn.SINGLE(_xlfn.XLOOKUP(Table_Investimentos_Main[[#This Row],[Data]]&amp;"USD",Table_Cotacoes[Data]&amp;Table_Cotacoes[Ticker],Table_Cotacoes[Valor],""))</f>
        <v>5.1824000000000003</v>
      </c>
      <c r="K304" s="18">
        <f>IF(Table_Investimentos_Main[[#This Row],[Ticker]]&lt;&gt;"",Table_Investimentos_Main[[#This Row],[Quantidade]]*Table_Investimentos_Main[[#This Row],[Cotação Ativo]],Table_Investimentos_Main[[#This Row],[Quantidade]])</f>
        <v>6134.4686753661863</v>
      </c>
    </row>
    <row r="305" spans="2:11" x14ac:dyDescent="0.2">
      <c r="B305" s="67">
        <v>46174</v>
      </c>
      <c r="C305" t="s">
        <v>41</v>
      </c>
      <c r="D305" t="s">
        <v>14</v>
      </c>
      <c r="E305" s="3" t="s">
        <v>12</v>
      </c>
      <c r="F305" s="3"/>
      <c r="G305" s="10">
        <v>0.30045274</v>
      </c>
      <c r="H305" s="18" cm="1">
        <f t="array" ref="H305">_xlfn.XLOOKUP(Table_Investimentos_Main[[#This Row],[Data]]&amp;Table_Investimentos_Main[[#This Row],[Ticker]],Table_Cotacoes[Data]&amp;Table_Cotacoes[Ticker],Table_Cotacoes[Valor],"")</f>
        <v>318428</v>
      </c>
      <c r="I305" s="5" t="str">
        <f>IF(Table_Investimentos_Main[[#This Row],[Ticker]]&lt;&gt;"",_xlfn.XLOOKUP(Table_Investimentos_Main[[#This Row],[Ticker]],Table_Cotacoes[Ticker],Table_Cotacoes[Moeda Base],""),"BRL")</f>
        <v>BTC</v>
      </c>
      <c r="J305" s="11" cm="1">
        <f t="array" ref="J305">_xlfn.SINGLE(_xlfn.XLOOKUP(Table_Investimentos_Main[[#This Row],[Data]]&amp;"USD",Table_Cotacoes[Data]&amp;Table_Cotacoes[Ticker],Table_Cotacoes[Valor],""))</f>
        <v>5.1824000000000003</v>
      </c>
      <c r="K305" s="18">
        <f>IF(Table_Investimentos_Main[[#This Row],[Ticker]]&lt;&gt;"",Table_Investimentos_Main[[#This Row],[Quantidade]]*Table_Investimentos_Main[[#This Row],[Cotação Ativo]],Table_Investimentos_Main[[#This Row],[Quantidade]])</f>
        <v>95672.565092720004</v>
      </c>
    </row>
    <row r="306" spans="2:11" x14ac:dyDescent="0.2">
      <c r="B306" s="67">
        <v>46174</v>
      </c>
      <c r="C306" t="s">
        <v>91</v>
      </c>
      <c r="D306" t="s">
        <v>92</v>
      </c>
      <c r="E306" s="3" t="s">
        <v>27</v>
      </c>
      <c r="F306" s="3"/>
      <c r="G306" s="10">
        <v>4.609</v>
      </c>
      <c r="H306" s="18" cm="1">
        <f t="array" ref="H306">_xlfn.XLOOKUP(Table_Investimentos_Main[[#This Row],[Data]]&amp;Table_Investimentos_Main[[#This Row],[Ticker]],Table_Cotacoes[Data]&amp;Table_Cotacoes[Ticker],Table_Cotacoes[Valor],"")</f>
        <v>430.72</v>
      </c>
      <c r="I306" s="5" t="str">
        <f>IF(Table_Investimentos_Main[[#This Row],[Ticker]]&lt;&gt;"",_xlfn.XLOOKUP(Table_Investimentos_Main[[#This Row],[Ticker]],Table_Cotacoes[Ticker],Table_Cotacoes[Moeda Base],""),"BRL")</f>
        <v>USD</v>
      </c>
      <c r="J306" s="11" cm="1">
        <f t="array" ref="J306">_xlfn.SINGLE(_xlfn.XLOOKUP(Table_Investimentos_Main[[#This Row],[Data]]&amp;"USD",Table_Cotacoes[Data]&amp;Table_Cotacoes[Ticker],Table_Cotacoes[Valor],""))</f>
        <v>5.1824000000000003</v>
      </c>
      <c r="K306" s="18">
        <f>IF(Table_Investimentos_Main[[#This Row],[Ticker]]&lt;&gt;"",Table_Investimentos_Main[[#This Row],[Quantidade]]*Table_Investimentos_Main[[#This Row],[Cotação Ativo]],Table_Investimentos_Main[[#This Row],[Quantidade]])</f>
        <v>1985.18848</v>
      </c>
    </row>
    <row r="307" spans="2:11" x14ac:dyDescent="0.2">
      <c r="B307" s="67">
        <v>46174</v>
      </c>
      <c r="C307" t="s">
        <v>93</v>
      </c>
      <c r="E307" s="3" t="s">
        <v>27</v>
      </c>
      <c r="F307" s="3"/>
      <c r="G307" s="10">
        <v>6000</v>
      </c>
      <c r="H307" s="18" t="str" cm="1">
        <f t="array" ref="H307">_xlfn.XLOOKUP(Table_Investimentos_Main[[#This Row],[Data]]&amp;Table_Investimentos_Main[[#This Row],[Ticker]],Table_Cotacoes[Data]&amp;Table_Cotacoes[Ticker],Table_Cotacoes[Valor],"")</f>
        <v/>
      </c>
      <c r="I307" s="5" t="str">
        <f>IF(Table_Investimentos_Main[[#This Row],[Ticker]]&lt;&gt;"",_xlfn.XLOOKUP(Table_Investimentos_Main[[#This Row],[Ticker]],Table_Cotacoes[Ticker],Table_Cotacoes[Moeda Base],""),"BRL")</f>
        <v>BRL</v>
      </c>
      <c r="J307" s="11" cm="1">
        <f t="array" ref="J307">_xlfn.SINGLE(_xlfn.XLOOKUP(Table_Investimentos_Main[[#This Row],[Data]]&amp;"USD",Table_Cotacoes[Data]&amp;Table_Cotacoes[Ticker],Table_Cotacoes[Valor],""))</f>
        <v>5.1824000000000003</v>
      </c>
      <c r="K307" s="18">
        <f>IF(Table_Investimentos_Main[[#This Row],[Ticker]]&lt;&gt;"",Table_Investimentos_Main[[#This Row],[Quantidade]]*Table_Investimentos_Main[[#This Row],[Cotação Ativo]],Table_Investimentos_Main[[#This Row],[Quantidade]])</f>
        <v>6000</v>
      </c>
    </row>
    <row r="308" spans="2:11" x14ac:dyDescent="0.2">
      <c r="B308" s="67">
        <v>46204</v>
      </c>
      <c r="C308" t="s">
        <v>44</v>
      </c>
      <c r="D308" t="s">
        <v>24</v>
      </c>
      <c r="E308" s="3" t="s">
        <v>66</v>
      </c>
      <c r="F308" s="3" t="s">
        <v>86</v>
      </c>
      <c r="G308" s="10">
        <v>1704.76</v>
      </c>
      <c r="H308" s="18" cm="1">
        <f t="array" ref="H308">_xlfn.XLOOKUP(Table_Investimentos_Main[[#This Row],[Data]]&amp;Table_Investimentos_Main[[#This Row],[Ticker]],Table_Cotacoes[Data]&amp;Table_Cotacoes[Ticker],Table_Cotacoes[Valor],"")</f>
        <v>5.1661999999999999</v>
      </c>
      <c r="I308" s="5" t="str">
        <f>IF(Table_Investimentos_Main[[#This Row],[Ticker]]&lt;&gt;"",_xlfn.XLOOKUP(Table_Investimentos_Main[[#This Row],[Ticker]],Table_Cotacoes[Ticker],Table_Cotacoes[Moeda Base],""),"BRL")</f>
        <v>USD</v>
      </c>
      <c r="J308" s="11" cm="1">
        <f t="array" ref="J308">_xlfn.SINGLE(_xlfn.XLOOKUP(Table_Investimentos_Main[[#This Row],[Data]]&amp;"USD",Table_Cotacoes[Data]&amp;Table_Cotacoes[Ticker],Table_Cotacoes[Valor],""))</f>
        <v>5.1661999999999999</v>
      </c>
      <c r="K308" s="18">
        <f>IF(Table_Investimentos_Main[[#This Row],[Ticker]]&lt;&gt;"",Table_Investimentos_Main[[#This Row],[Quantidade]]*Table_Investimentos_Main[[#This Row],[Cotação Ativo]],Table_Investimentos_Main[[#This Row],[Quantidade]])</f>
        <v>8807.1311119999991</v>
      </c>
    </row>
    <row r="309" spans="2:11" x14ac:dyDescent="0.2">
      <c r="B309" s="67">
        <v>46204</v>
      </c>
      <c r="C309" t="s">
        <v>42</v>
      </c>
      <c r="D309" t="s">
        <v>14</v>
      </c>
      <c r="E309" s="3" t="s">
        <v>22</v>
      </c>
      <c r="F309" s="3" t="s">
        <v>87</v>
      </c>
      <c r="G309" s="10">
        <v>6.1070400000000002E-3</v>
      </c>
      <c r="H309" s="18" cm="1">
        <f t="array" ref="H309">_xlfn.XLOOKUP(Table_Investimentos_Main[[#This Row],[Data]]&amp;Table_Investimentos_Main[[#This Row],[Ticker]],Table_Cotacoes[Data]&amp;Table_Cotacoes[Ticker],Table_Cotacoes[Valor],"")</f>
        <v>320586</v>
      </c>
      <c r="I309" s="5" t="str">
        <f>IF(Table_Investimentos_Main[[#This Row],[Ticker]]&lt;&gt;"",_xlfn.XLOOKUP(Table_Investimentos_Main[[#This Row],[Ticker]],Table_Cotacoes[Ticker],Table_Cotacoes[Moeda Base],""),"BRL")</f>
        <v>BTC</v>
      </c>
      <c r="J309" s="11" cm="1">
        <f t="array" ref="J309">_xlfn.SINGLE(_xlfn.XLOOKUP(Table_Investimentos_Main[[#This Row],[Data]]&amp;"USD",Table_Cotacoes[Data]&amp;Table_Cotacoes[Ticker],Table_Cotacoes[Valor],""))</f>
        <v>5.1661999999999999</v>
      </c>
      <c r="K309" s="18">
        <f>IF(Table_Investimentos_Main[[#This Row],[Ticker]]&lt;&gt;"",Table_Investimentos_Main[[#This Row],[Quantidade]]*Table_Investimentos_Main[[#This Row],[Cotação Ativo]],Table_Investimentos_Main[[#This Row],[Quantidade]])</f>
        <v>1957.8315254400002</v>
      </c>
    </row>
    <row r="310" spans="2:11" x14ac:dyDescent="0.2">
      <c r="B310" s="67">
        <v>46204</v>
      </c>
      <c r="C310" t="s">
        <v>49</v>
      </c>
      <c r="D310" t="s">
        <v>57</v>
      </c>
      <c r="E310" s="3" t="s">
        <v>22</v>
      </c>
      <c r="F310" s="3" t="s">
        <v>88</v>
      </c>
      <c r="G310" s="10">
        <v>6.1093000000000002</v>
      </c>
      <c r="H310" s="18" cm="1">
        <f t="array" ref="H310">_xlfn.XLOOKUP(Table_Investimentos_Main[[#This Row],[Data]]&amp;Table_Investimentos_Main[[#This Row],[Ticker]],Table_Cotacoes[Data]&amp;Table_Cotacoes[Ticker],Table_Cotacoes[Valor],"")</f>
        <v>398.6</v>
      </c>
      <c r="I310" s="5" t="str">
        <f>IF(Table_Investimentos_Main[[#This Row],[Ticker]]&lt;&gt;"",_xlfn.XLOOKUP(Table_Investimentos_Main[[#This Row],[Ticker]],Table_Cotacoes[Ticker],Table_Cotacoes[Moeda Base],""),"BRL")</f>
        <v>USD</v>
      </c>
      <c r="J310" s="11" cm="1">
        <f t="array" ref="J310">_xlfn.SINGLE(_xlfn.XLOOKUP(Table_Investimentos_Main[[#This Row],[Data]]&amp;"USD",Table_Cotacoes[Data]&amp;Table_Cotacoes[Ticker],Table_Cotacoes[Valor],""))</f>
        <v>5.1661999999999999</v>
      </c>
      <c r="K310" s="18">
        <f>IF(Table_Investimentos_Main[[#This Row],[Ticker]]&lt;&gt;"",Table_Investimentos_Main[[#This Row],[Quantidade]]*Table_Investimentos_Main[[#This Row],[Cotação Ativo]],Table_Investimentos_Main[[#This Row],[Quantidade]])</f>
        <v>2435.1669800000004</v>
      </c>
    </row>
    <row r="311" spans="2:11" x14ac:dyDescent="0.2">
      <c r="B311" s="67">
        <v>46204</v>
      </c>
      <c r="C311" t="s">
        <v>64</v>
      </c>
      <c r="D311" t="s">
        <v>24</v>
      </c>
      <c r="E311" s="3" t="s">
        <v>27</v>
      </c>
      <c r="F311" s="3" t="s">
        <v>86</v>
      </c>
      <c r="G311" s="10">
        <v>257.67</v>
      </c>
      <c r="H311" s="18" cm="1">
        <f t="array" ref="H311">_xlfn.XLOOKUP(Table_Investimentos_Main[[#This Row],[Data]]&amp;Table_Investimentos_Main[[#This Row],[Ticker]],Table_Cotacoes[Data]&amp;Table_Cotacoes[Ticker],Table_Cotacoes[Valor],"")</f>
        <v>5.1661999999999999</v>
      </c>
      <c r="I311" s="5" t="str">
        <f>IF(Table_Investimentos_Main[[#This Row],[Ticker]]&lt;&gt;"",_xlfn.XLOOKUP(Table_Investimentos_Main[[#This Row],[Ticker]],Table_Cotacoes[Ticker],Table_Cotacoes[Moeda Base],""),"BRL")</f>
        <v>USD</v>
      </c>
      <c r="J311" s="11" cm="1">
        <f t="array" ref="J311">_xlfn.SINGLE(_xlfn.XLOOKUP(Table_Investimentos_Main[[#This Row],[Data]]&amp;"USD",Table_Cotacoes[Data]&amp;Table_Cotacoes[Ticker],Table_Cotacoes[Valor],""))</f>
        <v>5.1661999999999999</v>
      </c>
      <c r="K311" s="18">
        <f>IF(Table_Investimentos_Main[[#This Row],[Ticker]]&lt;&gt;"",Table_Investimentos_Main[[#This Row],[Quantidade]]*Table_Investimentos_Main[[#This Row],[Cotação Ativo]],Table_Investimentos_Main[[#This Row],[Quantidade]])</f>
        <v>1331.1747540000001</v>
      </c>
    </row>
    <row r="312" spans="2:11" x14ac:dyDescent="0.2">
      <c r="B312" s="67">
        <v>46204</v>
      </c>
      <c r="C312" t="s">
        <v>100</v>
      </c>
      <c r="D312" t="s">
        <v>24</v>
      </c>
      <c r="E312" s="3" t="s">
        <v>101</v>
      </c>
      <c r="F312" s="3" t="s">
        <v>86</v>
      </c>
      <c r="G312" s="10">
        <v>579.01</v>
      </c>
      <c r="H312" s="18" cm="1">
        <f t="array" ref="H312">_xlfn.XLOOKUP(Table_Investimentos_Main[[#This Row],[Data]]&amp;Table_Investimentos_Main[[#This Row],[Ticker]],Table_Cotacoes[Data]&amp;Table_Cotacoes[Ticker],Table_Cotacoes[Valor],"")</f>
        <v>5.1661999999999999</v>
      </c>
      <c r="I312" s="5" t="str">
        <f>IF(Table_Investimentos_Main[[#This Row],[Ticker]]&lt;&gt;"",_xlfn.XLOOKUP(Table_Investimentos_Main[[#This Row],[Ticker]],Table_Cotacoes[Ticker],Table_Cotacoes[Moeda Base],""),"BRL")</f>
        <v>USD</v>
      </c>
      <c r="J312" s="11" cm="1">
        <f t="array" ref="J312">_xlfn.SINGLE(_xlfn.XLOOKUP(Table_Investimentos_Main[[#This Row],[Data]]&amp;"USD",Table_Cotacoes[Data]&amp;Table_Cotacoes[Ticker],Table_Cotacoes[Valor],""))</f>
        <v>5.1661999999999999</v>
      </c>
      <c r="K312" s="18">
        <f>IF(Table_Investimentos_Main[[#This Row],[Ticker]]&lt;&gt;"",Table_Investimentos_Main[[#This Row],[Quantidade]]*Table_Investimentos_Main[[#This Row],[Cotação Ativo]],Table_Investimentos_Main[[#This Row],[Quantidade]])</f>
        <v>2991.2814619999999</v>
      </c>
    </row>
    <row r="313" spans="2:11" x14ac:dyDescent="0.2">
      <c r="B313" s="67">
        <v>46204</v>
      </c>
      <c r="C313" t="s">
        <v>70</v>
      </c>
      <c r="D313" t="s">
        <v>72</v>
      </c>
      <c r="E313" s="3" t="s">
        <v>27</v>
      </c>
      <c r="F313" s="3" t="s">
        <v>90</v>
      </c>
      <c r="G313" s="10">
        <v>13.87541817</v>
      </c>
      <c r="H313" s="18" cm="1">
        <f t="array" ref="H313">_xlfn.XLOOKUP(Table_Investimentos_Main[[#This Row],[Data]]&amp;Table_Investimentos_Main[[#This Row],[Ticker]],Table_Cotacoes[Data]&amp;Table_Cotacoes[Ticker],Table_Cotacoes[Valor],"")</f>
        <v>415.46580399999999</v>
      </c>
      <c r="I313" s="5" t="str">
        <f>IF(Table_Investimentos_Main[[#This Row],[Ticker]]&lt;&gt;"",_xlfn.XLOOKUP(Table_Investimentos_Main[[#This Row],[Ticker]],Table_Cotacoes[Ticker],Table_Cotacoes[Moeda Base],""),"BRL")</f>
        <v>USD</v>
      </c>
      <c r="J313" s="11" cm="1">
        <f t="array" ref="J313">_xlfn.SINGLE(_xlfn.XLOOKUP(Table_Investimentos_Main[[#This Row],[Data]]&amp;"USD",Table_Cotacoes[Data]&amp;Table_Cotacoes[Ticker],Table_Cotacoes[Valor],""))</f>
        <v>5.1661999999999999</v>
      </c>
      <c r="K313" s="18">
        <f>IF(Table_Investimentos_Main[[#This Row],[Ticker]]&lt;&gt;"",Table_Investimentos_Main[[#This Row],[Quantidade]]*Table_Investimentos_Main[[#This Row],[Cotação Ativo]],Table_Investimentos_Main[[#This Row],[Quantidade]])</f>
        <v>5764.7617658352583</v>
      </c>
    </row>
    <row r="314" spans="2:11" x14ac:dyDescent="0.2">
      <c r="B314" s="67">
        <v>46204</v>
      </c>
      <c r="C314" t="s">
        <v>208</v>
      </c>
      <c r="D314" t="s">
        <v>213</v>
      </c>
      <c r="E314" s="3" t="s">
        <v>27</v>
      </c>
      <c r="F314" s="3" t="s">
        <v>86</v>
      </c>
      <c r="G314" s="10">
        <v>198</v>
      </c>
      <c r="H314" s="18" cm="1">
        <f t="array" ref="H314">_xlfn.XLOOKUP(Table_Investimentos_Main[[#This Row],[Data]]&amp;Table_Investimentos_Main[[#This Row],[Ticker]],Table_Cotacoes[Data]&amp;Table_Cotacoes[Ticker],Table_Cotacoes[Valor],"")</f>
        <v>25.27</v>
      </c>
      <c r="I314" s="5" t="str">
        <f>IF(Table_Investimentos_Main[[#This Row],[Ticker]]&lt;&gt;"",_xlfn.XLOOKUP(Table_Investimentos_Main[[#This Row],[Ticker]],Table_Cotacoes[Ticker],Table_Cotacoes[Moeda Base],""),"BRL")</f>
        <v>BRL</v>
      </c>
      <c r="J314" s="11" cm="1">
        <f t="array" ref="J314">_xlfn.SINGLE(_xlfn.XLOOKUP(Table_Investimentos_Main[[#This Row],[Data]]&amp;"USD",Table_Cotacoes[Data]&amp;Table_Cotacoes[Ticker],Table_Cotacoes[Valor],""))</f>
        <v>5.1661999999999999</v>
      </c>
      <c r="K314" s="18">
        <f>IF(Table_Investimentos_Main[[#This Row],[Ticker]]&lt;&gt;"",Table_Investimentos_Main[[#This Row],[Quantidade]]*Table_Investimentos_Main[[#This Row],[Cotação Ativo]],Table_Investimentos_Main[[#This Row],[Quantidade]])</f>
        <v>5003.46</v>
      </c>
    </row>
    <row r="315" spans="2:11" x14ac:dyDescent="0.2">
      <c r="B315" s="67">
        <v>46204</v>
      </c>
      <c r="C315" t="s">
        <v>104</v>
      </c>
      <c r="E315" s="3" t="s">
        <v>27</v>
      </c>
      <c r="F315" s="3" t="s">
        <v>86</v>
      </c>
      <c r="G315" s="10">
        <v>2986.86</v>
      </c>
      <c r="H315" s="18" t="str" cm="1">
        <f t="array" ref="H315">_xlfn.XLOOKUP(Table_Investimentos_Main[[#This Row],[Data]]&amp;Table_Investimentos_Main[[#This Row],[Ticker]],Table_Cotacoes[Data]&amp;Table_Cotacoes[Ticker],Table_Cotacoes[Valor],"")</f>
        <v/>
      </c>
      <c r="I315" s="5" t="str">
        <f>IF(Table_Investimentos_Main[[#This Row],[Ticker]]&lt;&gt;"",_xlfn.XLOOKUP(Table_Investimentos_Main[[#This Row],[Ticker]],Table_Cotacoes[Ticker],Table_Cotacoes[Moeda Base],""),"BRL")</f>
        <v>BRL</v>
      </c>
      <c r="J315" s="11" cm="1">
        <f t="array" ref="J315">_xlfn.SINGLE(_xlfn.XLOOKUP(Table_Investimentos_Main[[#This Row],[Data]]&amp;"USD",Table_Cotacoes[Data]&amp;Table_Cotacoes[Ticker],Table_Cotacoes[Valor],""))</f>
        <v>5.1661999999999999</v>
      </c>
      <c r="K315" s="18">
        <f>IF(Table_Investimentos_Main[[#This Row],[Ticker]]&lt;&gt;"",Table_Investimentos_Main[[#This Row],[Quantidade]]*Table_Investimentos_Main[[#This Row],[Cotação Ativo]],Table_Investimentos_Main[[#This Row],[Quantidade]])</f>
        <v>2986.86</v>
      </c>
    </row>
    <row r="316" spans="2:11" x14ac:dyDescent="0.2">
      <c r="B316" s="67">
        <v>46204</v>
      </c>
      <c r="C316" t="s">
        <v>79</v>
      </c>
      <c r="D316" t="s">
        <v>80</v>
      </c>
      <c r="E316" s="3" t="s">
        <v>27</v>
      </c>
      <c r="F316" s="3" t="s">
        <v>90</v>
      </c>
      <c r="G316" s="10">
        <v>22.437000000000001</v>
      </c>
      <c r="H316" s="18" cm="1">
        <f t="array" ref="H316">_xlfn.XLOOKUP(Table_Investimentos_Main[[#This Row],[Data]]&amp;Table_Investimentos_Main[[#This Row],[Ticker]],Table_Cotacoes[Data]&amp;Table_Cotacoes[Ticker],Table_Cotacoes[Valor],"")</f>
        <v>209.28276199999999</v>
      </c>
      <c r="I316" s="5" t="str">
        <f>IF(Table_Investimentos_Main[[#This Row],[Ticker]]&lt;&gt;"",_xlfn.XLOOKUP(Table_Investimentos_Main[[#This Row],[Ticker]],Table_Cotacoes[Ticker],Table_Cotacoes[Moeda Base],""),"BRL")</f>
        <v>USD</v>
      </c>
      <c r="J316" s="11" cm="1">
        <f t="array" ref="J316">_xlfn.SINGLE(_xlfn.XLOOKUP(Table_Investimentos_Main[[#This Row],[Data]]&amp;"USD",Table_Cotacoes[Data]&amp;Table_Cotacoes[Ticker],Table_Cotacoes[Valor],""))</f>
        <v>5.1661999999999999</v>
      </c>
      <c r="K316" s="18">
        <f>IF(Table_Investimentos_Main[[#This Row],[Ticker]]&lt;&gt;"",Table_Investimentos_Main[[#This Row],[Quantidade]]*Table_Investimentos_Main[[#This Row],[Cotação Ativo]],Table_Investimentos_Main[[#This Row],[Quantidade]])</f>
        <v>4695.6773309939999</v>
      </c>
    </row>
    <row r="317" spans="2:11" x14ac:dyDescent="0.2">
      <c r="B317" s="67">
        <v>46204</v>
      </c>
      <c r="C317" t="s">
        <v>77</v>
      </c>
      <c r="D317" t="s">
        <v>78</v>
      </c>
      <c r="E317" s="3" t="s">
        <v>27</v>
      </c>
      <c r="F317" s="3" t="s">
        <v>88</v>
      </c>
      <c r="G317" s="10">
        <v>3.1924899999999998</v>
      </c>
      <c r="H317" s="18" cm="1">
        <f t="array" ref="H317">_xlfn.XLOOKUP(Table_Investimentos_Main[[#This Row],[Data]]&amp;Table_Investimentos_Main[[#This Row],[Ticker]],Table_Cotacoes[Data]&amp;Table_Cotacoes[Ticker],Table_Cotacoes[Valor],"")</f>
        <v>284.45097199999998</v>
      </c>
      <c r="I317" s="5" t="str">
        <f>IF(Table_Investimentos_Main[[#This Row],[Ticker]]&lt;&gt;"",_xlfn.XLOOKUP(Table_Investimentos_Main[[#This Row],[Ticker]],Table_Cotacoes[Ticker],Table_Cotacoes[Moeda Base],""),"BRL")</f>
        <v>USD</v>
      </c>
      <c r="J317" s="11" cm="1">
        <f t="array" ref="J317">_xlfn.SINGLE(_xlfn.XLOOKUP(Table_Investimentos_Main[[#This Row],[Data]]&amp;"USD",Table_Cotacoes[Data]&amp;Table_Cotacoes[Ticker],Table_Cotacoes[Valor],""))</f>
        <v>5.1661999999999999</v>
      </c>
      <c r="K317" s="18">
        <f>IF(Table_Investimentos_Main[[#This Row],[Ticker]]&lt;&gt;"",Table_Investimentos_Main[[#This Row],[Quantidade]]*Table_Investimentos_Main[[#This Row],[Cotação Ativo]],Table_Investimentos_Main[[#This Row],[Quantidade]])</f>
        <v>908.10688360027984</v>
      </c>
    </row>
    <row r="318" spans="2:11" x14ac:dyDescent="0.2">
      <c r="B318" s="67">
        <v>46204</v>
      </c>
      <c r="C318" t="s">
        <v>51</v>
      </c>
      <c r="D318" t="s">
        <v>73</v>
      </c>
      <c r="E318" s="3" t="s">
        <v>27</v>
      </c>
      <c r="F318" s="3" t="s">
        <v>86</v>
      </c>
      <c r="G318" s="10">
        <v>2.806</v>
      </c>
      <c r="H318" s="18" cm="1">
        <f t="array" ref="H318">_xlfn.XLOOKUP(Table_Investimentos_Main[[#This Row],[Data]]&amp;Table_Investimentos_Main[[#This Row],[Ticker]],Table_Cotacoes[Data]&amp;Table_Cotacoes[Ticker],Table_Cotacoes[Valor],"")</f>
        <v>3534.662378</v>
      </c>
      <c r="I318" s="5" t="str">
        <f>IF(Table_Investimentos_Main[[#This Row],[Ticker]]&lt;&gt;"",_xlfn.XLOOKUP(Table_Investimentos_Main[[#This Row],[Ticker]],Table_Cotacoes[Ticker],Table_Cotacoes[Moeda Base],""),"BRL")</f>
        <v>USD</v>
      </c>
      <c r="J318" s="11" cm="1">
        <f t="array" ref="J318">_xlfn.SINGLE(_xlfn.XLOOKUP(Table_Investimentos_Main[[#This Row],[Data]]&amp;"USD",Table_Cotacoes[Data]&amp;Table_Cotacoes[Ticker],Table_Cotacoes[Valor],""))</f>
        <v>5.1661999999999999</v>
      </c>
      <c r="K318" s="18">
        <f>IF(Table_Investimentos_Main[[#This Row],[Ticker]]&lt;&gt;"",Table_Investimentos_Main[[#This Row],[Quantidade]]*Table_Investimentos_Main[[#This Row],[Cotação Ativo]],Table_Investimentos_Main[[#This Row],[Quantidade]])</f>
        <v>9918.2626326680002</v>
      </c>
    </row>
    <row r="319" spans="2:11" x14ac:dyDescent="0.2">
      <c r="B319" s="67">
        <v>46204</v>
      </c>
      <c r="C319" t="s">
        <v>91</v>
      </c>
      <c r="D319" t="s">
        <v>92</v>
      </c>
      <c r="E319" s="3" t="s">
        <v>27</v>
      </c>
      <c r="F319" s="3" t="s">
        <v>86</v>
      </c>
      <c r="G319" s="10">
        <v>4.609</v>
      </c>
      <c r="H319" s="18" cm="1">
        <f t="array" ref="H319">_xlfn.XLOOKUP(Table_Investimentos_Main[[#This Row],[Data]]&amp;Table_Investimentos_Main[[#This Row],[Ticker]],Table_Cotacoes[Data]&amp;Table_Cotacoes[Ticker],Table_Cotacoes[Valor],"")</f>
        <v>435.20068800000001</v>
      </c>
      <c r="I319" s="5" t="str">
        <f>IF(Table_Investimentos_Main[[#This Row],[Ticker]]&lt;&gt;"",_xlfn.XLOOKUP(Table_Investimentos_Main[[#This Row],[Ticker]],Table_Cotacoes[Ticker],Table_Cotacoes[Moeda Base],""),"BRL")</f>
        <v>USD</v>
      </c>
      <c r="J319" s="11" cm="1">
        <f t="array" ref="J319">_xlfn.SINGLE(_xlfn.XLOOKUP(Table_Investimentos_Main[[#This Row],[Data]]&amp;"USD",Table_Cotacoes[Data]&amp;Table_Cotacoes[Ticker],Table_Cotacoes[Valor],""))</f>
        <v>5.1661999999999999</v>
      </c>
      <c r="K319" s="18">
        <f>IF(Table_Investimentos_Main[[#This Row],[Ticker]]&lt;&gt;"",Table_Investimentos_Main[[#This Row],[Quantidade]]*Table_Investimentos_Main[[#This Row],[Cotação Ativo]],Table_Investimentos_Main[[#This Row],[Quantidade]])</f>
        <v>2005.839970992</v>
      </c>
    </row>
    <row r="320" spans="2:11" x14ac:dyDescent="0.2">
      <c r="B320" s="67">
        <v>46204</v>
      </c>
      <c r="C320" t="s">
        <v>83</v>
      </c>
      <c r="D320" t="s">
        <v>84</v>
      </c>
      <c r="E320" s="3" t="s">
        <v>27</v>
      </c>
      <c r="F320" s="3" t="s">
        <v>88</v>
      </c>
      <c r="G320" s="10">
        <v>4.4690819900000003</v>
      </c>
      <c r="H320" s="18" cm="1">
        <f t="array" ref="H320">_xlfn.XLOOKUP(Table_Investimentos_Main[[#This Row],[Data]]&amp;Table_Investimentos_Main[[#This Row],[Ticker]],Table_Cotacoes[Data]&amp;Table_Cotacoes[Ticker],Table_Cotacoes[Valor],"")</f>
        <v>285.01925399999999</v>
      </c>
      <c r="I320" s="5" t="str">
        <f>IF(Table_Investimentos_Main[[#This Row],[Ticker]]&lt;&gt;"",_xlfn.XLOOKUP(Table_Investimentos_Main[[#This Row],[Ticker]],Table_Cotacoes[Ticker],Table_Cotacoes[Moeda Base],""),"BRL")</f>
        <v>USD</v>
      </c>
      <c r="J320" s="11" cm="1">
        <f t="array" ref="J320">_xlfn.SINGLE(_xlfn.XLOOKUP(Table_Investimentos_Main[[#This Row],[Data]]&amp;"USD",Table_Cotacoes[Data]&amp;Table_Cotacoes[Ticker],Table_Cotacoes[Valor],""))</f>
        <v>5.1661999999999999</v>
      </c>
      <c r="K320" s="18">
        <f>IF(Table_Investimentos_Main[[#This Row],[Ticker]]&lt;&gt;"",Table_Investimentos_Main[[#This Row],[Quantidade]]*Table_Investimentos_Main[[#This Row],[Cotação Ativo]],Table_Investimentos_Main[[#This Row],[Quantidade]])</f>
        <v>1273.7744148546356</v>
      </c>
    </row>
    <row r="321" spans="2:11" x14ac:dyDescent="0.2">
      <c r="B321" s="67">
        <v>46204</v>
      </c>
      <c r="C321" t="s">
        <v>74</v>
      </c>
      <c r="E321" s="3" t="s">
        <v>27</v>
      </c>
      <c r="F321" s="3" t="s">
        <v>86</v>
      </c>
      <c r="G321" s="10">
        <v>12174.15</v>
      </c>
      <c r="H321" s="18" t="str" cm="1">
        <f t="array" ref="H321">_xlfn.XLOOKUP(Table_Investimentos_Main[[#This Row],[Data]]&amp;Table_Investimentos_Main[[#This Row],[Ticker]],Table_Cotacoes[Data]&amp;Table_Cotacoes[Ticker],Table_Cotacoes[Valor],"")</f>
        <v/>
      </c>
      <c r="I321" s="5" t="str">
        <f>IF(Table_Investimentos_Main[[#This Row],[Ticker]]&lt;&gt;"",_xlfn.XLOOKUP(Table_Investimentos_Main[[#This Row],[Ticker]],Table_Cotacoes[Ticker],Table_Cotacoes[Moeda Base],""),"BRL")</f>
        <v>BRL</v>
      </c>
      <c r="J321" s="11" cm="1">
        <f t="array" ref="J321">_xlfn.SINGLE(_xlfn.XLOOKUP(Table_Investimentos_Main[[#This Row],[Data]]&amp;"USD",Table_Cotacoes[Data]&amp;Table_Cotacoes[Ticker],Table_Cotacoes[Valor],""))</f>
        <v>5.1661999999999999</v>
      </c>
      <c r="K321" s="18">
        <f>IF(Table_Investimentos_Main[[#This Row],[Ticker]]&lt;&gt;"",Table_Investimentos_Main[[#This Row],[Quantidade]]*Table_Investimentos_Main[[#This Row],[Cotação Ativo]],Table_Investimentos_Main[[#This Row],[Quantidade]])</f>
        <v>12174.15</v>
      </c>
    </row>
    <row r="322" spans="2:11" x14ac:dyDescent="0.2">
      <c r="B322" s="67">
        <v>46204</v>
      </c>
      <c r="C322" t="s">
        <v>93</v>
      </c>
      <c r="E322" s="3" t="s">
        <v>27</v>
      </c>
      <c r="F322" s="3" t="s">
        <v>86</v>
      </c>
      <c r="G322" s="10">
        <v>6054.12</v>
      </c>
      <c r="H322" s="18" t="str" cm="1">
        <f t="array" ref="H322">_xlfn.XLOOKUP(Table_Investimentos_Main[[#This Row],[Data]]&amp;Table_Investimentos_Main[[#This Row],[Ticker]],Table_Cotacoes[Data]&amp;Table_Cotacoes[Ticker],Table_Cotacoes[Valor],"")</f>
        <v/>
      </c>
      <c r="I322" s="5" t="str">
        <f>IF(Table_Investimentos_Main[[#This Row],[Ticker]]&lt;&gt;"",_xlfn.XLOOKUP(Table_Investimentos_Main[[#This Row],[Ticker]],Table_Cotacoes[Ticker],Table_Cotacoes[Moeda Base],""),"BRL")</f>
        <v>BRL</v>
      </c>
      <c r="J322" s="11" cm="1">
        <f t="array" ref="J322">_xlfn.SINGLE(_xlfn.XLOOKUP(Table_Investimentos_Main[[#This Row],[Data]]&amp;"USD",Table_Cotacoes[Data]&amp;Table_Cotacoes[Ticker],Table_Cotacoes[Valor],""))</f>
        <v>5.1661999999999999</v>
      </c>
      <c r="K322" s="18">
        <f>IF(Table_Investimentos_Main[[#This Row],[Ticker]]&lt;&gt;"",Table_Investimentos_Main[[#This Row],[Quantidade]]*Table_Investimentos_Main[[#This Row],[Cotação Ativo]],Table_Investimentos_Main[[#This Row],[Quantidade]])</f>
        <v>6054.12</v>
      </c>
    </row>
    <row r="323" spans="2:11" x14ac:dyDescent="0.2">
      <c r="B323" s="67">
        <v>46204</v>
      </c>
      <c r="C323" t="s">
        <v>89</v>
      </c>
      <c r="E323" s="3" t="s">
        <v>27</v>
      </c>
      <c r="F323" s="3" t="s">
        <v>86</v>
      </c>
      <c r="G323" s="10">
        <v>9869.83</v>
      </c>
      <c r="H323" s="18" t="str" cm="1">
        <f t="array" ref="H323">_xlfn.XLOOKUP(Table_Investimentos_Main[[#This Row],[Data]]&amp;Table_Investimentos_Main[[#This Row],[Ticker]],Table_Cotacoes[Data]&amp;Table_Cotacoes[Ticker],Table_Cotacoes[Valor],"")</f>
        <v/>
      </c>
      <c r="I323" s="5" t="str">
        <f>IF(Table_Investimentos_Main[[#This Row],[Ticker]]&lt;&gt;"",_xlfn.XLOOKUP(Table_Investimentos_Main[[#This Row],[Ticker]],Table_Cotacoes[Ticker],Table_Cotacoes[Moeda Base],""),"BRL")</f>
        <v>BRL</v>
      </c>
      <c r="J323" s="11" cm="1">
        <f t="array" ref="J323">_xlfn.SINGLE(_xlfn.XLOOKUP(Table_Investimentos_Main[[#This Row],[Data]]&amp;"USD",Table_Cotacoes[Data]&amp;Table_Cotacoes[Ticker],Table_Cotacoes[Valor],""))</f>
        <v>5.1661999999999999</v>
      </c>
      <c r="K323" s="18">
        <f>IF(Table_Investimentos_Main[[#This Row],[Ticker]]&lt;&gt;"",Table_Investimentos_Main[[#This Row],[Quantidade]]*Table_Investimentos_Main[[#This Row],[Cotação Ativo]],Table_Investimentos_Main[[#This Row],[Quantidade]])</f>
        <v>9869.83</v>
      </c>
    </row>
    <row r="324" spans="2:11" x14ac:dyDescent="0.2">
      <c r="B324" s="67">
        <v>46204</v>
      </c>
      <c r="C324" t="s">
        <v>58</v>
      </c>
      <c r="E324" s="3" t="s">
        <v>27</v>
      </c>
      <c r="F324" s="3" t="s">
        <v>86</v>
      </c>
      <c r="G324" s="10">
        <v>7100</v>
      </c>
      <c r="H324" s="18" t="str" cm="1">
        <f t="array" ref="H324">_xlfn.XLOOKUP(Table_Investimentos_Main[[#This Row],[Data]]&amp;Table_Investimentos_Main[[#This Row],[Ticker]],Table_Cotacoes[Data]&amp;Table_Cotacoes[Ticker],Table_Cotacoes[Valor],"")</f>
        <v/>
      </c>
      <c r="I324" s="5" t="str">
        <f>IF(Table_Investimentos_Main[[#This Row],[Ticker]]&lt;&gt;"",_xlfn.XLOOKUP(Table_Investimentos_Main[[#This Row],[Ticker]],Table_Cotacoes[Ticker],Table_Cotacoes[Moeda Base],""),"BRL")</f>
        <v>BRL</v>
      </c>
      <c r="J324" s="11" cm="1">
        <f t="array" ref="J324">_xlfn.SINGLE(_xlfn.XLOOKUP(Table_Investimentos_Main[[#This Row],[Data]]&amp;"USD",Table_Cotacoes[Data]&amp;Table_Cotacoes[Ticker],Table_Cotacoes[Valor],""))</f>
        <v>5.1661999999999999</v>
      </c>
      <c r="K324" s="18">
        <f>IF(Table_Investimentos_Main[[#This Row],[Ticker]]&lt;&gt;"",Table_Investimentos_Main[[#This Row],[Quantidade]]*Table_Investimentos_Main[[#This Row],[Cotação Ativo]],Table_Investimentos_Main[[#This Row],[Quantidade]])</f>
        <v>7100</v>
      </c>
    </row>
    <row r="325" spans="2:11" x14ac:dyDescent="0.2">
      <c r="B325" s="67">
        <v>46204</v>
      </c>
      <c r="C325" t="s">
        <v>209</v>
      </c>
      <c r="E325" s="3" t="s">
        <v>27</v>
      </c>
      <c r="F325" s="3" t="s">
        <v>86</v>
      </c>
      <c r="G325" s="10">
        <v>23518.7</v>
      </c>
      <c r="H325" s="18" t="str" cm="1">
        <f t="array" ref="H325">_xlfn.XLOOKUP(Table_Investimentos_Main[[#This Row],[Data]]&amp;Table_Investimentos_Main[[#This Row],[Ticker]],Table_Cotacoes[Data]&amp;Table_Cotacoes[Ticker],Table_Cotacoes[Valor],"")</f>
        <v/>
      </c>
      <c r="I325" s="5" t="str">
        <f>IF(Table_Investimentos_Main[[#This Row],[Ticker]]&lt;&gt;"",_xlfn.XLOOKUP(Table_Investimentos_Main[[#This Row],[Ticker]],Table_Cotacoes[Ticker],Table_Cotacoes[Moeda Base],""),"BRL")</f>
        <v>BRL</v>
      </c>
      <c r="J325" s="11" cm="1">
        <f t="array" ref="J325">_xlfn.SINGLE(_xlfn.XLOOKUP(Table_Investimentos_Main[[#This Row],[Data]]&amp;"USD",Table_Cotacoes[Data]&amp;Table_Cotacoes[Ticker],Table_Cotacoes[Valor],""))</f>
        <v>5.1661999999999999</v>
      </c>
      <c r="K325" s="18">
        <f>IF(Table_Investimentos_Main[[#This Row],[Ticker]]&lt;&gt;"",Table_Investimentos_Main[[#This Row],[Quantidade]]*Table_Investimentos_Main[[#This Row],[Cotação Ativo]],Table_Investimentos_Main[[#This Row],[Quantidade]])</f>
        <v>23518.7</v>
      </c>
    </row>
    <row r="326" spans="2:11" x14ac:dyDescent="0.2">
      <c r="B326" s="67">
        <v>46204</v>
      </c>
      <c r="C326" t="s">
        <v>41</v>
      </c>
      <c r="D326" t="s">
        <v>14</v>
      </c>
      <c r="E326" s="3" t="s">
        <v>12</v>
      </c>
      <c r="F326" s="3" t="s">
        <v>87</v>
      </c>
      <c r="G326" s="10">
        <v>0.30045274</v>
      </c>
      <c r="H326" s="18" cm="1">
        <f t="array" ref="H326">_xlfn.XLOOKUP(Table_Investimentos_Main[[#This Row],[Data]]&amp;Table_Investimentos_Main[[#This Row],[Ticker]],Table_Cotacoes[Data]&amp;Table_Cotacoes[Ticker],Table_Cotacoes[Valor],"")</f>
        <v>320586</v>
      </c>
      <c r="I326" s="5" t="str">
        <f>IF(Table_Investimentos_Main[[#This Row],[Ticker]]&lt;&gt;"",_xlfn.XLOOKUP(Table_Investimentos_Main[[#This Row],[Ticker]],Table_Cotacoes[Ticker],Table_Cotacoes[Moeda Base],""),"BRL")</f>
        <v>BTC</v>
      </c>
      <c r="J326" s="11" cm="1">
        <f t="array" ref="J326">_xlfn.SINGLE(_xlfn.XLOOKUP(Table_Investimentos_Main[[#This Row],[Data]]&amp;"USD",Table_Cotacoes[Data]&amp;Table_Cotacoes[Ticker],Table_Cotacoes[Valor],""))</f>
        <v>5.1661999999999999</v>
      </c>
      <c r="K326" s="18">
        <f>IF(Table_Investimentos_Main[[#This Row],[Ticker]]&lt;&gt;"",Table_Investimentos_Main[[#This Row],[Quantidade]]*Table_Investimentos_Main[[#This Row],[Cotação Ativo]],Table_Investimentos_Main[[#This Row],[Quantidade]])</f>
        <v>96320.942105640002</v>
      </c>
    </row>
    <row r="327" spans="2:11" x14ac:dyDescent="0.2">
      <c r="B327" s="67">
        <v>46204</v>
      </c>
      <c r="C327" t="s">
        <v>68</v>
      </c>
      <c r="E327" s="3" t="s">
        <v>27</v>
      </c>
      <c r="F327" s="3" t="s">
        <v>86</v>
      </c>
      <c r="G327" s="10">
        <v>11955.66</v>
      </c>
      <c r="H327" s="18" t="str" cm="1">
        <f t="array" ref="H327">_xlfn.XLOOKUP(Table_Investimentos_Main[[#This Row],[Data]]&amp;Table_Investimentos_Main[[#This Row],[Ticker]],Table_Cotacoes[Data]&amp;Table_Cotacoes[Ticker],Table_Cotacoes[Valor],"")</f>
        <v/>
      </c>
      <c r="I327" s="5" t="str">
        <f>IF(Table_Investimentos_Main[[#This Row],[Ticker]]&lt;&gt;"",_xlfn.XLOOKUP(Table_Investimentos_Main[[#This Row],[Ticker]],Table_Cotacoes[Ticker],Table_Cotacoes[Moeda Base],""),"BRL")</f>
        <v>BRL</v>
      </c>
      <c r="J327" s="11" cm="1">
        <f t="array" ref="J327">_xlfn.SINGLE(_xlfn.XLOOKUP(Table_Investimentos_Main[[#This Row],[Data]]&amp;"USD",Table_Cotacoes[Data]&amp;Table_Cotacoes[Ticker],Table_Cotacoes[Valor],""))</f>
        <v>5.1661999999999999</v>
      </c>
      <c r="K327" s="18">
        <f>IF(Table_Investimentos_Main[[#This Row],[Ticker]]&lt;&gt;"",Table_Investimentos_Main[[#This Row],[Quantidade]]*Table_Investimentos_Main[[#This Row],[Cotação Ativo]],Table_Investimentos_Main[[#This Row],[Quantidade]])</f>
        <v>11955.66</v>
      </c>
    </row>
    <row r="328" spans="2:11" x14ac:dyDescent="0.2">
      <c r="B328" s="67">
        <v>46235</v>
      </c>
      <c r="C328" t="s">
        <v>44</v>
      </c>
      <c r="D328" t="s">
        <v>24</v>
      </c>
      <c r="E328" s="3" t="s">
        <v>66</v>
      </c>
      <c r="F328" s="3" t="s">
        <v>86</v>
      </c>
      <c r="G328" s="10">
        <v>1704.76</v>
      </c>
      <c r="H328" s="18">
        <v>5.1661999999999999</v>
      </c>
      <c r="I328" s="5" t="s">
        <v>24</v>
      </c>
      <c r="J328" s="11">
        <v>5.1661999999999999</v>
      </c>
      <c r="K328" s="18">
        <v>8807.1311000000005</v>
      </c>
    </row>
    <row r="329" spans="2:11" x14ac:dyDescent="0.2">
      <c r="B329" s="67">
        <v>46235</v>
      </c>
      <c r="C329" t="s">
        <v>42</v>
      </c>
      <c r="D329" t="s">
        <v>14</v>
      </c>
      <c r="E329" s="3" t="s">
        <v>22</v>
      </c>
      <c r="F329" s="3" t="s">
        <v>87</v>
      </c>
      <c r="G329" s="10">
        <v>6.1070400000000002E-3</v>
      </c>
      <c r="H329" s="18">
        <v>320586</v>
      </c>
      <c r="I329" s="5" t="s">
        <v>14</v>
      </c>
      <c r="J329" s="11">
        <v>5.1661999999999999</v>
      </c>
      <c r="K329" s="18">
        <v>1957.8315</v>
      </c>
    </row>
    <row r="330" spans="2:11" x14ac:dyDescent="0.2">
      <c r="B330" s="67">
        <v>46235</v>
      </c>
      <c r="C330" t="s">
        <v>49</v>
      </c>
      <c r="D330" t="s">
        <v>57</v>
      </c>
      <c r="E330" s="3" t="s">
        <v>22</v>
      </c>
      <c r="F330" s="3" t="s">
        <v>88</v>
      </c>
      <c r="G330" s="10">
        <v>6.1093000000000002</v>
      </c>
      <c r="H330" s="18">
        <v>398.6</v>
      </c>
      <c r="I330" s="5" t="s">
        <v>24</v>
      </c>
      <c r="J330" s="11">
        <v>5.1661999999999999</v>
      </c>
      <c r="K330" s="18">
        <v>2435.1669999999999</v>
      </c>
    </row>
    <row r="331" spans="2:11" x14ac:dyDescent="0.2">
      <c r="B331" s="67">
        <v>46235</v>
      </c>
      <c r="C331" t="s">
        <v>64</v>
      </c>
      <c r="D331" t="s">
        <v>24</v>
      </c>
      <c r="E331" s="3" t="s">
        <v>27</v>
      </c>
      <c r="F331" s="3" t="s">
        <v>86</v>
      </c>
      <c r="G331" s="10">
        <v>257.67</v>
      </c>
      <c r="H331" s="18">
        <v>5.1661999999999999</v>
      </c>
      <c r="I331" s="5" t="s">
        <v>24</v>
      </c>
      <c r="J331" s="11">
        <v>5.1661999999999999</v>
      </c>
      <c r="K331" s="18">
        <v>1331.1748</v>
      </c>
    </row>
    <row r="332" spans="2:11" x14ac:dyDescent="0.2">
      <c r="B332" s="67">
        <v>46235</v>
      </c>
      <c r="C332" t="s">
        <v>100</v>
      </c>
      <c r="D332" t="s">
        <v>24</v>
      </c>
      <c r="E332" s="3" t="s">
        <v>101</v>
      </c>
      <c r="F332" s="3" t="s">
        <v>86</v>
      </c>
      <c r="G332" s="10">
        <v>579.01</v>
      </c>
      <c r="H332" s="18">
        <v>5.1661999999999999</v>
      </c>
      <c r="I332" s="5" t="s">
        <v>24</v>
      </c>
      <c r="J332" s="11">
        <v>5.1661999999999999</v>
      </c>
      <c r="K332" s="18">
        <v>2991.2815000000001</v>
      </c>
    </row>
    <row r="333" spans="2:11" x14ac:dyDescent="0.2">
      <c r="B333" s="67">
        <v>46235</v>
      </c>
      <c r="C333" t="s">
        <v>70</v>
      </c>
      <c r="D333" t="s">
        <v>72</v>
      </c>
      <c r="E333" s="3" t="s">
        <v>27</v>
      </c>
      <c r="F333" s="3" t="s">
        <v>90</v>
      </c>
      <c r="G333" s="10">
        <v>13.87541817</v>
      </c>
      <c r="H333" s="18">
        <v>415.4658</v>
      </c>
      <c r="I333" s="5" t="s">
        <v>24</v>
      </c>
      <c r="J333" s="11">
        <v>5.1661999999999999</v>
      </c>
      <c r="K333" s="18">
        <v>5764.7618000000002</v>
      </c>
    </row>
    <row r="334" spans="2:11" x14ac:dyDescent="0.2">
      <c r="B334" s="67">
        <v>46235</v>
      </c>
      <c r="C334" t="s">
        <v>208</v>
      </c>
      <c r="D334" t="s">
        <v>213</v>
      </c>
      <c r="E334" s="3" t="s">
        <v>27</v>
      </c>
      <c r="F334" s="3" t="s">
        <v>86</v>
      </c>
      <c r="G334" s="10">
        <v>198</v>
      </c>
      <c r="H334" s="18">
        <v>25.27</v>
      </c>
      <c r="I334" s="5" t="s">
        <v>124</v>
      </c>
      <c r="J334" s="11">
        <v>5.1661999999999999</v>
      </c>
      <c r="K334" s="18">
        <v>5003.46</v>
      </c>
    </row>
    <row r="335" spans="2:11" x14ac:dyDescent="0.2">
      <c r="B335" s="67">
        <v>46235</v>
      </c>
      <c r="C335" t="s">
        <v>104</v>
      </c>
      <c r="E335" s="3" t="s">
        <v>27</v>
      </c>
      <c r="F335" s="3" t="s">
        <v>86</v>
      </c>
      <c r="G335" s="10">
        <v>2986.86</v>
      </c>
      <c r="H335" s="18"/>
      <c r="I335" s="5" t="s">
        <v>124</v>
      </c>
      <c r="J335" s="11">
        <v>5.1661999999999999</v>
      </c>
      <c r="K335" s="18">
        <v>2986.86</v>
      </c>
    </row>
    <row r="336" spans="2:11" x14ac:dyDescent="0.2">
      <c r="B336" s="67">
        <v>46235</v>
      </c>
      <c r="C336" t="s">
        <v>79</v>
      </c>
      <c r="D336" t="s">
        <v>80</v>
      </c>
      <c r="E336" s="3" t="s">
        <v>27</v>
      </c>
      <c r="F336" s="3" t="s">
        <v>90</v>
      </c>
      <c r="G336" s="10">
        <v>22.437000000000001</v>
      </c>
      <c r="H336" s="18">
        <v>209.28280000000001</v>
      </c>
      <c r="I336" s="5" t="s">
        <v>24</v>
      </c>
      <c r="J336" s="11">
        <v>5.1661999999999999</v>
      </c>
      <c r="K336" s="18">
        <v>4695.6773000000003</v>
      </c>
    </row>
    <row r="337" spans="2:11" x14ac:dyDescent="0.2">
      <c r="B337" s="67">
        <v>46235</v>
      </c>
      <c r="C337" t="s">
        <v>77</v>
      </c>
      <c r="D337" t="s">
        <v>78</v>
      </c>
      <c r="E337" s="3" t="s">
        <v>27</v>
      </c>
      <c r="F337" s="3" t="s">
        <v>88</v>
      </c>
      <c r="G337" s="10">
        <v>3.1924899999999998</v>
      </c>
      <c r="H337" s="18">
        <v>284.45100000000002</v>
      </c>
      <c r="I337" s="5" t="s">
        <v>24</v>
      </c>
      <c r="J337" s="11">
        <v>5.1661999999999999</v>
      </c>
      <c r="K337" s="18">
        <v>908.1069</v>
      </c>
    </row>
    <row r="338" spans="2:11" x14ac:dyDescent="0.2">
      <c r="B338" s="67">
        <v>46235</v>
      </c>
      <c r="C338" t="s">
        <v>51</v>
      </c>
      <c r="D338" t="s">
        <v>73</v>
      </c>
      <c r="E338" s="3" t="s">
        <v>27</v>
      </c>
      <c r="F338" s="3" t="s">
        <v>86</v>
      </c>
      <c r="G338" s="10">
        <v>2.806</v>
      </c>
      <c r="H338" s="18">
        <v>3534.6624000000002</v>
      </c>
      <c r="I338" s="5" t="s">
        <v>24</v>
      </c>
      <c r="J338" s="11">
        <v>5.1661999999999999</v>
      </c>
      <c r="K338" s="18">
        <v>9918.2626</v>
      </c>
    </row>
    <row r="339" spans="2:11" x14ac:dyDescent="0.2">
      <c r="B339" s="67">
        <v>46235</v>
      </c>
      <c r="C339" t="s">
        <v>91</v>
      </c>
      <c r="D339" t="s">
        <v>92</v>
      </c>
      <c r="E339" s="3" t="s">
        <v>27</v>
      </c>
      <c r="F339" s="3" t="s">
        <v>86</v>
      </c>
      <c r="G339" s="10">
        <v>4.609</v>
      </c>
      <c r="H339" s="18">
        <v>435.20069999999998</v>
      </c>
      <c r="I339" s="5" t="s">
        <v>24</v>
      </c>
      <c r="J339" s="11">
        <v>5.1661999999999999</v>
      </c>
      <c r="K339" s="18">
        <v>2005.84</v>
      </c>
    </row>
    <row r="340" spans="2:11" x14ac:dyDescent="0.2">
      <c r="B340" s="67">
        <v>46235</v>
      </c>
      <c r="C340" t="s">
        <v>83</v>
      </c>
      <c r="D340" t="s">
        <v>84</v>
      </c>
      <c r="E340" s="3" t="s">
        <v>27</v>
      </c>
      <c r="F340" s="3" t="s">
        <v>88</v>
      </c>
      <c r="G340" s="10">
        <v>4.4690819900000003</v>
      </c>
      <c r="H340" s="18">
        <v>285.01929999999999</v>
      </c>
      <c r="I340" s="5" t="s">
        <v>24</v>
      </c>
      <c r="J340" s="11">
        <v>5.1661999999999999</v>
      </c>
      <c r="K340" s="18">
        <v>1273.7744</v>
      </c>
    </row>
    <row r="341" spans="2:11" x14ac:dyDescent="0.2">
      <c r="B341" s="67">
        <v>46235</v>
      </c>
      <c r="C341" t="s">
        <v>74</v>
      </c>
      <c r="E341" s="3" t="s">
        <v>27</v>
      </c>
      <c r="F341" s="3" t="s">
        <v>86</v>
      </c>
      <c r="G341" s="10">
        <v>12174.15</v>
      </c>
      <c r="H341" s="18"/>
      <c r="I341" s="5" t="s">
        <v>124</v>
      </c>
      <c r="J341" s="11">
        <v>5.1661999999999999</v>
      </c>
      <c r="K341" s="18">
        <v>12174.15</v>
      </c>
    </row>
    <row r="342" spans="2:11" x14ac:dyDescent="0.2">
      <c r="B342" s="67">
        <v>46235</v>
      </c>
      <c r="C342" t="s">
        <v>93</v>
      </c>
      <c r="E342" s="3" t="s">
        <v>27</v>
      </c>
      <c r="F342" s="3" t="s">
        <v>86</v>
      </c>
      <c r="G342" s="10">
        <v>6054.12</v>
      </c>
      <c r="H342" s="18"/>
      <c r="I342" s="5" t="s">
        <v>124</v>
      </c>
      <c r="J342" s="11">
        <v>5.1661999999999999</v>
      </c>
      <c r="K342" s="18">
        <v>6054.12</v>
      </c>
    </row>
    <row r="343" spans="2:11" x14ac:dyDescent="0.2">
      <c r="B343" s="67">
        <v>46235</v>
      </c>
      <c r="C343" t="s">
        <v>89</v>
      </c>
      <c r="E343" s="3" t="s">
        <v>27</v>
      </c>
      <c r="F343" s="3" t="s">
        <v>86</v>
      </c>
      <c r="G343" s="10">
        <v>9869.83</v>
      </c>
      <c r="H343" s="18"/>
      <c r="I343" s="5" t="s">
        <v>124</v>
      </c>
      <c r="J343" s="11">
        <v>5.1661999999999999</v>
      </c>
      <c r="K343" s="18">
        <v>9869.83</v>
      </c>
    </row>
    <row r="344" spans="2:11" x14ac:dyDescent="0.2">
      <c r="B344" s="67">
        <v>46235</v>
      </c>
      <c r="C344" t="s">
        <v>58</v>
      </c>
      <c r="E344" s="3" t="s">
        <v>27</v>
      </c>
      <c r="F344" s="3" t="s">
        <v>86</v>
      </c>
      <c r="G344" s="10">
        <v>7100</v>
      </c>
      <c r="H344" s="18"/>
      <c r="I344" s="5" t="s">
        <v>124</v>
      </c>
      <c r="J344" s="11">
        <v>5.1661999999999999</v>
      </c>
      <c r="K344" s="18">
        <v>7100</v>
      </c>
    </row>
    <row r="345" spans="2:11" x14ac:dyDescent="0.2">
      <c r="B345" s="67">
        <v>46235</v>
      </c>
      <c r="C345" t="s">
        <v>209</v>
      </c>
      <c r="E345" s="3" t="s">
        <v>27</v>
      </c>
      <c r="F345" s="3" t="s">
        <v>86</v>
      </c>
      <c r="G345" s="10">
        <v>23518.7</v>
      </c>
      <c r="H345" s="18"/>
      <c r="I345" s="5" t="s">
        <v>124</v>
      </c>
      <c r="J345" s="11">
        <v>5.1661999999999999</v>
      </c>
      <c r="K345" s="18">
        <v>23518.7</v>
      </c>
    </row>
    <row r="346" spans="2:11" x14ac:dyDescent="0.2">
      <c r="B346" s="67">
        <v>46235</v>
      </c>
      <c r="C346" t="s">
        <v>41</v>
      </c>
      <c r="D346" t="s">
        <v>14</v>
      </c>
      <c r="E346" s="3" t="s">
        <v>12</v>
      </c>
      <c r="F346" s="3" t="s">
        <v>87</v>
      </c>
      <c r="G346" s="10">
        <v>0.30045274</v>
      </c>
      <c r="H346" s="18">
        <v>320586</v>
      </c>
      <c r="I346" s="5" t="s">
        <v>14</v>
      </c>
      <c r="J346" s="11">
        <v>5.1661999999999999</v>
      </c>
      <c r="K346" s="18">
        <v>96320.9421</v>
      </c>
    </row>
    <row r="347" spans="2:11" x14ac:dyDescent="0.2">
      <c r="B347" s="67">
        <v>46235</v>
      </c>
      <c r="C347" t="s">
        <v>68</v>
      </c>
      <c r="E347" s="3" t="s">
        <v>27</v>
      </c>
      <c r="F347" s="3" t="s">
        <v>86</v>
      </c>
      <c r="G347" s="10">
        <v>11955.66</v>
      </c>
      <c r="H347" s="18"/>
      <c r="I347" s="5" t="s">
        <v>124</v>
      </c>
      <c r="J347" s="11">
        <v>5.1661999999999999</v>
      </c>
      <c r="K347" s="18">
        <v>11955.66</v>
      </c>
    </row>
  </sheetData>
  <mergeCells count="1">
    <mergeCell ref="B3:K3"/>
  </mergeCells>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B2:W359"/>
  <sheetViews>
    <sheetView topLeftCell="A323" zoomScale="75" zoomScaleNormal="90" workbookViewId="0">
      <selection activeCell="E334" sqref="E334"/>
    </sheetView>
  </sheetViews>
  <sheetFormatPr baseColWidth="10" defaultColWidth="10.83203125" defaultRowHeight="16" x14ac:dyDescent="0.2"/>
  <cols>
    <col min="1" max="1" width="14.83203125" style="3" customWidth="1"/>
    <col min="2" max="2" width="12" style="3" bestFit="1" customWidth="1"/>
    <col min="3" max="3" width="26.33203125" style="3" bestFit="1" customWidth="1"/>
    <col min="4" max="4" width="13.6640625" style="3" bestFit="1" customWidth="1"/>
    <col min="5" max="5" width="16.33203125" style="3" bestFit="1" customWidth="1"/>
    <col min="6" max="6" width="15" style="3" bestFit="1" customWidth="1"/>
    <col min="7" max="7" width="16.33203125" style="3" bestFit="1" customWidth="1"/>
    <col min="8" max="8" width="19.33203125" style="3" bestFit="1" customWidth="1"/>
    <col min="9" max="9" width="16.1640625" style="3" bestFit="1" customWidth="1"/>
    <col min="10" max="10" width="15" style="3" bestFit="1" customWidth="1"/>
    <col min="11" max="11" width="14.83203125" style="3" bestFit="1" customWidth="1"/>
    <col min="12" max="12" width="13" style="3" bestFit="1" customWidth="1"/>
    <col min="13" max="13" width="20.83203125" style="3" bestFit="1" customWidth="1"/>
    <col min="14" max="14" width="16.83203125" style="3" bestFit="1" customWidth="1"/>
    <col min="15" max="15" width="11.6640625" style="5" bestFit="1" customWidth="1"/>
    <col min="16" max="16" width="18.5" style="5" bestFit="1" customWidth="1"/>
    <col min="17" max="17" width="14.6640625" style="5" bestFit="1" customWidth="1"/>
    <col min="18" max="18" width="18.5" style="5" bestFit="1" customWidth="1"/>
    <col min="19" max="19" width="12.6640625" style="5" bestFit="1" customWidth="1"/>
    <col min="20" max="20" width="15.1640625" style="5" bestFit="1" customWidth="1"/>
    <col min="21" max="21" width="15.5" style="5" bestFit="1" customWidth="1"/>
    <col min="22" max="23" width="14.6640625" style="3" bestFit="1" customWidth="1"/>
    <col min="24" max="24" width="14.1640625" style="3" bestFit="1" customWidth="1"/>
    <col min="25" max="25" width="13" style="3" bestFit="1" customWidth="1"/>
    <col min="26" max="27" width="12.1640625" style="3" bestFit="1" customWidth="1"/>
    <col min="28" max="28" width="15.5" style="3" bestFit="1" customWidth="1"/>
    <col min="29" max="30" width="12.1640625" style="3" bestFit="1" customWidth="1"/>
    <col min="31" max="31" width="15.5" style="3" bestFit="1" customWidth="1"/>
    <col min="32" max="32" width="18.1640625" style="3" bestFit="1" customWidth="1"/>
    <col min="33" max="33" width="14.1640625" style="3" bestFit="1" customWidth="1"/>
    <col min="34" max="58" width="10.83203125" style="3" customWidth="1"/>
    <col min="59" max="16384" width="10.83203125" style="3"/>
  </cols>
  <sheetData>
    <row r="2" spans="2:22" x14ac:dyDescent="0.2">
      <c r="J2" s="5"/>
    </row>
    <row r="3" spans="2:22" ht="16.5" customHeight="1" x14ac:dyDescent="0.2">
      <c r="J3" s="2"/>
    </row>
    <row r="4" spans="2:22" ht="16.5" customHeight="1" x14ac:dyDescent="0.2">
      <c r="B4" s="5" t="s">
        <v>0</v>
      </c>
      <c r="C4" s="5" t="s">
        <v>210</v>
      </c>
      <c r="D4" s="5" t="s">
        <v>2</v>
      </c>
      <c r="E4" s="5" t="s">
        <v>3</v>
      </c>
      <c r="F4" s="3" t="s">
        <v>4</v>
      </c>
      <c r="G4" s="5" t="s">
        <v>5</v>
      </c>
      <c r="H4" s="5" t="s">
        <v>7</v>
      </c>
      <c r="I4" s="5" t="s">
        <v>120</v>
      </c>
      <c r="J4" s="5" t="s">
        <v>9</v>
      </c>
      <c r="K4" s="3" t="s">
        <v>10</v>
      </c>
      <c r="O4" s="3"/>
      <c r="V4" s="5"/>
    </row>
    <row r="5" spans="2:22" x14ac:dyDescent="0.2">
      <c r="B5" s="8">
        <v>46204</v>
      </c>
      <c r="C5" s="34" t="s">
        <v>44</v>
      </c>
      <c r="D5" s="5" t="s">
        <v>17</v>
      </c>
      <c r="E5" s="5" t="s">
        <v>94</v>
      </c>
      <c r="F5" s="5" t="s">
        <v>95</v>
      </c>
      <c r="G5" s="5" t="str" cm="1">
        <f t="array" ref="G5">_xlfn.XLOOKUP(Table_Investimentos_Porcent[[#This Row],[Data]]&amp;Table_Investimentos_Porcent[[#This Row],[Nome]],Table_Investimentos_Main[Data]&amp;Table_Investimentos_Main[Nome],Table_Investimentos_Main[Estratégia],"NOT FOUND")</f>
        <v>Core</v>
      </c>
      <c r="H5" s="5" t="str" cm="1">
        <f t="array" ref="H5">_xlfn.XLOOKUP(Table_Investimentos_Porcent[[#This Row],[Data]]&amp;Table_Investimentos_Porcent[[#This Row],[Nome]],Table_Investimentos_Main[Data]&amp;Table_Investimentos_Main[Nome],Table_Investimentos_Main[Moeda Base],"NOT FOUND")</f>
        <v>USD</v>
      </c>
      <c r="I5" s="69">
        <v>1</v>
      </c>
      <c r="J5" s="18" cm="1">
        <f t="array" ref="J5">Table_Investimentos_Porcent[[#This Row],[Porcentagem]]*_xlfn.XLOOKUP(Table_Investimentos_Porcent[[#This Row],[Data]]&amp;Table_Investimentos_Porcent[[#This Row],[Nome]],Table_Investimentos_Main[Data]&amp;Table_Investimentos_Main[Nome],Table_Investimentos_Main[Total (R$)],"NOT FOUND")</f>
        <v>8807.1311119999991</v>
      </c>
      <c r="K5" s="80" cm="1">
        <f t="array" ref="K5">Table_Investimentos_Porcent[[#This Row],[Total (R$)]]/_xlfn.XLOOKUP(Table_Investimentos_Porcent[[#This Row],[Data]]&amp;Table_Investimentos_Porcent[[#This Row],[Nome]],Table_Investimentos_Main[Data]&amp;Table_Investimentos_Main[Nome],Table_Investimentos_Main[Cotação Dolar],"NOT FOUND")</f>
        <v>1704.7599999999998</v>
      </c>
      <c r="O5" s="3"/>
      <c r="V5" s="5"/>
    </row>
    <row r="6" spans="2:22" x14ac:dyDescent="0.2">
      <c r="B6" s="8">
        <v>46204</v>
      </c>
      <c r="C6" s="34" t="s">
        <v>42</v>
      </c>
      <c r="D6" s="5" t="s">
        <v>13</v>
      </c>
      <c r="E6" s="5" t="s">
        <v>14</v>
      </c>
      <c r="F6" s="5" t="s">
        <v>96</v>
      </c>
      <c r="G6" s="5" t="str" cm="1">
        <f t="array" ref="G6">_xlfn.XLOOKUP(Table_Investimentos_Porcent[[#This Row],[Data]]&amp;Table_Investimentos_Porcent[[#This Row],[Nome]],Table_Investimentos_Main[Data]&amp;Table_Investimentos_Main[Nome],Table_Investimentos_Main[Estratégia],"NOT FOUND")</f>
        <v>Core-Satellite</v>
      </c>
      <c r="H6" s="5" t="str" cm="1">
        <f t="array" ref="H6">_xlfn.XLOOKUP(Table_Investimentos_Porcent[[#This Row],[Data]]&amp;Table_Investimentos_Porcent[[#This Row],[Nome]],Table_Investimentos_Main[Data]&amp;Table_Investimentos_Main[Nome],Table_Investimentos_Main[Moeda Base],"NOT FOUND")</f>
        <v>BTC</v>
      </c>
      <c r="I6" s="69">
        <v>1</v>
      </c>
      <c r="J6" s="18" cm="1">
        <f t="array" ref="J6">Table_Investimentos_Porcent[[#This Row],[Porcentagem]]*_xlfn.XLOOKUP(Table_Investimentos_Porcent[[#This Row],[Data]]&amp;Table_Investimentos_Porcent[[#This Row],[Nome]],Table_Investimentos_Main[Data]&amp;Table_Investimentos_Main[Nome],Table_Investimentos_Main[Total (R$)],"NOT FOUND")</f>
        <v>1957.8315254400002</v>
      </c>
      <c r="K6" s="80" cm="1">
        <f t="array" ref="K6">Table_Investimentos_Porcent[[#This Row],[Total (R$)]]/_xlfn.XLOOKUP(Table_Investimentos_Porcent[[#This Row],[Data]]&amp;Table_Investimentos_Porcent[[#This Row],[Nome]],Table_Investimentos_Main[Data]&amp;Table_Investimentos_Main[Nome],Table_Investimentos_Main[Cotação Dolar],"NOT FOUND")</f>
        <v>378.96936344702107</v>
      </c>
      <c r="O6" s="3"/>
      <c r="V6" s="5"/>
    </row>
    <row r="7" spans="2:22" x14ac:dyDescent="0.2">
      <c r="B7" s="8">
        <v>46204</v>
      </c>
      <c r="C7" s="34" t="s">
        <v>49</v>
      </c>
      <c r="D7" s="5" t="s">
        <v>13</v>
      </c>
      <c r="E7" s="5" t="s">
        <v>97</v>
      </c>
      <c r="F7" s="5" t="s">
        <v>96</v>
      </c>
      <c r="G7" s="5" t="str" cm="1">
        <f t="array" ref="G7">_xlfn.XLOOKUP(Table_Investimentos_Porcent[[#This Row],[Data]]&amp;Table_Investimentos_Porcent[[#This Row],[Nome]],Table_Investimentos_Main[Data]&amp;Table_Investimentos_Main[Nome],Table_Investimentos_Main[Estratégia],"NOT FOUND")</f>
        <v>Satellite</v>
      </c>
      <c r="H7" s="5" t="str" cm="1">
        <f t="array" ref="H7">_xlfn.XLOOKUP(Table_Investimentos_Porcent[[#This Row],[Data]]&amp;Table_Investimentos_Porcent[[#This Row],[Nome]],Table_Investimentos_Main[Data]&amp;Table_Investimentos_Main[Nome],Table_Investimentos_Main[Moeda Base],"NOT FOUND")</f>
        <v>USD</v>
      </c>
      <c r="I7" s="69">
        <v>1</v>
      </c>
      <c r="J7" s="18" cm="1">
        <f t="array" ref="J7">Table_Investimentos_Porcent[[#This Row],[Porcentagem]]*_xlfn.XLOOKUP(Table_Investimentos_Porcent[[#This Row],[Data]]&amp;Table_Investimentos_Porcent[[#This Row],[Nome]],Table_Investimentos_Main[Data]&amp;Table_Investimentos_Main[Nome],Table_Investimentos_Main[Total (R$)],"NOT FOUND")</f>
        <v>2435.1669800000004</v>
      </c>
      <c r="K7" s="80" cm="1">
        <f t="array" ref="K7">Table_Investimentos_Porcent[[#This Row],[Total (R$)]]/_xlfn.XLOOKUP(Table_Investimentos_Porcent[[#This Row],[Data]]&amp;Table_Investimentos_Porcent[[#This Row],[Nome]],Table_Investimentos_Main[Data]&amp;Table_Investimentos_Main[Nome],Table_Investimentos_Main[Cotação Dolar],"NOT FOUND")</f>
        <v>471.36521621307742</v>
      </c>
      <c r="O7" s="3"/>
      <c r="V7" s="5"/>
    </row>
    <row r="8" spans="2:22" x14ac:dyDescent="0.2">
      <c r="B8" s="8">
        <v>46204</v>
      </c>
      <c r="C8" s="34" t="s">
        <v>64</v>
      </c>
      <c r="D8" s="5" t="s">
        <v>17</v>
      </c>
      <c r="E8" s="5" t="s">
        <v>98</v>
      </c>
      <c r="F8" s="5" t="s">
        <v>99</v>
      </c>
      <c r="G8" s="5" t="str" cm="1">
        <f t="array" ref="G8">_xlfn.XLOOKUP(Table_Investimentos_Porcent[[#This Row],[Data]]&amp;Table_Investimentos_Porcent[[#This Row],[Nome]],Table_Investimentos_Main[Data]&amp;Table_Investimentos_Main[Nome],Table_Investimentos_Main[Estratégia],"NOT FOUND")</f>
        <v>Core</v>
      </c>
      <c r="H8" s="5" t="str" cm="1">
        <f t="array" ref="H8">_xlfn.XLOOKUP(Table_Investimentos_Porcent[[#This Row],[Data]]&amp;Table_Investimentos_Porcent[[#This Row],[Nome]],Table_Investimentos_Main[Data]&amp;Table_Investimentos_Main[Nome],Table_Investimentos_Main[Moeda Base],"NOT FOUND")</f>
        <v>USD</v>
      </c>
      <c r="I8" s="69">
        <v>1</v>
      </c>
      <c r="J8" s="18" cm="1">
        <f t="array" ref="J8">Table_Investimentos_Porcent[[#This Row],[Porcentagem]]*_xlfn.XLOOKUP(Table_Investimentos_Porcent[[#This Row],[Data]]&amp;Table_Investimentos_Porcent[[#This Row],[Nome]],Table_Investimentos_Main[Data]&amp;Table_Investimentos_Main[Nome],Table_Investimentos_Main[Total (R$)],"NOT FOUND")</f>
        <v>1331.1747540000001</v>
      </c>
      <c r="K8" s="80" cm="1">
        <f t="array" ref="K8">Table_Investimentos_Porcent[[#This Row],[Total (R$)]]/_xlfn.XLOOKUP(Table_Investimentos_Porcent[[#This Row],[Data]]&amp;Table_Investimentos_Porcent[[#This Row],[Nome]],Table_Investimentos_Main[Data]&amp;Table_Investimentos_Main[Nome],Table_Investimentos_Main[Cotação Dolar],"NOT FOUND")</f>
        <v>257.67</v>
      </c>
      <c r="O8" s="3"/>
      <c r="V8" s="5"/>
    </row>
    <row r="9" spans="2:22" x14ac:dyDescent="0.2">
      <c r="B9" s="8">
        <v>46204</v>
      </c>
      <c r="C9" s="34" t="s">
        <v>100</v>
      </c>
      <c r="D9" s="5" t="s">
        <v>17</v>
      </c>
      <c r="E9" s="5" t="s">
        <v>99</v>
      </c>
      <c r="F9" s="5" t="s">
        <v>95</v>
      </c>
      <c r="G9" s="5" t="str" cm="1">
        <f t="array" ref="G9">_xlfn.XLOOKUP(Table_Investimentos_Porcent[[#This Row],[Data]]&amp;Table_Investimentos_Porcent[[#This Row],[Nome]],Table_Investimentos_Main[Data]&amp;Table_Investimentos_Main[Nome],Table_Investimentos_Main[Estratégia],"NOT FOUND")</f>
        <v>Core</v>
      </c>
      <c r="H9" s="5" t="str" cm="1">
        <f t="array" ref="H9">_xlfn.XLOOKUP(Table_Investimentos_Porcent[[#This Row],[Data]]&amp;Table_Investimentos_Porcent[[#This Row],[Nome]],Table_Investimentos_Main[Data]&amp;Table_Investimentos_Main[Nome],Table_Investimentos_Main[Moeda Base],"NOT FOUND")</f>
        <v>USD</v>
      </c>
      <c r="I9" s="69">
        <v>1</v>
      </c>
      <c r="J9" s="18" cm="1">
        <f t="array" ref="J9">Table_Investimentos_Porcent[[#This Row],[Porcentagem]]*_xlfn.XLOOKUP(Table_Investimentos_Porcent[[#This Row],[Data]]&amp;Table_Investimentos_Porcent[[#This Row],[Nome]],Table_Investimentos_Main[Data]&amp;Table_Investimentos_Main[Nome],Table_Investimentos_Main[Total (R$)],"NOT FOUND")</f>
        <v>2991.2814619999999</v>
      </c>
      <c r="K9" s="80" cm="1">
        <f t="array" ref="K9">Table_Investimentos_Porcent[[#This Row],[Total (R$)]]/_xlfn.XLOOKUP(Table_Investimentos_Porcent[[#This Row],[Data]]&amp;Table_Investimentos_Porcent[[#This Row],[Nome]],Table_Investimentos_Main[Data]&amp;Table_Investimentos_Main[Nome],Table_Investimentos_Main[Cotação Dolar],"NOT FOUND")</f>
        <v>579.01</v>
      </c>
      <c r="O9" s="3"/>
      <c r="V9" s="5"/>
    </row>
    <row r="10" spans="2:22" x14ac:dyDescent="0.2">
      <c r="B10" s="8">
        <v>46204</v>
      </c>
      <c r="C10" s="34" t="s">
        <v>70</v>
      </c>
      <c r="D10" s="5" t="s">
        <v>23</v>
      </c>
      <c r="E10" s="5" t="s">
        <v>102</v>
      </c>
      <c r="F10" s="5" t="s">
        <v>96</v>
      </c>
      <c r="G10" s="5" t="str" cm="1">
        <f t="array" ref="G10">_xlfn.XLOOKUP(Table_Investimentos_Porcent[[#This Row],[Data]]&amp;Table_Investimentos_Porcent[[#This Row],[Nome]],Table_Investimentos_Main[Data]&amp;Table_Investimentos_Main[Nome],Table_Investimentos_Main[Estratégia],"NOT FOUND")</f>
        <v>Hedge</v>
      </c>
      <c r="H10" s="5" t="str" cm="1">
        <f t="array" ref="H10">_xlfn.XLOOKUP(Table_Investimentos_Porcent[[#This Row],[Data]]&amp;Table_Investimentos_Porcent[[#This Row],[Nome]],Table_Investimentos_Main[Data]&amp;Table_Investimentos_Main[Nome],Table_Investimentos_Main[Moeda Base],"NOT FOUND")</f>
        <v>USD</v>
      </c>
      <c r="I10" s="69">
        <v>1</v>
      </c>
      <c r="J10" s="18" cm="1">
        <f t="array" ref="J10">Table_Investimentos_Porcent[[#This Row],[Porcentagem]]*_xlfn.XLOOKUP(Table_Investimentos_Porcent[[#This Row],[Data]]&amp;Table_Investimentos_Porcent[[#This Row],[Nome]],Table_Investimentos_Main[Data]&amp;Table_Investimentos_Main[Nome],Table_Investimentos_Main[Total (R$)],"NOT FOUND")</f>
        <v>5764.7617658352583</v>
      </c>
      <c r="K10" s="80" cm="1">
        <f t="array" ref="K10">Table_Investimentos_Porcent[[#This Row],[Total (R$)]]/_xlfn.XLOOKUP(Table_Investimentos_Porcent[[#This Row],[Data]]&amp;Table_Investimentos_Porcent[[#This Row],[Nome]],Table_Investimentos_Main[Data]&amp;Table_Investimentos_Main[Nome],Table_Investimentos_Main[Cotação Dolar],"NOT FOUND")</f>
        <v>1115.8611292313999</v>
      </c>
      <c r="O10" s="3"/>
      <c r="V10" s="5"/>
    </row>
    <row r="11" spans="2:22" x14ac:dyDescent="0.2">
      <c r="B11" s="8">
        <v>46204</v>
      </c>
      <c r="C11" s="34" t="s">
        <v>208</v>
      </c>
      <c r="D11" s="5" t="s">
        <v>20</v>
      </c>
      <c r="E11" s="5" t="s">
        <v>103</v>
      </c>
      <c r="F11" s="5" t="s">
        <v>99</v>
      </c>
      <c r="G11" s="5" t="str" cm="1">
        <f t="array" ref="G11">_xlfn.XLOOKUP(Table_Investimentos_Porcent[[#This Row],[Data]]&amp;Table_Investimentos_Porcent[[#This Row],[Nome]],Table_Investimentos_Main[Data]&amp;Table_Investimentos_Main[Nome],Table_Investimentos_Main[Estratégia],"NOT FOUND")</f>
        <v>Core</v>
      </c>
      <c r="H11" s="5" t="str" cm="1">
        <f t="array" ref="H11">_xlfn.XLOOKUP(Table_Investimentos_Porcent[[#This Row],[Data]]&amp;Table_Investimentos_Porcent[[#This Row],[Nome]],Table_Investimentos_Main[Data]&amp;Table_Investimentos_Main[Nome],Table_Investimentos_Main[Moeda Base],"NOT FOUND")</f>
        <v>BRL</v>
      </c>
      <c r="I11" s="69">
        <v>0.6</v>
      </c>
      <c r="J11" s="18" cm="1">
        <f t="array" ref="J11">Table_Investimentos_Porcent[[#This Row],[Porcentagem]]*_xlfn.XLOOKUP(Table_Investimentos_Porcent[[#This Row],[Data]]&amp;Table_Investimentos_Porcent[[#This Row],[Nome]],Table_Investimentos_Main[Data]&amp;Table_Investimentos_Main[Nome],Table_Investimentos_Main[Total (R$)],"NOT FOUND")</f>
        <v>3002.076</v>
      </c>
      <c r="K11" s="80" cm="1">
        <f t="array" ref="K11">Table_Investimentos_Porcent[[#This Row],[Total (R$)]]/_xlfn.XLOOKUP(Table_Investimentos_Porcent[[#This Row],[Data]]&amp;Table_Investimentos_Porcent[[#This Row],[Nome]],Table_Investimentos_Main[Data]&amp;Table_Investimentos_Main[Nome],Table_Investimentos_Main[Cotação Dolar],"NOT FOUND")</f>
        <v>581.09945414424533</v>
      </c>
      <c r="O11" s="3"/>
      <c r="V11" s="5"/>
    </row>
    <row r="12" spans="2:22" x14ac:dyDescent="0.2">
      <c r="B12" s="8">
        <v>46204</v>
      </c>
      <c r="C12" s="34" t="s">
        <v>104</v>
      </c>
      <c r="D12" s="5" t="s">
        <v>20</v>
      </c>
      <c r="E12" s="5" t="s">
        <v>103</v>
      </c>
      <c r="F12" s="5" t="s">
        <v>105</v>
      </c>
      <c r="G12" s="5" t="str" cm="1">
        <f t="array" ref="G12">_xlfn.XLOOKUP(Table_Investimentos_Porcent[[#This Row],[Data]]&amp;Table_Investimentos_Porcent[[#This Row],[Nome]],Table_Investimentos_Main[Data]&amp;Table_Investimentos_Main[Nome],Table_Investimentos_Main[Estratégia],"NOT FOUND")</f>
        <v>Core</v>
      </c>
      <c r="H12" s="5" t="str" cm="1">
        <f t="array" ref="H12">_xlfn.XLOOKUP(Table_Investimentos_Porcent[[#This Row],[Data]]&amp;Table_Investimentos_Porcent[[#This Row],[Nome]],Table_Investimentos_Main[Data]&amp;Table_Investimentos_Main[Nome],Table_Investimentos_Main[Moeda Base],"NOT FOUND")</f>
        <v>BRL</v>
      </c>
      <c r="I12" s="69">
        <v>1</v>
      </c>
      <c r="J12" s="18" cm="1">
        <f t="array" ref="J12">Table_Investimentos_Porcent[[#This Row],[Porcentagem]]*_xlfn.XLOOKUP(Table_Investimentos_Porcent[[#This Row],[Data]]&amp;Table_Investimentos_Porcent[[#This Row],[Nome]],Table_Investimentos_Main[Data]&amp;Table_Investimentos_Main[Nome],Table_Investimentos_Main[Total (R$)],"NOT FOUND")</f>
        <v>2986.86</v>
      </c>
      <c r="K12" s="80" cm="1">
        <f t="array" ref="K12">Table_Investimentos_Porcent[[#This Row],[Total (R$)]]/_xlfn.XLOOKUP(Table_Investimentos_Porcent[[#This Row],[Data]]&amp;Table_Investimentos_Porcent[[#This Row],[Nome]],Table_Investimentos_Main[Data]&amp;Table_Investimentos_Main[Nome],Table_Investimentos_Main[Cotação Dolar],"NOT FOUND")</f>
        <v>578.15415585923893</v>
      </c>
      <c r="O12" s="3"/>
      <c r="V12" s="5"/>
    </row>
    <row r="13" spans="2:22" x14ac:dyDescent="0.2">
      <c r="B13" s="8">
        <v>46204</v>
      </c>
      <c r="C13" s="34" t="s">
        <v>208</v>
      </c>
      <c r="D13" s="5" t="s">
        <v>20</v>
      </c>
      <c r="E13" s="5" t="s">
        <v>103</v>
      </c>
      <c r="F13" s="5" t="s">
        <v>105</v>
      </c>
      <c r="G13" s="5" t="str" cm="1">
        <f t="array" ref="G13">_xlfn.XLOOKUP(Table_Investimentos_Porcent[[#This Row],[Data]]&amp;Table_Investimentos_Porcent[[#This Row],[Nome]],Table_Investimentos_Main[Data]&amp;Table_Investimentos_Main[Nome],Table_Investimentos_Main[Estratégia],"NOT FOUND")</f>
        <v>Core</v>
      </c>
      <c r="H13" s="5" t="str" cm="1">
        <f t="array" ref="H13">_xlfn.XLOOKUP(Table_Investimentos_Porcent[[#This Row],[Data]]&amp;Table_Investimentos_Porcent[[#This Row],[Nome]],Table_Investimentos_Main[Data]&amp;Table_Investimentos_Main[Nome],Table_Investimentos_Main[Moeda Base],"NOT FOUND")</f>
        <v>BRL</v>
      </c>
      <c r="I13" s="69">
        <v>0.4</v>
      </c>
      <c r="J13" s="18" cm="1">
        <f t="array" ref="J13">Table_Investimentos_Porcent[[#This Row],[Porcentagem]]*_xlfn.XLOOKUP(Table_Investimentos_Porcent[[#This Row],[Data]]&amp;Table_Investimentos_Porcent[[#This Row],[Nome]],Table_Investimentos_Main[Data]&amp;Table_Investimentos_Main[Nome],Table_Investimentos_Main[Total (R$)],"NOT FOUND")</f>
        <v>2001.384</v>
      </c>
      <c r="K13" s="80" cm="1">
        <f t="array" ref="K13">Table_Investimentos_Porcent[[#This Row],[Total (R$)]]/_xlfn.XLOOKUP(Table_Investimentos_Porcent[[#This Row],[Data]]&amp;Table_Investimentos_Porcent[[#This Row],[Nome]],Table_Investimentos_Main[Data]&amp;Table_Investimentos_Main[Nome],Table_Investimentos_Main[Cotação Dolar],"NOT FOUND")</f>
        <v>387.39963609616353</v>
      </c>
      <c r="O13" s="3"/>
      <c r="V13" s="5"/>
    </row>
    <row r="14" spans="2:22" x14ac:dyDescent="0.2">
      <c r="B14" s="8">
        <v>46204</v>
      </c>
      <c r="C14" s="34" t="s">
        <v>79</v>
      </c>
      <c r="D14" s="5" t="s">
        <v>23</v>
      </c>
      <c r="E14" s="5" t="s">
        <v>102</v>
      </c>
      <c r="F14" s="5" t="s">
        <v>96</v>
      </c>
      <c r="G14" s="5" t="str" cm="1">
        <f t="array" ref="G14">_xlfn.XLOOKUP(Table_Investimentos_Porcent[[#This Row],[Data]]&amp;Table_Investimentos_Porcent[[#This Row],[Nome]],Table_Investimentos_Main[Data]&amp;Table_Investimentos_Main[Nome],Table_Investimentos_Main[Estratégia],"NOT FOUND")</f>
        <v>Hedge</v>
      </c>
      <c r="H14" s="5" t="str" cm="1">
        <f t="array" ref="H14">_xlfn.XLOOKUP(Table_Investimentos_Porcent[[#This Row],[Data]]&amp;Table_Investimentos_Porcent[[#This Row],[Nome]],Table_Investimentos_Main[Data]&amp;Table_Investimentos_Main[Nome],Table_Investimentos_Main[Moeda Base],"NOT FOUND")</f>
        <v>USD</v>
      </c>
      <c r="I14" s="69">
        <v>1</v>
      </c>
      <c r="J14" s="18" cm="1">
        <f t="array" ref="J14">Table_Investimentos_Porcent[[#This Row],[Porcentagem]]*_xlfn.XLOOKUP(Table_Investimentos_Porcent[[#This Row],[Data]]&amp;Table_Investimentos_Porcent[[#This Row],[Nome]],Table_Investimentos_Main[Data]&amp;Table_Investimentos_Main[Nome],Table_Investimentos_Main[Total (R$)],"NOT FOUND")</f>
        <v>4695.6773309939999</v>
      </c>
      <c r="K14" s="80" cm="1">
        <f t="array" ref="K14">Table_Investimentos_Porcent[[#This Row],[Total (R$)]]/_xlfn.XLOOKUP(Table_Investimentos_Porcent[[#This Row],[Data]]&amp;Table_Investimentos_Porcent[[#This Row],[Nome]],Table_Investimentos_Main[Data]&amp;Table_Investimentos_Main[Nome],Table_Investimentos_Main[Cotação Dolar],"NOT FOUND")</f>
        <v>908.92286999999999</v>
      </c>
      <c r="O14" s="3"/>
      <c r="V14" s="5"/>
    </row>
    <row r="15" spans="2:22" x14ac:dyDescent="0.2">
      <c r="B15" s="8">
        <v>46204</v>
      </c>
      <c r="C15" s="34" t="s">
        <v>77</v>
      </c>
      <c r="D15" s="5" t="s">
        <v>36</v>
      </c>
      <c r="E15" s="5" t="s">
        <v>102</v>
      </c>
      <c r="F15" s="5" t="s">
        <v>96</v>
      </c>
      <c r="G15" s="5" t="str" cm="1">
        <f t="array" ref="G15">_xlfn.XLOOKUP(Table_Investimentos_Porcent[[#This Row],[Data]]&amp;Table_Investimentos_Porcent[[#This Row],[Nome]],Table_Investimentos_Main[Data]&amp;Table_Investimentos_Main[Nome],Table_Investimentos_Main[Estratégia],"NOT FOUND")</f>
        <v>Satellite</v>
      </c>
      <c r="H15" s="5" t="str" cm="1">
        <f t="array" ref="H15">_xlfn.XLOOKUP(Table_Investimentos_Porcent[[#This Row],[Data]]&amp;Table_Investimentos_Porcent[[#This Row],[Nome]],Table_Investimentos_Main[Data]&amp;Table_Investimentos_Main[Nome],Table_Investimentos_Main[Moeda Base],"NOT FOUND")</f>
        <v>USD</v>
      </c>
      <c r="I15" s="69">
        <v>1</v>
      </c>
      <c r="J15" s="18" cm="1">
        <f t="array" ref="J15">Table_Investimentos_Porcent[[#This Row],[Porcentagem]]*_xlfn.XLOOKUP(Table_Investimentos_Porcent[[#This Row],[Data]]&amp;Table_Investimentos_Porcent[[#This Row],[Nome]],Table_Investimentos_Main[Data]&amp;Table_Investimentos_Main[Nome],Table_Investimentos_Main[Total (R$)],"NOT FOUND")</f>
        <v>908.10688360027984</v>
      </c>
      <c r="K15" s="80" cm="1">
        <f t="array" ref="K15">Table_Investimentos_Porcent[[#This Row],[Total (R$)]]/_xlfn.XLOOKUP(Table_Investimentos_Porcent[[#This Row],[Data]]&amp;Table_Investimentos_Porcent[[#This Row],[Nome]],Table_Investimentos_Main[Data]&amp;Table_Investimentos_Main[Nome],Table_Investimentos_Main[Cotação Dolar],"NOT FOUND")</f>
        <v>175.77849939999999</v>
      </c>
      <c r="O15" s="3"/>
      <c r="V15" s="5"/>
    </row>
    <row r="16" spans="2:22" x14ac:dyDescent="0.2">
      <c r="B16" s="8">
        <v>46204</v>
      </c>
      <c r="C16" s="34" t="s">
        <v>51</v>
      </c>
      <c r="D16" s="5" t="s">
        <v>36</v>
      </c>
      <c r="E16" s="5" t="s">
        <v>106</v>
      </c>
      <c r="F16" s="5" t="s">
        <v>96</v>
      </c>
      <c r="G16" s="5" t="str" cm="1">
        <f t="array" ref="G16">_xlfn.XLOOKUP(Table_Investimentos_Porcent[[#This Row],[Data]]&amp;Table_Investimentos_Porcent[[#This Row],[Nome]],Table_Investimentos_Main[Data]&amp;Table_Investimentos_Main[Nome],Table_Investimentos_Main[Estratégia],"NOT FOUND")</f>
        <v>Core</v>
      </c>
      <c r="H16" s="5" t="str" cm="1">
        <f t="array" ref="H16">_xlfn.XLOOKUP(Table_Investimentos_Porcent[[#This Row],[Data]]&amp;Table_Investimentos_Porcent[[#This Row],[Nome]],Table_Investimentos_Main[Data]&amp;Table_Investimentos_Main[Nome],Table_Investimentos_Main[Moeda Base],"NOT FOUND")</f>
        <v>USD</v>
      </c>
      <c r="I16" s="69">
        <v>1</v>
      </c>
      <c r="J16" s="18" cm="1">
        <f t="array" ref="J16">Table_Investimentos_Porcent[[#This Row],[Porcentagem]]*_xlfn.XLOOKUP(Table_Investimentos_Porcent[[#This Row],[Data]]&amp;Table_Investimentos_Porcent[[#This Row],[Nome]],Table_Investimentos_Main[Data]&amp;Table_Investimentos_Main[Nome],Table_Investimentos_Main[Total (R$)],"NOT FOUND")</f>
        <v>9918.2626326680002</v>
      </c>
      <c r="K16" s="80" cm="1">
        <f t="array" ref="K16">Table_Investimentos_Porcent[[#This Row],[Total (R$)]]/_xlfn.XLOOKUP(Table_Investimentos_Porcent[[#This Row],[Data]]&amp;Table_Investimentos_Porcent[[#This Row],[Nome]],Table_Investimentos_Main[Data]&amp;Table_Investimentos_Main[Nome],Table_Investimentos_Main[Cotação Dolar],"NOT FOUND")</f>
        <v>1919.8371400000001</v>
      </c>
      <c r="O16" s="3"/>
      <c r="V16" s="5"/>
    </row>
    <row r="17" spans="2:23" x14ac:dyDescent="0.2">
      <c r="B17" s="8">
        <v>46204</v>
      </c>
      <c r="C17" s="34" t="s">
        <v>91</v>
      </c>
      <c r="D17" s="5" t="s">
        <v>36</v>
      </c>
      <c r="E17" s="5" t="s">
        <v>107</v>
      </c>
      <c r="F17" s="5" t="s">
        <v>96</v>
      </c>
      <c r="G17" s="5" t="str" cm="1">
        <f t="array" ref="G17">_xlfn.XLOOKUP(Table_Investimentos_Porcent[[#This Row],[Data]]&amp;Table_Investimentos_Porcent[[#This Row],[Nome]],Table_Investimentos_Main[Data]&amp;Table_Investimentos_Main[Nome],Table_Investimentos_Main[Estratégia],"NOT FOUND")</f>
        <v>Core</v>
      </c>
      <c r="H17" s="5" t="str" cm="1">
        <f t="array" ref="H17">_xlfn.XLOOKUP(Table_Investimentos_Porcent[[#This Row],[Data]]&amp;Table_Investimentos_Porcent[[#This Row],[Nome]],Table_Investimentos_Main[Data]&amp;Table_Investimentos_Main[Nome],Table_Investimentos_Main[Moeda Base],"NOT FOUND")</f>
        <v>USD</v>
      </c>
      <c r="I17" s="69">
        <v>1</v>
      </c>
      <c r="J17" s="18" cm="1">
        <f t="array" ref="J17">Table_Investimentos_Porcent[[#This Row],[Porcentagem]]*_xlfn.XLOOKUP(Table_Investimentos_Porcent[[#This Row],[Data]]&amp;Table_Investimentos_Porcent[[#This Row],[Nome]],Table_Investimentos_Main[Data]&amp;Table_Investimentos_Main[Nome],Table_Investimentos_Main[Total (R$)],"NOT FOUND")</f>
        <v>2005.839970992</v>
      </c>
      <c r="K17" s="80" cm="1">
        <f t="array" ref="K17">Table_Investimentos_Porcent[[#This Row],[Total (R$)]]/_xlfn.XLOOKUP(Table_Investimentos_Porcent[[#This Row],[Data]]&amp;Table_Investimentos_Porcent[[#This Row],[Nome]],Table_Investimentos_Main[Data]&amp;Table_Investimentos_Main[Nome],Table_Investimentos_Main[Cotação Dolar],"NOT FOUND")</f>
        <v>388.26215999999999</v>
      </c>
      <c r="O17" s="3"/>
      <c r="V17" s="5"/>
    </row>
    <row r="18" spans="2:23" x14ac:dyDescent="0.2">
      <c r="B18" s="8">
        <v>46204</v>
      </c>
      <c r="C18" s="34" t="s">
        <v>83</v>
      </c>
      <c r="D18" s="5" t="s">
        <v>36</v>
      </c>
      <c r="E18" s="5" t="s">
        <v>106</v>
      </c>
      <c r="F18" s="5" t="s">
        <v>96</v>
      </c>
      <c r="G18" s="5" t="str" cm="1">
        <f t="array" ref="G18">_xlfn.XLOOKUP(Table_Investimentos_Porcent[[#This Row],[Data]]&amp;Table_Investimentos_Porcent[[#This Row],[Nome]],Table_Investimentos_Main[Data]&amp;Table_Investimentos_Main[Nome],Table_Investimentos_Main[Estratégia],"NOT FOUND")</f>
        <v>Satellite</v>
      </c>
      <c r="H18" s="5" t="str" cm="1">
        <f t="array" ref="H18">_xlfn.XLOOKUP(Table_Investimentos_Porcent[[#This Row],[Data]]&amp;Table_Investimentos_Porcent[[#This Row],[Nome]],Table_Investimentos_Main[Data]&amp;Table_Investimentos_Main[Nome],Table_Investimentos_Main[Moeda Base],"NOT FOUND")</f>
        <v>USD</v>
      </c>
      <c r="I18" s="69">
        <v>1</v>
      </c>
      <c r="J18" s="18" cm="1">
        <f t="array" ref="J18">Table_Investimentos_Porcent[[#This Row],[Porcentagem]]*_xlfn.XLOOKUP(Table_Investimentos_Porcent[[#This Row],[Data]]&amp;Table_Investimentos_Porcent[[#This Row],[Nome]],Table_Investimentos_Main[Data]&amp;Table_Investimentos_Main[Nome],Table_Investimentos_Main[Total (R$)],"NOT FOUND")</f>
        <v>1273.7744148546356</v>
      </c>
      <c r="K18" s="80" cm="1">
        <f t="array" ref="K18">Table_Investimentos_Porcent[[#This Row],[Total (R$)]]/_xlfn.XLOOKUP(Table_Investimentos_Porcent[[#This Row],[Data]]&amp;Table_Investimentos_Porcent[[#This Row],[Nome]],Table_Investimentos_Main[Data]&amp;Table_Investimentos_Main[Nome],Table_Investimentos_Main[Cotação Dolar],"NOT FOUND")</f>
        <v>246.55925338830002</v>
      </c>
      <c r="O18" s="3"/>
      <c r="V18" s="5"/>
      <c r="W18" s="5"/>
    </row>
    <row r="19" spans="2:23" x14ac:dyDescent="0.2">
      <c r="B19" s="8">
        <v>46204</v>
      </c>
      <c r="C19" s="34" t="s">
        <v>74</v>
      </c>
      <c r="D19" s="5" t="s">
        <v>17</v>
      </c>
      <c r="E19" s="5" t="s">
        <v>98</v>
      </c>
      <c r="F19" s="5" t="s">
        <v>108</v>
      </c>
      <c r="G19" s="5" t="str" cm="1">
        <f t="array" ref="G19">_xlfn.XLOOKUP(Table_Investimentos_Porcent[[#This Row],[Data]]&amp;Table_Investimentos_Porcent[[#This Row],[Nome]],Table_Investimentos_Main[Data]&amp;Table_Investimentos_Main[Nome],Table_Investimentos_Main[Estratégia],"NOT FOUND")</f>
        <v>Core</v>
      </c>
      <c r="H19" s="5" t="str" cm="1">
        <f t="array" ref="H19">_xlfn.XLOOKUP(Table_Investimentos_Porcent[[#This Row],[Data]]&amp;Table_Investimentos_Porcent[[#This Row],[Nome]],Table_Investimentos_Main[Data]&amp;Table_Investimentos_Main[Nome],Table_Investimentos_Main[Moeda Base],"NOT FOUND")</f>
        <v>BRL</v>
      </c>
      <c r="I19" s="69">
        <v>1</v>
      </c>
      <c r="J19" s="18" cm="1">
        <f t="array" ref="J19">Table_Investimentos_Porcent[[#This Row],[Porcentagem]]*_xlfn.XLOOKUP(Table_Investimentos_Porcent[[#This Row],[Data]]&amp;Table_Investimentos_Porcent[[#This Row],[Nome]],Table_Investimentos_Main[Data]&amp;Table_Investimentos_Main[Nome],Table_Investimentos_Main[Total (R$)],"NOT FOUND")</f>
        <v>12174.15</v>
      </c>
      <c r="K19" s="80" cm="1">
        <f t="array" ref="K19">Table_Investimentos_Porcent[[#This Row],[Total (R$)]]/_xlfn.XLOOKUP(Table_Investimentos_Porcent[[#This Row],[Data]]&amp;Table_Investimentos_Porcent[[#This Row],[Nome]],Table_Investimentos_Main[Data]&amp;Table_Investimentos_Main[Nome],Table_Investimentos_Main[Cotação Dolar],"NOT FOUND")</f>
        <v>2356.4999419302389</v>
      </c>
      <c r="O19" s="3"/>
      <c r="V19" s="5"/>
      <c r="W19" s="5"/>
    </row>
    <row r="20" spans="2:23" x14ac:dyDescent="0.2">
      <c r="B20" s="8">
        <v>46204</v>
      </c>
      <c r="C20" s="34" t="s">
        <v>93</v>
      </c>
      <c r="D20" s="5" t="s">
        <v>20</v>
      </c>
      <c r="E20" s="5" t="s">
        <v>98</v>
      </c>
      <c r="F20" s="5" t="s">
        <v>99</v>
      </c>
      <c r="G20" s="5" t="str" cm="1">
        <f t="array" ref="G20">_xlfn.XLOOKUP(Table_Investimentos_Porcent[[#This Row],[Data]]&amp;Table_Investimentos_Porcent[[#This Row],[Nome]],Table_Investimentos_Main[Data]&amp;Table_Investimentos_Main[Nome],Table_Investimentos_Main[Estratégia],"NOT FOUND")</f>
        <v>Core</v>
      </c>
      <c r="H20" s="5" t="str" cm="1">
        <f t="array" ref="H20">_xlfn.XLOOKUP(Table_Investimentos_Porcent[[#This Row],[Data]]&amp;Table_Investimentos_Porcent[[#This Row],[Nome]],Table_Investimentos_Main[Data]&amp;Table_Investimentos_Main[Nome],Table_Investimentos_Main[Moeda Base],"NOT FOUND")</f>
        <v>BRL</v>
      </c>
      <c r="I20" s="69">
        <v>1</v>
      </c>
      <c r="J20" s="18" cm="1">
        <f t="array" ref="J20">Table_Investimentos_Porcent[[#This Row],[Porcentagem]]*_xlfn.XLOOKUP(Table_Investimentos_Porcent[[#This Row],[Data]]&amp;Table_Investimentos_Porcent[[#This Row],[Nome]],Table_Investimentos_Main[Data]&amp;Table_Investimentos_Main[Nome],Table_Investimentos_Main[Total (R$)],"NOT FOUND")</f>
        <v>6054.12</v>
      </c>
      <c r="K20" s="80" cm="1">
        <f t="array" ref="K20">Table_Investimentos_Porcent[[#This Row],[Total (R$)]]/_xlfn.XLOOKUP(Table_Investimentos_Porcent[[#This Row],[Data]]&amp;Table_Investimentos_Porcent[[#This Row],[Nome]],Table_Investimentos_Main[Data]&amp;Table_Investimentos_Main[Nome],Table_Investimentos_Main[Cotação Dolar],"NOT FOUND")</f>
        <v>1171.8710077039216</v>
      </c>
      <c r="O20" s="3"/>
      <c r="V20" s="5"/>
      <c r="W20" s="5"/>
    </row>
    <row r="21" spans="2:23" x14ac:dyDescent="0.2">
      <c r="B21" s="8">
        <v>46204</v>
      </c>
      <c r="C21" s="34" t="s">
        <v>89</v>
      </c>
      <c r="D21" s="5" t="s">
        <v>20</v>
      </c>
      <c r="E21" s="5" t="s">
        <v>98</v>
      </c>
      <c r="F21" s="5" t="s">
        <v>105</v>
      </c>
      <c r="G21" s="5" t="str" cm="1">
        <f t="array" ref="G21">_xlfn.XLOOKUP(Table_Investimentos_Porcent[[#This Row],[Data]]&amp;Table_Investimentos_Porcent[[#This Row],[Nome]],Table_Investimentos_Main[Data]&amp;Table_Investimentos_Main[Nome],Table_Investimentos_Main[Estratégia],"NOT FOUND")</f>
        <v>Core</v>
      </c>
      <c r="H21" s="5" t="str" cm="1">
        <f t="array" ref="H21">_xlfn.XLOOKUP(Table_Investimentos_Porcent[[#This Row],[Data]]&amp;Table_Investimentos_Porcent[[#This Row],[Nome]],Table_Investimentos_Main[Data]&amp;Table_Investimentos_Main[Nome],Table_Investimentos_Main[Moeda Base],"NOT FOUND")</f>
        <v>BRL</v>
      </c>
      <c r="I21" s="69">
        <v>1</v>
      </c>
      <c r="J21" s="18" cm="1">
        <f t="array" ref="J21">Table_Investimentos_Porcent[[#This Row],[Porcentagem]]*_xlfn.XLOOKUP(Table_Investimentos_Porcent[[#This Row],[Data]]&amp;Table_Investimentos_Porcent[[#This Row],[Nome]],Table_Investimentos_Main[Data]&amp;Table_Investimentos_Main[Nome],Table_Investimentos_Main[Total (R$)],"NOT FOUND")</f>
        <v>9869.83</v>
      </c>
      <c r="K21" s="80" cm="1">
        <f t="array" ref="K21">Table_Investimentos_Porcent[[#This Row],[Total (R$)]]/_xlfn.XLOOKUP(Table_Investimentos_Porcent[[#This Row],[Data]]&amp;Table_Investimentos_Porcent[[#This Row],[Nome]],Table_Investimentos_Main[Data]&amp;Table_Investimentos_Main[Nome],Table_Investimentos_Main[Cotação Dolar],"NOT FOUND")</f>
        <v>1910.4622352986721</v>
      </c>
      <c r="O21" s="3"/>
      <c r="V21" s="5"/>
      <c r="W21" s="5"/>
    </row>
    <row r="22" spans="2:23" x14ac:dyDescent="0.2">
      <c r="B22" s="8">
        <v>46204</v>
      </c>
      <c r="C22" s="34" t="s">
        <v>58</v>
      </c>
      <c r="D22" s="5" t="s">
        <v>17</v>
      </c>
      <c r="E22" s="5" t="s">
        <v>98</v>
      </c>
      <c r="F22" s="5" t="s">
        <v>95</v>
      </c>
      <c r="G22" s="5" t="str" cm="1">
        <f t="array" ref="G22">_xlfn.XLOOKUP(Table_Investimentos_Porcent[[#This Row],[Data]]&amp;Table_Investimentos_Porcent[[#This Row],[Nome]],Table_Investimentos_Main[Data]&amp;Table_Investimentos_Main[Nome],Table_Investimentos_Main[Estratégia],"NOT FOUND")</f>
        <v>Core</v>
      </c>
      <c r="H22" s="5" t="str" cm="1">
        <f t="array" ref="H22">_xlfn.XLOOKUP(Table_Investimentos_Porcent[[#This Row],[Data]]&amp;Table_Investimentos_Porcent[[#This Row],[Nome]],Table_Investimentos_Main[Data]&amp;Table_Investimentos_Main[Nome],Table_Investimentos_Main[Moeda Base],"NOT FOUND")</f>
        <v>BRL</v>
      </c>
      <c r="I22" s="69">
        <v>1</v>
      </c>
      <c r="J22" s="18" cm="1">
        <f t="array" ref="J22">Table_Investimentos_Porcent[[#This Row],[Porcentagem]]*_xlfn.XLOOKUP(Table_Investimentos_Porcent[[#This Row],[Data]]&amp;Table_Investimentos_Porcent[[#This Row],[Nome]],Table_Investimentos_Main[Data]&amp;Table_Investimentos_Main[Nome],Table_Investimentos_Main[Total (R$)],"NOT FOUND")</f>
        <v>7100</v>
      </c>
      <c r="K22" s="80" cm="1">
        <f t="array" ref="K22">Table_Investimentos_Porcent[[#This Row],[Total (R$)]]/_xlfn.XLOOKUP(Table_Investimentos_Porcent[[#This Row],[Data]]&amp;Table_Investimentos_Porcent[[#This Row],[Nome]],Table_Investimentos_Main[Data]&amp;Table_Investimentos_Main[Nome],Table_Investimentos_Main[Cotação Dolar],"NOT FOUND")</f>
        <v>1374.3176803066083</v>
      </c>
      <c r="O22" s="3"/>
      <c r="V22" s="5"/>
      <c r="W22" s="5"/>
    </row>
    <row r="23" spans="2:23" x14ac:dyDescent="0.2">
      <c r="B23" s="8">
        <v>46204</v>
      </c>
      <c r="C23" s="34" t="s">
        <v>209</v>
      </c>
      <c r="D23" s="5" t="s">
        <v>20</v>
      </c>
      <c r="E23" s="5" t="s">
        <v>98</v>
      </c>
      <c r="F23" s="5" t="s">
        <v>99</v>
      </c>
      <c r="G23" s="5" t="str" cm="1">
        <f t="array" ref="G23">_xlfn.XLOOKUP(Table_Investimentos_Porcent[[#This Row],[Data]]&amp;Table_Investimentos_Porcent[[#This Row],[Nome]],Table_Investimentos_Main[Data]&amp;Table_Investimentos_Main[Nome],Table_Investimentos_Main[Estratégia],"NOT FOUND")</f>
        <v>Core</v>
      </c>
      <c r="H23" s="5" t="str" cm="1">
        <f t="array" ref="H23">_xlfn.XLOOKUP(Table_Investimentos_Porcent[[#This Row],[Data]]&amp;Table_Investimentos_Porcent[[#This Row],[Nome]],Table_Investimentos_Main[Data]&amp;Table_Investimentos_Main[Nome],Table_Investimentos_Main[Moeda Base],"NOT FOUND")</f>
        <v>BRL</v>
      </c>
      <c r="I23" s="69">
        <v>0.16</v>
      </c>
      <c r="J23" s="18" cm="1">
        <f t="array" ref="J23">Table_Investimentos_Porcent[[#This Row],[Porcentagem]]*_xlfn.XLOOKUP(Table_Investimentos_Porcent[[#This Row],[Data]]&amp;Table_Investimentos_Porcent[[#This Row],[Nome]],Table_Investimentos_Main[Data]&amp;Table_Investimentos_Main[Nome],Table_Investimentos_Main[Total (R$)],"NOT FOUND")</f>
        <v>3762.9920000000002</v>
      </c>
      <c r="K23" s="80" cm="1">
        <f t="array" ref="K23">Table_Investimentos_Porcent[[#This Row],[Total (R$)]]/_xlfn.XLOOKUP(Table_Investimentos_Porcent[[#This Row],[Data]]&amp;Table_Investimentos_Porcent[[#This Row],[Nome]],Table_Investimentos_Main[Data]&amp;Table_Investimentos_Main[Nome],Table_Investimentos_Main[Cotação Dolar],"NOT FOUND")</f>
        <v>728.38682203553878</v>
      </c>
      <c r="O23" s="3"/>
      <c r="V23" s="5"/>
      <c r="W23" s="5"/>
    </row>
    <row r="24" spans="2:23" x14ac:dyDescent="0.2">
      <c r="B24" s="8">
        <v>46204</v>
      </c>
      <c r="C24" s="34" t="s">
        <v>209</v>
      </c>
      <c r="D24" s="5" t="s">
        <v>20</v>
      </c>
      <c r="E24" s="5" t="s">
        <v>98</v>
      </c>
      <c r="F24" s="5" t="s">
        <v>109</v>
      </c>
      <c r="G24" s="5" t="str" cm="1">
        <f t="array" ref="G24">_xlfn.XLOOKUP(Table_Investimentos_Porcent[[#This Row],[Data]]&amp;Table_Investimentos_Porcent[[#This Row],[Nome]],Table_Investimentos_Main[Data]&amp;Table_Investimentos_Main[Nome],Table_Investimentos_Main[Estratégia],"NOT FOUND")</f>
        <v>Core</v>
      </c>
      <c r="H24" s="5" t="str" cm="1">
        <f t="array" ref="H24">_xlfn.XLOOKUP(Table_Investimentos_Porcent[[#This Row],[Data]]&amp;Table_Investimentos_Porcent[[#This Row],[Nome]],Table_Investimentos_Main[Data]&amp;Table_Investimentos_Main[Nome],Table_Investimentos_Main[Moeda Base],"NOT FOUND")</f>
        <v>BRL</v>
      </c>
      <c r="I24" s="69">
        <v>0.2</v>
      </c>
      <c r="J24" s="18" cm="1">
        <f t="array" ref="J24">Table_Investimentos_Porcent[[#This Row],[Porcentagem]]*_xlfn.XLOOKUP(Table_Investimentos_Porcent[[#This Row],[Data]]&amp;Table_Investimentos_Porcent[[#This Row],[Nome]],Table_Investimentos_Main[Data]&amp;Table_Investimentos_Main[Nome],Table_Investimentos_Main[Total (R$)],"NOT FOUND")</f>
        <v>4703.7400000000007</v>
      </c>
      <c r="K24" s="80" cm="1">
        <f t="array" ref="K24">Table_Investimentos_Porcent[[#This Row],[Total (R$)]]/_xlfn.XLOOKUP(Table_Investimentos_Porcent[[#This Row],[Data]]&amp;Table_Investimentos_Porcent[[#This Row],[Nome]],Table_Investimentos_Main[Data]&amp;Table_Investimentos_Main[Nome],Table_Investimentos_Main[Cotação Dolar],"NOT FOUND")</f>
        <v>910.48352754442351</v>
      </c>
      <c r="O24" s="3"/>
      <c r="V24" s="5"/>
      <c r="W24" s="5"/>
    </row>
    <row r="25" spans="2:23" x14ac:dyDescent="0.2">
      <c r="B25" s="8">
        <v>46204</v>
      </c>
      <c r="C25" s="34" t="s">
        <v>41</v>
      </c>
      <c r="D25" s="5" t="s">
        <v>13</v>
      </c>
      <c r="E25" s="5" t="s">
        <v>14</v>
      </c>
      <c r="F25" s="5" t="s">
        <v>96</v>
      </c>
      <c r="G25" s="5" t="str" cm="1">
        <f t="array" ref="G25">_xlfn.XLOOKUP(Table_Investimentos_Porcent[[#This Row],[Data]]&amp;Table_Investimentos_Porcent[[#This Row],[Nome]],Table_Investimentos_Main[Data]&amp;Table_Investimentos_Main[Nome],Table_Investimentos_Main[Estratégia],"NOT FOUND")</f>
        <v>Core-Satellite</v>
      </c>
      <c r="H25" s="5" t="str" cm="1">
        <f t="array" ref="H25">_xlfn.XLOOKUP(Table_Investimentos_Porcent[[#This Row],[Data]]&amp;Table_Investimentos_Porcent[[#This Row],[Nome]],Table_Investimentos_Main[Data]&amp;Table_Investimentos_Main[Nome],Table_Investimentos_Main[Moeda Base],"NOT FOUND")</f>
        <v>BTC</v>
      </c>
      <c r="I25" s="69">
        <v>1</v>
      </c>
      <c r="J25" s="18" cm="1">
        <f t="array" ref="J25">Table_Investimentos_Porcent[[#This Row],[Porcentagem]]*_xlfn.XLOOKUP(Table_Investimentos_Porcent[[#This Row],[Data]]&amp;Table_Investimentos_Porcent[[#This Row],[Nome]],Table_Investimentos_Main[Data]&amp;Table_Investimentos_Main[Nome],Table_Investimentos_Main[Total (R$)],"NOT FOUND")</f>
        <v>96320.942105640002</v>
      </c>
      <c r="K25" s="80" cm="1">
        <f t="array" ref="K25">Table_Investimentos_Porcent[[#This Row],[Total (R$)]]/_xlfn.XLOOKUP(Table_Investimentos_Porcent[[#This Row],[Data]]&amp;Table_Investimentos_Porcent[[#This Row],[Nome]],Table_Investimentos_Main[Data]&amp;Table_Investimentos_Main[Nome],Table_Investimentos_Main[Cotação Dolar],"NOT FOUND")</f>
        <v>18644.44700275638</v>
      </c>
      <c r="O25" s="3"/>
      <c r="V25" s="5"/>
      <c r="W25" s="5"/>
    </row>
    <row r="26" spans="2:23" x14ac:dyDescent="0.2">
      <c r="B26" s="8">
        <v>46204</v>
      </c>
      <c r="C26" s="34" t="s">
        <v>209</v>
      </c>
      <c r="D26" s="5" t="s">
        <v>20</v>
      </c>
      <c r="E26" s="5" t="s">
        <v>98</v>
      </c>
      <c r="F26" s="5" t="s">
        <v>105</v>
      </c>
      <c r="G26" s="5" t="str" cm="1">
        <f t="array" ref="G26">_xlfn.XLOOKUP(Table_Investimentos_Porcent[[#This Row],[Data]]&amp;Table_Investimentos_Porcent[[#This Row],[Nome]],Table_Investimentos_Main[Data]&amp;Table_Investimentos_Main[Nome],Table_Investimentos_Main[Estratégia],"NOT FOUND")</f>
        <v>Core</v>
      </c>
      <c r="H26" s="5" t="str" cm="1">
        <f t="array" ref="H26">_xlfn.XLOOKUP(Table_Investimentos_Porcent[[#This Row],[Data]]&amp;Table_Investimentos_Porcent[[#This Row],[Nome]],Table_Investimentos_Main[Data]&amp;Table_Investimentos_Main[Nome],Table_Investimentos_Main[Moeda Base],"NOT FOUND")</f>
        <v>BRL</v>
      </c>
      <c r="I26" s="69">
        <v>0.09</v>
      </c>
      <c r="J26" s="18" cm="1">
        <f t="array" ref="J26">Table_Investimentos_Porcent[[#This Row],[Porcentagem]]*_xlfn.XLOOKUP(Table_Investimentos_Porcent[[#This Row],[Data]]&amp;Table_Investimentos_Porcent[[#This Row],[Nome]],Table_Investimentos_Main[Data]&amp;Table_Investimentos_Main[Nome],Table_Investimentos_Main[Total (R$)],"NOT FOUND")</f>
        <v>2116.683</v>
      </c>
      <c r="K26" s="80" cm="1">
        <f t="array" ref="K26">Table_Investimentos_Porcent[[#This Row],[Total (R$)]]/_xlfn.XLOOKUP(Table_Investimentos_Porcent[[#This Row],[Data]]&amp;Table_Investimentos_Porcent[[#This Row],[Nome]],Table_Investimentos_Main[Data]&amp;Table_Investimentos_Main[Nome],Table_Investimentos_Main[Cotação Dolar],"NOT FOUND")</f>
        <v>409.71758739499052</v>
      </c>
      <c r="O26" s="3"/>
      <c r="V26" s="5"/>
      <c r="W26" s="5"/>
    </row>
    <row r="27" spans="2:23" x14ac:dyDescent="0.2">
      <c r="B27" s="8">
        <v>46204</v>
      </c>
      <c r="C27" s="34" t="s">
        <v>209</v>
      </c>
      <c r="D27" s="5" t="s">
        <v>36</v>
      </c>
      <c r="E27" s="5" t="s">
        <v>106</v>
      </c>
      <c r="F27" s="5" t="s">
        <v>96</v>
      </c>
      <c r="G27" s="5" t="str" cm="1">
        <f t="array" ref="G27">_xlfn.XLOOKUP(Table_Investimentos_Porcent[[#This Row],[Data]]&amp;Table_Investimentos_Porcent[[#This Row],[Nome]],Table_Investimentos_Main[Data]&amp;Table_Investimentos_Main[Nome],Table_Investimentos_Main[Estratégia],"NOT FOUND")</f>
        <v>Core</v>
      </c>
      <c r="H27" s="5" t="str" cm="1">
        <f t="array" ref="H27">_xlfn.XLOOKUP(Table_Investimentos_Porcent[[#This Row],[Data]]&amp;Table_Investimentos_Porcent[[#This Row],[Nome]],Table_Investimentos_Main[Data]&amp;Table_Investimentos_Main[Nome],Table_Investimentos_Main[Moeda Base],"NOT FOUND")</f>
        <v>BRL</v>
      </c>
      <c r="I27" s="69">
        <v>0.19</v>
      </c>
      <c r="J27" s="18" cm="1">
        <f t="array" ref="J27">Table_Investimentos_Porcent[[#This Row],[Porcentagem]]*_xlfn.XLOOKUP(Table_Investimentos_Porcent[[#This Row],[Data]]&amp;Table_Investimentos_Porcent[[#This Row],[Nome]],Table_Investimentos_Main[Data]&amp;Table_Investimentos_Main[Nome],Table_Investimentos_Main[Total (R$)],"NOT FOUND")</f>
        <v>4468.5529999999999</v>
      </c>
      <c r="K27" s="80" cm="1">
        <f t="array" ref="K27">Table_Investimentos_Porcent[[#This Row],[Total (R$)]]/_xlfn.XLOOKUP(Table_Investimentos_Porcent[[#This Row],[Data]]&amp;Table_Investimentos_Porcent[[#This Row],[Nome]],Table_Investimentos_Main[Data]&amp;Table_Investimentos_Main[Nome],Table_Investimentos_Main[Cotação Dolar],"NOT FOUND")</f>
        <v>864.95935116720216</v>
      </c>
      <c r="O27" s="3"/>
      <c r="V27" s="5"/>
      <c r="W27" s="5"/>
    </row>
    <row r="28" spans="2:23" x14ac:dyDescent="0.2">
      <c r="B28" s="8">
        <v>46204</v>
      </c>
      <c r="C28" s="34" t="s">
        <v>209</v>
      </c>
      <c r="D28" s="5" t="s">
        <v>36</v>
      </c>
      <c r="E28" s="5" t="s">
        <v>110</v>
      </c>
      <c r="F28" s="5" t="s">
        <v>96</v>
      </c>
      <c r="G28" s="5" t="str" cm="1">
        <f t="array" ref="G28">_xlfn.XLOOKUP(Table_Investimentos_Porcent[[#This Row],[Data]]&amp;Table_Investimentos_Porcent[[#This Row],[Nome]],Table_Investimentos_Main[Data]&amp;Table_Investimentos_Main[Nome],Table_Investimentos_Main[Estratégia],"NOT FOUND")</f>
        <v>Core</v>
      </c>
      <c r="H28" s="5" t="str" cm="1">
        <f t="array" ref="H28">_xlfn.XLOOKUP(Table_Investimentos_Porcent[[#This Row],[Data]]&amp;Table_Investimentos_Porcent[[#This Row],[Nome]],Table_Investimentos_Main[Data]&amp;Table_Investimentos_Main[Nome],Table_Investimentos_Main[Moeda Base],"NOT FOUND")</f>
        <v>BRL</v>
      </c>
      <c r="I28" s="69">
        <v>0.28000000000000003</v>
      </c>
      <c r="J28" s="18" cm="1">
        <f t="array" ref="J28">Table_Investimentos_Porcent[[#This Row],[Porcentagem]]*_xlfn.XLOOKUP(Table_Investimentos_Porcent[[#This Row],[Data]]&amp;Table_Investimentos_Porcent[[#This Row],[Nome]],Table_Investimentos_Main[Data]&amp;Table_Investimentos_Main[Nome],Table_Investimentos_Main[Total (R$)],"NOT FOUND")</f>
        <v>6585.2360000000008</v>
      </c>
      <c r="K28" s="80" cm="1">
        <f t="array" ref="K28">Table_Investimentos_Porcent[[#This Row],[Total (R$)]]/_xlfn.XLOOKUP(Table_Investimentos_Porcent[[#This Row],[Data]]&amp;Table_Investimentos_Porcent[[#This Row],[Nome]],Table_Investimentos_Main[Data]&amp;Table_Investimentos_Main[Nome],Table_Investimentos_Main[Cotação Dolar],"NOT FOUND")</f>
        <v>1274.6769385621928</v>
      </c>
      <c r="O28" s="3"/>
      <c r="V28" s="5"/>
      <c r="W28" s="5"/>
    </row>
    <row r="29" spans="2:23" x14ac:dyDescent="0.2">
      <c r="B29" s="8">
        <v>46204</v>
      </c>
      <c r="C29" s="34" t="s">
        <v>209</v>
      </c>
      <c r="D29" s="5" t="s">
        <v>36</v>
      </c>
      <c r="E29" s="5" t="s">
        <v>111</v>
      </c>
      <c r="F29" s="5" t="s">
        <v>96</v>
      </c>
      <c r="G29" s="5" t="str" cm="1">
        <f t="array" ref="G29">_xlfn.XLOOKUP(Table_Investimentos_Porcent[[#This Row],[Data]]&amp;Table_Investimentos_Porcent[[#This Row],[Nome]],Table_Investimentos_Main[Data]&amp;Table_Investimentos_Main[Nome],Table_Investimentos_Main[Estratégia],"NOT FOUND")</f>
        <v>Core</v>
      </c>
      <c r="H29" s="5" t="str" cm="1">
        <f t="array" ref="H29">_xlfn.XLOOKUP(Table_Investimentos_Porcent[[#This Row],[Data]]&amp;Table_Investimentos_Porcent[[#This Row],[Nome]],Table_Investimentos_Main[Data]&amp;Table_Investimentos_Main[Nome],Table_Investimentos_Main[Moeda Base],"NOT FOUND")</f>
        <v>BRL</v>
      </c>
      <c r="I29" s="69">
        <v>0.08</v>
      </c>
      <c r="J29" s="18" cm="1">
        <f t="array" ref="J29">Table_Investimentos_Porcent[[#This Row],[Porcentagem]]*_xlfn.XLOOKUP(Table_Investimentos_Porcent[[#This Row],[Data]]&amp;Table_Investimentos_Porcent[[#This Row],[Nome]],Table_Investimentos_Main[Data]&amp;Table_Investimentos_Main[Nome],Table_Investimentos_Main[Total (R$)],"NOT FOUND")</f>
        <v>1881.4960000000001</v>
      </c>
      <c r="K29" s="80" cm="1">
        <f t="array" ref="K29">Table_Investimentos_Porcent[[#This Row],[Total (R$)]]/_xlfn.XLOOKUP(Table_Investimentos_Porcent[[#This Row],[Data]]&amp;Table_Investimentos_Porcent[[#This Row],[Nome]],Table_Investimentos_Main[Data]&amp;Table_Investimentos_Main[Nome],Table_Investimentos_Main[Cotação Dolar],"NOT FOUND")</f>
        <v>364.19341101776939</v>
      </c>
      <c r="O29" s="3"/>
      <c r="V29" s="5"/>
      <c r="W29" s="5"/>
    </row>
    <row r="30" spans="2:23" x14ac:dyDescent="0.2">
      <c r="B30" s="8">
        <v>46204</v>
      </c>
      <c r="C30" s="34" t="s">
        <v>68</v>
      </c>
      <c r="D30" s="5" t="s">
        <v>20</v>
      </c>
      <c r="E30" s="5" t="s">
        <v>103</v>
      </c>
      <c r="F30" s="5" t="s">
        <v>109</v>
      </c>
      <c r="G30" s="5" t="str" cm="1">
        <f t="array" ref="G30">_xlfn.XLOOKUP(Table_Investimentos_Porcent[[#This Row],[Data]]&amp;Table_Investimentos_Porcent[[#This Row],[Nome]],Table_Investimentos_Main[Data]&amp;Table_Investimentos_Main[Nome],Table_Investimentos_Main[Estratégia],"NOT FOUND")</f>
        <v>Core</v>
      </c>
      <c r="H30" s="5" t="str" cm="1">
        <f t="array" ref="H30">_xlfn.XLOOKUP(Table_Investimentos_Porcent[[#This Row],[Data]]&amp;Table_Investimentos_Porcent[[#This Row],[Nome]],Table_Investimentos_Main[Data]&amp;Table_Investimentos_Main[Nome],Table_Investimentos_Main[Moeda Base],"NOT FOUND")</f>
        <v>BRL</v>
      </c>
      <c r="I30" s="69">
        <v>1</v>
      </c>
      <c r="J30" s="18" cm="1">
        <f t="array" ref="J30">Table_Investimentos_Porcent[[#This Row],[Porcentagem]]*_xlfn.XLOOKUP(Table_Investimentos_Porcent[[#This Row],[Data]]&amp;Table_Investimentos_Porcent[[#This Row],[Nome]],Table_Investimentos_Main[Data]&amp;Table_Investimentos_Main[Nome],Table_Investimentos_Main[Total (R$)],"NOT FOUND")</f>
        <v>11955.66</v>
      </c>
      <c r="K30" s="80" cm="1">
        <f t="array" ref="K30">Table_Investimentos_Porcent[[#This Row],[Total (R$)]]/_xlfn.XLOOKUP(Table_Investimentos_Porcent[[#This Row],[Data]]&amp;Table_Investimentos_Porcent[[#This Row],[Nome]],Table_Investimentos_Main[Data]&amp;Table_Investimentos_Main[Nome],Table_Investimentos_Main[Cotação Dolar],"NOT FOUND")</f>
        <v>2314.2077348921839</v>
      </c>
      <c r="O30" s="3"/>
      <c r="V30" s="5"/>
      <c r="W30" s="5"/>
    </row>
    <row r="31" spans="2:23" x14ac:dyDescent="0.2">
      <c r="B31" s="8">
        <v>45078</v>
      </c>
      <c r="C31" s="34" t="s">
        <v>11</v>
      </c>
      <c r="D31" s="5" t="s">
        <v>13</v>
      </c>
      <c r="E31" s="5"/>
      <c r="F31" s="5"/>
      <c r="G31" s="5" cm="1">
        <f t="array" ref="G31">_xlfn.XLOOKUP(Table_Investimentos_Porcent[[#This Row],[Data]]&amp;Table_Investimentos_Porcent[[#This Row],[Nome]],Table_Investimentos_Main[Data]&amp;Table_Investimentos_Main[Nome],Table_Investimentos_Main[Estratégia],"NOT FOUND")</f>
        <v>0</v>
      </c>
      <c r="H31" s="5" t="str" cm="1">
        <f t="array" ref="H31">_xlfn.XLOOKUP(Table_Investimentos_Porcent[[#This Row],[Data]]&amp;Table_Investimentos_Porcent[[#This Row],[Nome]],Table_Investimentos_Main[Data]&amp;Table_Investimentos_Main[Nome],Table_Investimentos_Main[Moeda Base],"NOT FOUND")</f>
        <v>BTC</v>
      </c>
      <c r="I31" s="69">
        <v>1</v>
      </c>
      <c r="J31" s="18" cm="1">
        <f t="array" ref="J31">Table_Investimentos_Porcent[[#This Row],[Porcentagem]]*_xlfn.XLOOKUP(Table_Investimentos_Porcent[[#This Row],[Data]]&amp;Table_Investimentos_Porcent[[#This Row],[Nome]],Table_Investimentos_Main[Data]&amp;Table_Investimentos_Main[Nome],Table_Investimentos_Main[Total (R$)],"NOT FOUND")</f>
        <v>24200.64314</v>
      </c>
      <c r="K31" s="80" cm="1">
        <f t="array" ref="K31">Table_Investimentos_Porcent[[#This Row],[Total (R$)]]/_xlfn.XLOOKUP(Table_Investimentos_Porcent[[#This Row],[Data]]&amp;Table_Investimentos_Porcent[[#This Row],[Nome]],Table_Investimentos_Main[Data]&amp;Table_Investimentos_Main[Nome],Table_Investimentos_Main[Cotação Dolar],"NOT FOUND")</f>
        <v>4833.3619213101665</v>
      </c>
      <c r="O31" s="3"/>
      <c r="V31" s="5"/>
      <c r="W31" s="5"/>
    </row>
    <row r="32" spans="2:23" x14ac:dyDescent="0.2">
      <c r="B32" s="8">
        <v>45078</v>
      </c>
      <c r="C32" s="34" t="s">
        <v>15</v>
      </c>
      <c r="D32" s="5" t="s">
        <v>17</v>
      </c>
      <c r="E32" s="5"/>
      <c r="F32" s="5"/>
      <c r="G32" s="5" cm="1">
        <f t="array" ref="G32">_xlfn.XLOOKUP(Table_Investimentos_Porcent[[#This Row],[Data]]&amp;Table_Investimentos_Porcent[[#This Row],[Nome]],Table_Investimentos_Main[Data]&amp;Table_Investimentos_Main[Nome],Table_Investimentos_Main[Estratégia],"NOT FOUND")</f>
        <v>0</v>
      </c>
      <c r="H32" s="5" t="str" cm="1">
        <f t="array" ref="H32">_xlfn.XLOOKUP(Table_Investimentos_Porcent[[#This Row],[Data]]&amp;Table_Investimentos_Porcent[[#This Row],[Nome]],Table_Investimentos_Main[Data]&amp;Table_Investimentos_Main[Nome],Table_Investimentos_Main[Moeda Base],"NOT FOUND")</f>
        <v>BRL</v>
      </c>
      <c r="I32" s="69">
        <v>1</v>
      </c>
      <c r="J32" s="18" cm="1">
        <f t="array" ref="J32">Table_Investimentos_Porcent[[#This Row],[Porcentagem]]*_xlfn.XLOOKUP(Table_Investimentos_Porcent[[#This Row],[Data]]&amp;Table_Investimentos_Porcent[[#This Row],[Nome]],Table_Investimentos_Main[Data]&amp;Table_Investimentos_Main[Nome],Table_Investimentos_Main[Total (R$)],"NOT FOUND")</f>
        <v>3698.14</v>
      </c>
      <c r="K32" s="80" cm="1">
        <f t="array" ref="K32">Table_Investimentos_Porcent[[#This Row],[Total (R$)]]/_xlfn.XLOOKUP(Table_Investimentos_Porcent[[#This Row],[Data]]&amp;Table_Investimentos_Porcent[[#This Row],[Nome]],Table_Investimentos_Main[Data]&amp;Table_Investimentos_Main[Nome],Table_Investimentos_Main[Cotação Dolar],"NOT FOUND")</f>
        <v>738.59396844417813</v>
      </c>
      <c r="O32" s="3"/>
      <c r="V32" s="5"/>
      <c r="W32" s="5"/>
    </row>
    <row r="33" spans="2:23" x14ac:dyDescent="0.2">
      <c r="B33" s="8">
        <v>45078</v>
      </c>
      <c r="C33" s="34" t="s">
        <v>18</v>
      </c>
      <c r="D33" s="5" t="s">
        <v>20</v>
      </c>
      <c r="E33" s="5"/>
      <c r="F33" s="5"/>
      <c r="G33" s="5" cm="1">
        <f t="array" ref="G33">_xlfn.XLOOKUP(Table_Investimentos_Porcent[[#This Row],[Data]]&amp;Table_Investimentos_Porcent[[#This Row],[Nome]],Table_Investimentos_Main[Data]&amp;Table_Investimentos_Main[Nome],Table_Investimentos_Main[Estratégia],"NOT FOUND")</f>
        <v>0</v>
      </c>
      <c r="H33" s="5" t="str" cm="1">
        <f t="array" ref="H33">_xlfn.XLOOKUP(Table_Investimentos_Porcent[[#This Row],[Data]]&amp;Table_Investimentos_Porcent[[#This Row],[Nome]],Table_Investimentos_Main[Data]&amp;Table_Investimentos_Main[Nome],Table_Investimentos_Main[Moeda Base],"NOT FOUND")</f>
        <v>BRL</v>
      </c>
      <c r="I33" s="69">
        <v>1</v>
      </c>
      <c r="J33" s="18" cm="1">
        <f t="array" ref="J33">Table_Investimentos_Porcent[[#This Row],[Porcentagem]]*_xlfn.XLOOKUP(Table_Investimentos_Porcent[[#This Row],[Data]]&amp;Table_Investimentos_Porcent[[#This Row],[Nome]],Table_Investimentos_Main[Data]&amp;Table_Investimentos_Main[Nome],Table_Investimentos_Main[Total (R$)],"NOT FOUND")</f>
        <v>20017.71</v>
      </c>
      <c r="K33" s="80" cm="1">
        <f t="array" ref="K33">Table_Investimentos_Porcent[[#This Row],[Total (R$)]]/_xlfn.XLOOKUP(Table_Investimentos_Porcent[[#This Row],[Data]]&amp;Table_Investimentos_Porcent[[#This Row],[Nome]],Table_Investimentos_Main[Data]&amp;Table_Investimentos_Main[Nome],Table_Investimentos_Main[Cotação Dolar],"NOT FOUND")</f>
        <v>3997.9448771719594</v>
      </c>
      <c r="O33" s="3"/>
      <c r="V33" s="5"/>
      <c r="W33" s="5"/>
    </row>
    <row r="34" spans="2:23" x14ac:dyDescent="0.2">
      <c r="B34" s="8">
        <v>45078</v>
      </c>
      <c r="C34" s="34" t="s">
        <v>21</v>
      </c>
      <c r="D34" s="5" t="s">
        <v>23</v>
      </c>
      <c r="E34" s="5"/>
      <c r="F34" s="5"/>
      <c r="G34" s="5" cm="1">
        <f t="array" ref="G34">_xlfn.XLOOKUP(Table_Investimentos_Porcent[[#This Row],[Data]]&amp;Table_Investimentos_Porcent[[#This Row],[Nome]],Table_Investimentos_Main[Data]&amp;Table_Investimentos_Main[Nome],Table_Investimentos_Main[Estratégia],"NOT FOUND")</f>
        <v>0</v>
      </c>
      <c r="H34" s="5" t="str" cm="1">
        <f t="array" ref="H34">_xlfn.XLOOKUP(Table_Investimentos_Porcent[[#This Row],[Data]]&amp;Table_Investimentos_Porcent[[#This Row],[Nome]],Table_Investimentos_Main[Data]&amp;Table_Investimentos_Main[Nome],Table_Investimentos_Main[Moeda Base],"NOT FOUND")</f>
        <v>USD</v>
      </c>
      <c r="I34" s="69">
        <v>1</v>
      </c>
      <c r="J34" s="18" cm="1">
        <f t="array" ref="J34">Table_Investimentos_Porcent[[#This Row],[Porcentagem]]*_xlfn.XLOOKUP(Table_Investimentos_Porcent[[#This Row],[Data]]&amp;Table_Investimentos_Porcent[[#This Row],[Nome]],Table_Investimentos_Main[Data]&amp;Table_Investimentos_Main[Nome],Table_Investimentos_Main[Total (R$)],"NOT FOUND")</f>
        <v>5017.0140000000001</v>
      </c>
      <c r="K34" s="80" cm="1">
        <f t="array" ref="K34">Table_Investimentos_Porcent[[#This Row],[Total (R$)]]/_xlfn.XLOOKUP(Table_Investimentos_Porcent[[#This Row],[Data]]&amp;Table_Investimentos_Porcent[[#This Row],[Nome]],Table_Investimentos_Main[Data]&amp;Table_Investimentos_Main[Nome],Table_Investimentos_Main[Cotação Dolar],"NOT FOUND")</f>
        <v>1002.0000000000001</v>
      </c>
      <c r="O34" s="3"/>
      <c r="V34" s="5"/>
      <c r="W34" s="5"/>
    </row>
    <row r="35" spans="2:23" x14ac:dyDescent="0.2">
      <c r="B35" s="8">
        <v>45078</v>
      </c>
      <c r="C35" s="34" t="s">
        <v>25</v>
      </c>
      <c r="D35" s="5" t="s">
        <v>23</v>
      </c>
      <c r="E35" s="5"/>
      <c r="F35" s="5"/>
      <c r="G35" s="5" cm="1">
        <f t="array" ref="G35">_xlfn.XLOOKUP(Table_Investimentos_Porcent[[#This Row],[Data]]&amp;Table_Investimentos_Porcent[[#This Row],[Nome]],Table_Investimentos_Main[Data]&amp;Table_Investimentos_Main[Nome],Table_Investimentos_Main[Estratégia],"NOT FOUND")</f>
        <v>0</v>
      </c>
      <c r="H35" s="5" t="str" cm="1">
        <f t="array" ref="H35">_xlfn.XLOOKUP(Table_Investimentos_Porcent[[#This Row],[Data]]&amp;Table_Investimentos_Porcent[[#This Row],[Nome]],Table_Investimentos_Main[Data]&amp;Table_Investimentos_Main[Nome],Table_Investimentos_Main[Moeda Base],"NOT FOUND")</f>
        <v>USD</v>
      </c>
      <c r="I35" s="69">
        <v>1</v>
      </c>
      <c r="J35" s="18" cm="1">
        <f t="array" ref="J35">Table_Investimentos_Porcent[[#This Row],[Porcentagem]]*_xlfn.XLOOKUP(Table_Investimentos_Porcent[[#This Row],[Data]]&amp;Table_Investimentos_Porcent[[#This Row],[Nome]],Table_Investimentos_Main[Data]&amp;Table_Investimentos_Main[Nome],Table_Investimentos_Main[Total (R$)],"NOT FOUND")</f>
        <v>12652.688999999998</v>
      </c>
      <c r="K35" s="80" cm="1">
        <f t="array" ref="K35">Table_Investimentos_Porcent[[#This Row],[Total (R$)]]/_xlfn.XLOOKUP(Table_Investimentos_Porcent[[#This Row],[Data]]&amp;Table_Investimentos_Porcent[[#This Row],[Nome]],Table_Investimentos_Main[Data]&amp;Table_Investimentos_Main[Nome],Table_Investimentos_Main[Cotação Dolar],"NOT FOUND")</f>
        <v>2527</v>
      </c>
      <c r="O35" s="3"/>
      <c r="P35" s="3"/>
      <c r="Q35" s="3"/>
      <c r="V35" s="5"/>
      <c r="W35" s="5"/>
    </row>
    <row r="36" spans="2:23" x14ac:dyDescent="0.2">
      <c r="B36" s="8">
        <v>45078</v>
      </c>
      <c r="C36" s="34" t="s">
        <v>26</v>
      </c>
      <c r="D36" s="5" t="s">
        <v>23</v>
      </c>
      <c r="E36" s="5"/>
      <c r="F36" s="5"/>
      <c r="G36" s="5" cm="1">
        <f t="array" ref="G36">_xlfn.XLOOKUP(Table_Investimentos_Porcent[[#This Row],[Data]]&amp;Table_Investimentos_Porcent[[#This Row],[Nome]],Table_Investimentos_Main[Data]&amp;Table_Investimentos_Main[Nome],Table_Investimentos_Main[Estratégia],"NOT FOUND")</f>
        <v>0</v>
      </c>
      <c r="H36" s="5" t="str" cm="1">
        <f t="array" ref="H36">_xlfn.XLOOKUP(Table_Investimentos_Porcent[[#This Row],[Data]]&amp;Table_Investimentos_Porcent[[#This Row],[Nome]],Table_Investimentos_Main[Data]&amp;Table_Investimentos_Main[Nome],Table_Investimentos_Main[Moeda Base],"NOT FOUND")</f>
        <v>USD</v>
      </c>
      <c r="I36" s="69">
        <v>1</v>
      </c>
      <c r="J36" s="18" cm="1">
        <f t="array" ref="J36">Table_Investimentos_Porcent[[#This Row],[Porcentagem]]*_xlfn.XLOOKUP(Table_Investimentos_Porcent[[#This Row],[Data]]&amp;Table_Investimentos_Porcent[[#This Row],[Nome]],Table_Investimentos_Main[Data]&amp;Table_Investimentos_Main[Nome],Table_Investimentos_Main[Total (R$)],"NOT FOUND")</f>
        <v>499.64852999999999</v>
      </c>
      <c r="K36" s="80" cm="1">
        <f t="array" ref="K36">Table_Investimentos_Porcent[[#This Row],[Total (R$)]]/_xlfn.XLOOKUP(Table_Investimentos_Porcent[[#This Row],[Data]]&amp;Table_Investimentos_Porcent[[#This Row],[Nome]],Table_Investimentos_Main[Data]&amp;Table_Investimentos_Main[Nome],Table_Investimentos_Main[Cotação Dolar],"NOT FOUND")</f>
        <v>99.79</v>
      </c>
      <c r="O36" s="3"/>
      <c r="P36" s="3"/>
      <c r="Q36" s="3"/>
      <c r="V36" s="5"/>
      <c r="W36" s="5"/>
    </row>
    <row r="37" spans="2:23" x14ac:dyDescent="0.2">
      <c r="B37" s="8">
        <v>45108</v>
      </c>
      <c r="C37" s="34" t="s">
        <v>11</v>
      </c>
      <c r="D37" s="5" t="s">
        <v>13</v>
      </c>
      <c r="E37" s="5"/>
      <c r="F37" s="5"/>
      <c r="G37" s="5" cm="1">
        <f t="array" ref="G37">_xlfn.XLOOKUP(Table_Investimentos_Porcent[[#This Row],[Data]]&amp;Table_Investimentos_Porcent[[#This Row],[Nome]],Table_Investimentos_Main[Data]&amp;Table_Investimentos_Main[Nome],Table_Investimentos_Main[Estratégia],"NOT FOUND")</f>
        <v>0</v>
      </c>
      <c r="H37" s="5" t="str" cm="1">
        <f t="array" ref="H37">_xlfn.XLOOKUP(Table_Investimentos_Porcent[[#This Row],[Data]]&amp;Table_Investimentos_Porcent[[#This Row],[Nome]],Table_Investimentos_Main[Data]&amp;Table_Investimentos_Main[Nome],Table_Investimentos_Main[Moeda Base],"NOT FOUND")</f>
        <v>BTC</v>
      </c>
      <c r="I37" s="69">
        <v>1</v>
      </c>
      <c r="J37" s="18" cm="1">
        <f t="array" ref="J37">Table_Investimentos_Porcent[[#This Row],[Porcentagem]]*_xlfn.XLOOKUP(Table_Investimentos_Porcent[[#This Row],[Data]]&amp;Table_Investimentos_Porcent[[#This Row],[Nome]],Table_Investimentos_Main[Data]&amp;Table_Investimentos_Main[Nome],Table_Investimentos_Main[Total (R$)],"NOT FOUND")</f>
        <v>27125.324157899999</v>
      </c>
      <c r="K37" s="80" cm="1">
        <f t="array" ref="K37">Table_Investimentos_Porcent[[#This Row],[Total (R$)]]/_xlfn.XLOOKUP(Table_Investimentos_Porcent[[#This Row],[Data]]&amp;Table_Investimentos_Porcent[[#This Row],[Nome]],Table_Investimentos_Main[Data]&amp;Table_Investimentos_Main[Nome],Table_Investimentos_Main[Cotação Dolar],"NOT FOUND")</f>
        <v>5547.1010547852766</v>
      </c>
      <c r="O37" s="3"/>
      <c r="P37" s="3"/>
      <c r="Q37" s="3"/>
      <c r="V37" s="5"/>
      <c r="W37" s="5"/>
    </row>
    <row r="38" spans="2:23" x14ac:dyDescent="0.2">
      <c r="B38" s="8">
        <v>45108</v>
      </c>
      <c r="C38" s="34" t="s">
        <v>15</v>
      </c>
      <c r="D38" s="5" t="s">
        <v>17</v>
      </c>
      <c r="E38" s="5"/>
      <c r="F38" s="5"/>
      <c r="G38" s="5" cm="1">
        <f t="array" ref="G38">_xlfn.XLOOKUP(Table_Investimentos_Porcent[[#This Row],[Data]]&amp;Table_Investimentos_Porcent[[#This Row],[Nome]],Table_Investimentos_Main[Data]&amp;Table_Investimentos_Main[Nome],Table_Investimentos_Main[Estratégia],"NOT FOUND")</f>
        <v>0</v>
      </c>
      <c r="H38" s="5" t="str" cm="1">
        <f t="array" ref="H38">_xlfn.XLOOKUP(Table_Investimentos_Porcent[[#This Row],[Data]]&amp;Table_Investimentos_Porcent[[#This Row],[Nome]],Table_Investimentos_Main[Data]&amp;Table_Investimentos_Main[Nome],Table_Investimentos_Main[Moeda Base],"NOT FOUND")</f>
        <v>BRL</v>
      </c>
      <c r="I38" s="69">
        <v>1</v>
      </c>
      <c r="J38" s="18" cm="1">
        <f t="array" ref="J38">Table_Investimentos_Porcent[[#This Row],[Porcentagem]]*_xlfn.XLOOKUP(Table_Investimentos_Porcent[[#This Row],[Data]]&amp;Table_Investimentos_Porcent[[#This Row],[Nome]],Table_Investimentos_Main[Data]&amp;Table_Investimentos_Main[Nome],Table_Investimentos_Main[Total (R$)],"NOT FOUND")</f>
        <v>4238.83</v>
      </c>
      <c r="K38" s="80" cm="1">
        <f t="array" ref="K38">Table_Investimentos_Porcent[[#This Row],[Total (R$)]]/_xlfn.XLOOKUP(Table_Investimentos_Porcent[[#This Row],[Data]]&amp;Table_Investimentos_Porcent[[#This Row],[Nome]],Table_Investimentos_Main[Data]&amp;Table_Investimentos_Main[Nome],Table_Investimentos_Main[Cotação Dolar],"NOT FOUND")</f>
        <v>866.83640081799592</v>
      </c>
      <c r="O38" s="3"/>
      <c r="P38" s="3"/>
      <c r="Q38" s="3"/>
      <c r="V38" s="5"/>
      <c r="W38" s="5"/>
    </row>
    <row r="39" spans="2:23" x14ac:dyDescent="0.2">
      <c r="B39" s="8">
        <v>45108</v>
      </c>
      <c r="C39" s="34" t="s">
        <v>18</v>
      </c>
      <c r="D39" s="5" t="s">
        <v>20</v>
      </c>
      <c r="E39" s="5"/>
      <c r="F39" s="5"/>
      <c r="G39" s="5" cm="1">
        <f t="array" ref="G39">_xlfn.XLOOKUP(Table_Investimentos_Porcent[[#This Row],[Data]]&amp;Table_Investimentos_Porcent[[#This Row],[Nome]],Table_Investimentos_Main[Data]&amp;Table_Investimentos_Main[Nome],Table_Investimentos_Main[Estratégia],"NOT FOUND")</f>
        <v>0</v>
      </c>
      <c r="H39" s="5" t="str" cm="1">
        <f t="array" ref="H39">_xlfn.XLOOKUP(Table_Investimentos_Porcent[[#This Row],[Data]]&amp;Table_Investimentos_Porcent[[#This Row],[Nome]],Table_Investimentos_Main[Data]&amp;Table_Investimentos_Main[Nome],Table_Investimentos_Main[Moeda Base],"NOT FOUND")</f>
        <v>BRL</v>
      </c>
      <c r="I39" s="69">
        <v>1</v>
      </c>
      <c r="J39" s="18" cm="1">
        <f t="array" ref="J39">Table_Investimentos_Porcent[[#This Row],[Porcentagem]]*_xlfn.XLOOKUP(Table_Investimentos_Porcent[[#This Row],[Data]]&amp;Table_Investimentos_Porcent[[#This Row],[Nome]],Table_Investimentos_Main[Data]&amp;Table_Investimentos_Main[Nome],Table_Investimentos_Main[Total (R$)],"NOT FOUND")</f>
        <v>20277.349999999999</v>
      </c>
      <c r="K39" s="80" cm="1">
        <f t="array" ref="K39">Table_Investimentos_Porcent[[#This Row],[Total (R$)]]/_xlfn.XLOOKUP(Table_Investimentos_Porcent[[#This Row],[Data]]&amp;Table_Investimentos_Porcent[[#This Row],[Nome]],Table_Investimentos_Main[Data]&amp;Table_Investimentos_Main[Nome],Table_Investimentos_Main[Cotação Dolar],"NOT FOUND")</f>
        <v>4146.6973415132925</v>
      </c>
      <c r="O39" s="3"/>
      <c r="P39" s="3"/>
      <c r="Q39" s="3"/>
      <c r="V39" s="5"/>
      <c r="W39" s="5"/>
    </row>
    <row r="40" spans="2:23" x14ac:dyDescent="0.2">
      <c r="B40" s="8">
        <v>45108</v>
      </c>
      <c r="C40" s="34" t="s">
        <v>21</v>
      </c>
      <c r="D40" s="5" t="s">
        <v>17</v>
      </c>
      <c r="E40" s="5"/>
      <c r="F40" s="5"/>
      <c r="G40" s="5" cm="1">
        <f t="array" ref="G40">_xlfn.XLOOKUP(Table_Investimentos_Porcent[[#This Row],[Data]]&amp;Table_Investimentos_Porcent[[#This Row],[Nome]],Table_Investimentos_Main[Data]&amp;Table_Investimentos_Main[Nome],Table_Investimentos_Main[Estratégia],"NOT FOUND")</f>
        <v>0</v>
      </c>
      <c r="H40" s="5" t="str" cm="1">
        <f t="array" ref="H40">_xlfn.XLOOKUP(Table_Investimentos_Porcent[[#This Row],[Data]]&amp;Table_Investimentos_Porcent[[#This Row],[Nome]],Table_Investimentos_Main[Data]&amp;Table_Investimentos_Main[Nome],Table_Investimentos_Main[Moeda Base],"NOT FOUND")</f>
        <v>USD</v>
      </c>
      <c r="I40" s="69">
        <v>1</v>
      </c>
      <c r="J40" s="18" cm="1">
        <f t="array" ref="J40">Table_Investimentos_Porcent[[#This Row],[Porcentagem]]*_xlfn.XLOOKUP(Table_Investimentos_Porcent[[#This Row],[Data]]&amp;Table_Investimentos_Porcent[[#This Row],[Nome]],Table_Investimentos_Main[Data]&amp;Table_Investimentos_Main[Nome],Table_Investimentos_Main[Total (R$)],"NOT FOUND")</f>
        <v>4934.0099999999993</v>
      </c>
      <c r="K40" s="80" cm="1">
        <f t="array" ref="K40">Table_Investimentos_Porcent[[#This Row],[Total (R$)]]/_xlfn.XLOOKUP(Table_Investimentos_Porcent[[#This Row],[Data]]&amp;Table_Investimentos_Porcent[[#This Row],[Nome]],Table_Investimentos_Main[Data]&amp;Table_Investimentos_Main[Nome],Table_Investimentos_Main[Cotação Dolar],"NOT FOUND")</f>
        <v>1008.9999999999999</v>
      </c>
      <c r="O40" s="3"/>
      <c r="P40" s="3"/>
      <c r="Q40" s="3"/>
      <c r="V40" s="5"/>
      <c r="W40" s="5"/>
    </row>
    <row r="41" spans="2:23" x14ac:dyDescent="0.2">
      <c r="B41" s="8">
        <v>45108</v>
      </c>
      <c r="C41" s="34" t="s">
        <v>25</v>
      </c>
      <c r="D41" s="5" t="s">
        <v>17</v>
      </c>
      <c r="E41" s="5"/>
      <c r="F41" s="5"/>
      <c r="G41" s="5" cm="1">
        <f t="array" ref="G41">_xlfn.XLOOKUP(Table_Investimentos_Porcent[[#This Row],[Data]]&amp;Table_Investimentos_Porcent[[#This Row],[Nome]],Table_Investimentos_Main[Data]&amp;Table_Investimentos_Main[Nome],Table_Investimentos_Main[Estratégia],"NOT FOUND")</f>
        <v>0</v>
      </c>
      <c r="H41" s="5" t="str" cm="1">
        <f t="array" ref="H41">_xlfn.XLOOKUP(Table_Investimentos_Porcent[[#This Row],[Data]]&amp;Table_Investimentos_Porcent[[#This Row],[Nome]],Table_Investimentos_Main[Data]&amp;Table_Investimentos_Main[Nome],Table_Investimentos_Main[Moeda Base],"NOT FOUND")</f>
        <v>USD</v>
      </c>
      <c r="I41" s="69">
        <v>1</v>
      </c>
      <c r="J41" s="18" cm="1">
        <f t="array" ref="J41">Table_Investimentos_Porcent[[#This Row],[Porcentagem]]*_xlfn.XLOOKUP(Table_Investimentos_Porcent[[#This Row],[Data]]&amp;Table_Investimentos_Porcent[[#This Row],[Nome]],Table_Investimentos_Main[Data]&amp;Table_Investimentos_Main[Nome],Table_Investimentos_Main[Total (R$)],"NOT FOUND")</f>
        <v>12366.81</v>
      </c>
      <c r="K41" s="80" cm="1">
        <f t="array" ref="K41">Table_Investimentos_Porcent[[#This Row],[Total (R$)]]/_xlfn.XLOOKUP(Table_Investimentos_Porcent[[#This Row],[Data]]&amp;Table_Investimentos_Porcent[[#This Row],[Nome]],Table_Investimentos_Main[Data]&amp;Table_Investimentos_Main[Nome],Table_Investimentos_Main[Cotação Dolar],"NOT FOUND")</f>
        <v>2529</v>
      </c>
      <c r="O41" s="3"/>
      <c r="P41" s="3"/>
      <c r="Q41" s="3"/>
      <c r="V41" s="5"/>
      <c r="W41" s="5"/>
    </row>
    <row r="42" spans="2:23" x14ac:dyDescent="0.2">
      <c r="B42" s="8">
        <v>45108</v>
      </c>
      <c r="C42" s="34" t="s">
        <v>26</v>
      </c>
      <c r="D42" s="5" t="s">
        <v>17</v>
      </c>
      <c r="E42" s="5"/>
      <c r="F42" s="5"/>
      <c r="G42" s="5" cm="1">
        <f t="array" ref="G42">_xlfn.XLOOKUP(Table_Investimentos_Porcent[[#This Row],[Data]]&amp;Table_Investimentos_Porcent[[#This Row],[Nome]],Table_Investimentos_Main[Data]&amp;Table_Investimentos_Main[Nome],Table_Investimentos_Main[Estratégia],"NOT FOUND")</f>
        <v>0</v>
      </c>
      <c r="H42" s="5" t="str" cm="1">
        <f t="array" ref="H42">_xlfn.XLOOKUP(Table_Investimentos_Porcent[[#This Row],[Data]]&amp;Table_Investimentos_Porcent[[#This Row],[Nome]],Table_Investimentos_Main[Data]&amp;Table_Investimentos_Main[Nome],Table_Investimentos_Main[Moeda Base],"NOT FOUND")</f>
        <v>USD</v>
      </c>
      <c r="I42" s="69">
        <v>1</v>
      </c>
      <c r="J42" s="18" cm="1">
        <f t="array" ref="J42">Table_Investimentos_Porcent[[#This Row],[Porcentagem]]*_xlfn.XLOOKUP(Table_Investimentos_Porcent[[#This Row],[Data]]&amp;Table_Investimentos_Porcent[[#This Row],[Nome]],Table_Investimentos_Main[Data]&amp;Table_Investimentos_Main[Nome],Table_Investimentos_Main[Total (R$)],"NOT FOUND")</f>
        <v>487.97309999999999</v>
      </c>
      <c r="K42" s="80" cm="1">
        <f t="array" ref="K42">Table_Investimentos_Porcent[[#This Row],[Total (R$)]]/_xlfn.XLOOKUP(Table_Investimentos_Porcent[[#This Row],[Data]]&amp;Table_Investimentos_Porcent[[#This Row],[Nome]],Table_Investimentos_Main[Data]&amp;Table_Investimentos_Main[Nome],Table_Investimentos_Main[Cotação Dolar],"NOT FOUND")</f>
        <v>99.79</v>
      </c>
      <c r="O42" s="3"/>
      <c r="P42" s="3"/>
      <c r="Q42" s="3"/>
      <c r="V42" s="5"/>
      <c r="W42" s="5"/>
    </row>
    <row r="43" spans="2:23" x14ac:dyDescent="0.2">
      <c r="B43" s="8">
        <v>45200</v>
      </c>
      <c r="C43" s="34" t="s">
        <v>11</v>
      </c>
      <c r="D43" s="5" t="s">
        <v>13</v>
      </c>
      <c r="E43" s="5"/>
      <c r="F43" s="5"/>
      <c r="G43" s="5" cm="1">
        <f t="array" ref="G43">_xlfn.XLOOKUP(Table_Investimentos_Porcent[[#This Row],[Data]]&amp;Table_Investimentos_Porcent[[#This Row],[Nome]],Table_Investimentos_Main[Data]&amp;Table_Investimentos_Main[Nome],Table_Investimentos_Main[Estratégia],"NOT FOUND")</f>
        <v>0</v>
      </c>
      <c r="H43" s="5" t="str" cm="1">
        <f t="array" ref="H43">_xlfn.XLOOKUP(Table_Investimentos_Porcent[[#This Row],[Data]]&amp;Table_Investimentos_Porcent[[#This Row],[Nome]],Table_Investimentos_Main[Data]&amp;Table_Investimentos_Main[Nome],Table_Investimentos_Main[Moeda Base],"NOT FOUND")</f>
        <v>BTC</v>
      </c>
      <c r="I43" s="69">
        <v>1</v>
      </c>
      <c r="J43" s="18" cm="1">
        <f t="array" ref="J43">Table_Investimentos_Porcent[[#This Row],[Porcentagem]]*_xlfn.XLOOKUP(Table_Investimentos_Porcent[[#This Row],[Data]]&amp;Table_Investimentos_Porcent[[#This Row],[Nome]],Table_Investimentos_Main[Data]&amp;Table_Investimentos_Main[Nome],Table_Investimentos_Main[Total (R$)],"NOT FOUND")</f>
        <v>3042.2597491791998</v>
      </c>
      <c r="K43" s="80" cm="1">
        <f t="array" ref="K43">Table_Investimentos_Porcent[[#This Row],[Total (R$)]]/_xlfn.XLOOKUP(Table_Investimentos_Porcent[[#This Row],[Data]]&amp;Table_Investimentos_Porcent[[#This Row],[Nome]],Table_Investimentos_Main[Data]&amp;Table_Investimentos_Main[Nome],Table_Investimentos_Main[Cotação Dolar],"NOT FOUND")</f>
        <v>602.42767310479212</v>
      </c>
      <c r="O43" s="3"/>
      <c r="P43" s="3"/>
      <c r="Q43" s="3"/>
      <c r="V43" s="5"/>
      <c r="W43" s="5"/>
    </row>
    <row r="44" spans="2:23" x14ac:dyDescent="0.2">
      <c r="B44" s="8">
        <v>45200</v>
      </c>
      <c r="C44" s="34" t="s">
        <v>11</v>
      </c>
      <c r="D44" s="5" t="s">
        <v>13</v>
      </c>
      <c r="E44" s="5"/>
      <c r="F44" s="5"/>
      <c r="G44" s="5" cm="1">
        <f t="array" ref="G44">_xlfn.XLOOKUP(Table_Investimentos_Porcent[[#This Row],[Data]]&amp;Table_Investimentos_Porcent[[#This Row],[Nome]],Table_Investimentos_Main[Data]&amp;Table_Investimentos_Main[Nome],Table_Investimentos_Main[Estratégia],"NOT FOUND")</f>
        <v>0</v>
      </c>
      <c r="H44" s="5" t="str" cm="1">
        <f t="array" ref="H44">_xlfn.XLOOKUP(Table_Investimentos_Porcent[[#This Row],[Data]]&amp;Table_Investimentos_Porcent[[#This Row],[Nome]],Table_Investimentos_Main[Data]&amp;Table_Investimentos_Main[Nome],Table_Investimentos_Main[Moeda Base],"NOT FOUND")</f>
        <v>BTC</v>
      </c>
      <c r="I44" s="69">
        <v>1</v>
      </c>
      <c r="J44" s="18" cm="1">
        <f t="array" ref="J44">Table_Investimentos_Porcent[[#This Row],[Porcentagem]]*_xlfn.XLOOKUP(Table_Investimentos_Porcent[[#This Row],[Data]]&amp;Table_Investimentos_Porcent[[#This Row],[Nome]],Table_Investimentos_Main[Data]&amp;Table_Investimentos_Main[Nome],Table_Investimentos_Main[Total (R$)],"NOT FOUND")</f>
        <v>3042.2597491791998</v>
      </c>
      <c r="K44" s="80" cm="1">
        <f t="array" ref="K44">Table_Investimentos_Porcent[[#This Row],[Total (R$)]]/_xlfn.XLOOKUP(Table_Investimentos_Porcent[[#This Row],[Data]]&amp;Table_Investimentos_Porcent[[#This Row],[Nome]],Table_Investimentos_Main[Data]&amp;Table_Investimentos_Main[Nome],Table_Investimentos_Main[Cotação Dolar],"NOT FOUND")</f>
        <v>602.42767310479212</v>
      </c>
      <c r="O44" s="3"/>
      <c r="P44" s="3"/>
      <c r="Q44" s="3"/>
      <c r="V44" s="5"/>
      <c r="W44" s="5"/>
    </row>
    <row r="45" spans="2:23" x14ac:dyDescent="0.2">
      <c r="B45" s="8">
        <v>45200</v>
      </c>
      <c r="C45" s="34" t="s">
        <v>27</v>
      </c>
      <c r="D45" s="5" t="s">
        <v>17</v>
      </c>
      <c r="E45" s="5"/>
      <c r="F45" s="5"/>
      <c r="G45" s="5" cm="1">
        <f t="array" ref="G45">_xlfn.XLOOKUP(Table_Investimentos_Porcent[[#This Row],[Data]]&amp;Table_Investimentos_Porcent[[#This Row],[Nome]],Table_Investimentos_Main[Data]&amp;Table_Investimentos_Main[Nome],Table_Investimentos_Main[Estratégia],"NOT FOUND")</f>
        <v>0</v>
      </c>
      <c r="H45" s="5" t="str" cm="1">
        <f t="array" ref="H45">_xlfn.XLOOKUP(Table_Investimentos_Porcent[[#This Row],[Data]]&amp;Table_Investimentos_Porcent[[#This Row],[Nome]],Table_Investimentos_Main[Data]&amp;Table_Investimentos_Main[Nome],Table_Investimentos_Main[Moeda Base],"NOT FOUND")</f>
        <v>BRL</v>
      </c>
      <c r="I45" s="69">
        <v>1</v>
      </c>
      <c r="J45" s="18" cm="1">
        <f t="array" ref="J45">Table_Investimentos_Porcent[[#This Row],[Porcentagem]]*_xlfn.XLOOKUP(Table_Investimentos_Porcent[[#This Row],[Data]]&amp;Table_Investimentos_Porcent[[#This Row],[Nome]],Table_Investimentos_Main[Data]&amp;Table_Investimentos_Main[Nome],Table_Investimentos_Main[Total (R$)],"NOT FOUND")</f>
        <v>5573.41</v>
      </c>
      <c r="K45" s="80" cm="1">
        <f t="array" ref="K45">Table_Investimentos_Porcent[[#This Row],[Total (R$)]]/_xlfn.XLOOKUP(Table_Investimentos_Porcent[[#This Row],[Data]]&amp;Table_Investimentos_Porcent[[#This Row],[Nome]],Table_Investimentos_Main[Data]&amp;Table_Investimentos_Main[Nome],Table_Investimentos_Main[Cotação Dolar],"NOT FOUND")</f>
        <v>1103.6455445544555</v>
      </c>
      <c r="O45" s="3"/>
      <c r="P45" s="3"/>
      <c r="Q45" s="3"/>
      <c r="V45" s="5"/>
      <c r="W45" s="5"/>
    </row>
    <row r="46" spans="2:23" x14ac:dyDescent="0.2">
      <c r="B46" s="8">
        <v>45200</v>
      </c>
      <c r="C46" s="34" t="s">
        <v>28</v>
      </c>
      <c r="D46" s="5" t="s">
        <v>17</v>
      </c>
      <c r="E46" s="5"/>
      <c r="F46" s="5"/>
      <c r="G46" s="5" cm="1">
        <f t="array" ref="G46">_xlfn.XLOOKUP(Table_Investimentos_Porcent[[#This Row],[Data]]&amp;Table_Investimentos_Porcent[[#This Row],[Nome]],Table_Investimentos_Main[Data]&amp;Table_Investimentos_Main[Nome],Table_Investimentos_Main[Estratégia],"NOT FOUND")</f>
        <v>0</v>
      </c>
      <c r="H46" s="5" t="str" cm="1">
        <f t="array" ref="H46">_xlfn.XLOOKUP(Table_Investimentos_Porcent[[#This Row],[Data]]&amp;Table_Investimentos_Porcent[[#This Row],[Nome]],Table_Investimentos_Main[Data]&amp;Table_Investimentos_Main[Nome],Table_Investimentos_Main[Moeda Base],"NOT FOUND")</f>
        <v>BRL</v>
      </c>
      <c r="I46" s="69">
        <v>1</v>
      </c>
      <c r="J46" s="18" cm="1">
        <f t="array" ref="J46">Table_Investimentos_Porcent[[#This Row],[Porcentagem]]*_xlfn.XLOOKUP(Table_Investimentos_Porcent[[#This Row],[Data]]&amp;Table_Investimentos_Porcent[[#This Row],[Nome]],Table_Investimentos_Main[Data]&amp;Table_Investimentos_Main[Nome],Table_Investimentos_Main[Total (R$)],"NOT FOUND")</f>
        <v>975</v>
      </c>
      <c r="K46" s="80" cm="1">
        <f t="array" ref="K46">Table_Investimentos_Porcent[[#This Row],[Total (R$)]]/_xlfn.XLOOKUP(Table_Investimentos_Porcent[[#This Row],[Data]]&amp;Table_Investimentos_Porcent[[#This Row],[Nome]],Table_Investimentos_Main[Data]&amp;Table_Investimentos_Main[Nome],Table_Investimentos_Main[Cotação Dolar],"NOT FOUND")</f>
        <v>193.06930693069307</v>
      </c>
      <c r="O46" s="3"/>
      <c r="P46" s="3"/>
      <c r="Q46" s="3"/>
      <c r="V46" s="5"/>
      <c r="W46" s="5"/>
    </row>
    <row r="47" spans="2:23" x14ac:dyDescent="0.2">
      <c r="B47" s="8">
        <v>45200</v>
      </c>
      <c r="C47" s="34" t="s">
        <v>29</v>
      </c>
      <c r="D47" s="5" t="s">
        <v>17</v>
      </c>
      <c r="E47" s="5"/>
      <c r="F47" s="5"/>
      <c r="G47" s="5" cm="1">
        <f t="array" ref="G47">_xlfn.XLOOKUP(Table_Investimentos_Porcent[[#This Row],[Data]]&amp;Table_Investimentos_Porcent[[#This Row],[Nome]],Table_Investimentos_Main[Data]&amp;Table_Investimentos_Main[Nome],Table_Investimentos_Main[Estratégia],"NOT FOUND")</f>
        <v>0</v>
      </c>
      <c r="H47" s="5" t="str" cm="1">
        <f t="array" ref="H47">_xlfn.XLOOKUP(Table_Investimentos_Porcent[[#This Row],[Data]]&amp;Table_Investimentos_Porcent[[#This Row],[Nome]],Table_Investimentos_Main[Data]&amp;Table_Investimentos_Main[Nome],Table_Investimentos_Main[Moeda Base],"NOT FOUND")</f>
        <v>BRL</v>
      </c>
      <c r="I47" s="69">
        <v>1</v>
      </c>
      <c r="J47" s="18" cm="1">
        <f t="array" ref="J47">Table_Investimentos_Porcent[[#This Row],[Porcentagem]]*_xlfn.XLOOKUP(Table_Investimentos_Porcent[[#This Row],[Data]]&amp;Table_Investimentos_Porcent[[#This Row],[Nome]],Table_Investimentos_Main[Data]&amp;Table_Investimentos_Main[Nome],Table_Investimentos_Main[Total (R$)],"NOT FOUND")</f>
        <v>2500</v>
      </c>
      <c r="K47" s="80" cm="1">
        <f t="array" ref="K47">Table_Investimentos_Porcent[[#This Row],[Total (R$)]]/_xlfn.XLOOKUP(Table_Investimentos_Porcent[[#This Row],[Data]]&amp;Table_Investimentos_Porcent[[#This Row],[Nome]],Table_Investimentos_Main[Data]&amp;Table_Investimentos_Main[Nome],Table_Investimentos_Main[Cotação Dolar],"NOT FOUND")</f>
        <v>495.04950495049508</v>
      </c>
      <c r="O47" s="3"/>
      <c r="P47" s="3"/>
      <c r="Q47" s="3"/>
      <c r="V47" s="5"/>
      <c r="W47" s="5"/>
    </row>
    <row r="48" spans="2:23" x14ac:dyDescent="0.2">
      <c r="B48" s="8">
        <v>45200</v>
      </c>
      <c r="C48" s="34" t="s">
        <v>30</v>
      </c>
      <c r="D48" s="5" t="s">
        <v>20</v>
      </c>
      <c r="E48" s="5"/>
      <c r="F48" s="5"/>
      <c r="G48" s="5" cm="1">
        <f t="array" ref="G48">_xlfn.XLOOKUP(Table_Investimentos_Porcent[[#This Row],[Data]]&amp;Table_Investimentos_Porcent[[#This Row],[Nome]],Table_Investimentos_Main[Data]&amp;Table_Investimentos_Main[Nome],Table_Investimentos_Main[Estratégia],"NOT FOUND")</f>
        <v>0</v>
      </c>
      <c r="H48" s="5" t="str" cm="1">
        <f t="array" ref="H48">_xlfn.XLOOKUP(Table_Investimentos_Porcent[[#This Row],[Data]]&amp;Table_Investimentos_Porcent[[#This Row],[Nome]],Table_Investimentos_Main[Data]&amp;Table_Investimentos_Main[Nome],Table_Investimentos_Main[Moeda Base],"NOT FOUND")</f>
        <v>BRL</v>
      </c>
      <c r="I48" s="69">
        <v>1</v>
      </c>
      <c r="J48" s="18" cm="1">
        <f t="array" ref="J48">Table_Investimentos_Porcent[[#This Row],[Porcentagem]]*_xlfn.XLOOKUP(Table_Investimentos_Porcent[[#This Row],[Data]]&amp;Table_Investimentos_Porcent[[#This Row],[Nome]],Table_Investimentos_Main[Data]&amp;Table_Investimentos_Main[Nome],Table_Investimentos_Main[Total (R$)],"NOT FOUND")</f>
        <v>15748.75</v>
      </c>
      <c r="K48" s="80" cm="1">
        <f t="array" ref="K48">Table_Investimentos_Porcent[[#This Row],[Total (R$)]]/_xlfn.XLOOKUP(Table_Investimentos_Porcent[[#This Row],[Data]]&amp;Table_Investimentos_Porcent[[#This Row],[Nome]],Table_Investimentos_Main[Data]&amp;Table_Investimentos_Main[Nome],Table_Investimentos_Main[Cotação Dolar],"NOT FOUND")</f>
        <v>3118.5643564356437</v>
      </c>
      <c r="O48" s="3"/>
      <c r="P48" s="3"/>
      <c r="Q48" s="3"/>
      <c r="V48" s="5"/>
      <c r="W48" s="5"/>
    </row>
    <row r="49" spans="2:23" x14ac:dyDescent="0.2">
      <c r="B49" s="8">
        <v>45200</v>
      </c>
      <c r="C49" s="34" t="s">
        <v>21</v>
      </c>
      <c r="D49" s="5" t="s">
        <v>17</v>
      </c>
      <c r="E49" s="5"/>
      <c r="F49" s="5"/>
      <c r="G49" s="5" cm="1">
        <f t="array" ref="G49">_xlfn.XLOOKUP(Table_Investimentos_Porcent[[#This Row],[Data]]&amp;Table_Investimentos_Porcent[[#This Row],[Nome]],Table_Investimentos_Main[Data]&amp;Table_Investimentos_Main[Nome],Table_Investimentos_Main[Estratégia],"NOT FOUND")</f>
        <v>0</v>
      </c>
      <c r="H49" s="5" t="str" cm="1">
        <f t="array" ref="H49">_xlfn.XLOOKUP(Table_Investimentos_Porcent[[#This Row],[Data]]&amp;Table_Investimentos_Porcent[[#This Row],[Nome]],Table_Investimentos_Main[Data]&amp;Table_Investimentos_Main[Nome],Table_Investimentos_Main[Moeda Base],"NOT FOUND")</f>
        <v>USD</v>
      </c>
      <c r="I49" s="69">
        <v>1</v>
      </c>
      <c r="J49" s="18" cm="1">
        <f t="array" ref="J49">Table_Investimentos_Porcent[[#This Row],[Porcentagem]]*_xlfn.XLOOKUP(Table_Investimentos_Porcent[[#This Row],[Data]]&amp;Table_Investimentos_Porcent[[#This Row],[Nome]],Table_Investimentos_Main[Data]&amp;Table_Investimentos_Main[Nome],Table_Investimentos_Main[Total (R$)],"NOT FOUND")</f>
        <v>5140.1424999999999</v>
      </c>
      <c r="K49" s="80" cm="1">
        <f t="array" ref="K49">Table_Investimentos_Porcent[[#This Row],[Total (R$)]]/_xlfn.XLOOKUP(Table_Investimentos_Porcent[[#This Row],[Data]]&amp;Table_Investimentos_Porcent[[#This Row],[Nome]],Table_Investimentos_Main[Data]&amp;Table_Investimentos_Main[Nome],Table_Investimentos_Main[Cotação Dolar],"NOT FOUND")</f>
        <v>1017.85</v>
      </c>
      <c r="O49" s="3"/>
      <c r="P49" s="3"/>
      <c r="Q49" s="3"/>
      <c r="V49" s="5"/>
      <c r="W49" s="5"/>
    </row>
    <row r="50" spans="2:23" x14ac:dyDescent="0.2">
      <c r="B50" s="8">
        <v>45200</v>
      </c>
      <c r="C50" s="34" t="s">
        <v>25</v>
      </c>
      <c r="D50" s="5" t="s">
        <v>17</v>
      </c>
      <c r="E50" s="5"/>
      <c r="F50" s="5"/>
      <c r="G50" s="5" cm="1">
        <f t="array" ref="G50">_xlfn.XLOOKUP(Table_Investimentos_Porcent[[#This Row],[Data]]&amp;Table_Investimentos_Porcent[[#This Row],[Nome]],Table_Investimentos_Main[Data]&amp;Table_Investimentos_Main[Nome],Table_Investimentos_Main[Estratégia],"NOT FOUND")</f>
        <v>0</v>
      </c>
      <c r="H50" s="5" t="str" cm="1">
        <f t="array" ref="H50">_xlfn.XLOOKUP(Table_Investimentos_Porcent[[#This Row],[Data]]&amp;Table_Investimentos_Porcent[[#This Row],[Nome]],Table_Investimentos_Main[Data]&amp;Table_Investimentos_Main[Nome],Table_Investimentos_Main[Moeda Base],"NOT FOUND")</f>
        <v>USD</v>
      </c>
      <c r="I50" s="69">
        <v>1</v>
      </c>
      <c r="J50" s="18" cm="1">
        <f t="array" ref="J50">Table_Investimentos_Porcent[[#This Row],[Porcentagem]]*_xlfn.XLOOKUP(Table_Investimentos_Porcent[[#This Row],[Data]]&amp;Table_Investimentos_Porcent[[#This Row],[Nome]],Table_Investimentos_Main[Data]&amp;Table_Investimentos_Main[Nome],Table_Investimentos_Main[Total (R$)],"NOT FOUND")</f>
        <v>12783.368</v>
      </c>
      <c r="K50" s="80" cm="1">
        <f t="array" ref="K50">Table_Investimentos_Porcent[[#This Row],[Total (R$)]]/_xlfn.XLOOKUP(Table_Investimentos_Porcent[[#This Row],[Data]]&amp;Table_Investimentos_Porcent[[#This Row],[Nome]],Table_Investimentos_Main[Data]&amp;Table_Investimentos_Main[Nome],Table_Investimentos_Main[Cotação Dolar],"NOT FOUND")</f>
        <v>2531.36</v>
      </c>
      <c r="O50" s="3"/>
      <c r="P50" s="3"/>
      <c r="Q50" s="3"/>
      <c r="V50" s="5"/>
      <c r="W50" s="5"/>
    </row>
    <row r="51" spans="2:23" x14ac:dyDescent="0.2">
      <c r="B51" s="8">
        <v>45200</v>
      </c>
      <c r="C51" s="34" t="s">
        <v>31</v>
      </c>
      <c r="D51" s="5" t="s">
        <v>17</v>
      </c>
      <c r="E51" s="5"/>
      <c r="F51" s="5"/>
      <c r="G51" s="5" cm="1">
        <f t="array" ref="G51">_xlfn.XLOOKUP(Table_Investimentos_Porcent[[#This Row],[Data]]&amp;Table_Investimentos_Porcent[[#This Row],[Nome]],Table_Investimentos_Main[Data]&amp;Table_Investimentos_Main[Nome],Table_Investimentos_Main[Estratégia],"NOT FOUND")</f>
        <v>0</v>
      </c>
      <c r="H51" s="5" t="str" cm="1">
        <f t="array" ref="H51">_xlfn.XLOOKUP(Table_Investimentos_Porcent[[#This Row],[Data]]&amp;Table_Investimentos_Porcent[[#This Row],[Nome]],Table_Investimentos_Main[Data]&amp;Table_Investimentos_Main[Nome],Table_Investimentos_Main[Moeda Base],"NOT FOUND")</f>
        <v>BRL</v>
      </c>
      <c r="I51" s="69">
        <v>1</v>
      </c>
      <c r="J51" s="18" cm="1">
        <f t="array" ref="J51">Table_Investimentos_Porcent[[#This Row],[Porcentagem]]*_xlfn.XLOOKUP(Table_Investimentos_Porcent[[#This Row],[Data]]&amp;Table_Investimentos_Porcent[[#This Row],[Nome]],Table_Investimentos_Main[Data]&amp;Table_Investimentos_Main[Nome],Table_Investimentos_Main[Total (R$)],"NOT FOUND")</f>
        <v>30.62</v>
      </c>
      <c r="K51" s="80" cm="1">
        <f t="array" ref="K51">Table_Investimentos_Porcent[[#This Row],[Total (R$)]]/_xlfn.XLOOKUP(Table_Investimentos_Porcent[[#This Row],[Data]]&amp;Table_Investimentos_Porcent[[#This Row],[Nome]],Table_Investimentos_Main[Data]&amp;Table_Investimentos_Main[Nome],Table_Investimentos_Main[Cotação Dolar],"NOT FOUND")</f>
        <v>6.0633663366336634</v>
      </c>
      <c r="O51" s="3"/>
      <c r="P51" s="3"/>
      <c r="Q51" s="3"/>
      <c r="V51" s="5"/>
      <c r="W51" s="5"/>
    </row>
    <row r="52" spans="2:23" x14ac:dyDescent="0.2">
      <c r="B52" s="8">
        <v>45200</v>
      </c>
      <c r="C52" s="34" t="s">
        <v>26</v>
      </c>
      <c r="D52" s="5" t="s">
        <v>17</v>
      </c>
      <c r="E52" s="5"/>
      <c r="F52" s="5"/>
      <c r="G52" s="5" cm="1">
        <f t="array" ref="G52">_xlfn.XLOOKUP(Table_Investimentos_Porcent[[#This Row],[Data]]&amp;Table_Investimentos_Porcent[[#This Row],[Nome]],Table_Investimentos_Main[Data]&amp;Table_Investimentos_Main[Nome],Table_Investimentos_Main[Estratégia],"NOT FOUND")</f>
        <v>0</v>
      </c>
      <c r="H52" s="5" t="str" cm="1">
        <f t="array" ref="H52">_xlfn.XLOOKUP(Table_Investimentos_Porcent[[#This Row],[Data]]&amp;Table_Investimentos_Porcent[[#This Row],[Nome]],Table_Investimentos_Main[Data]&amp;Table_Investimentos_Main[Nome],Table_Investimentos_Main[Moeda Base],"NOT FOUND")</f>
        <v>USD</v>
      </c>
      <c r="I52" s="69">
        <v>1</v>
      </c>
      <c r="J52" s="18" cm="1">
        <f t="array" ref="J52">Table_Investimentos_Porcent[[#This Row],[Porcentagem]]*_xlfn.XLOOKUP(Table_Investimentos_Porcent[[#This Row],[Data]]&amp;Table_Investimentos_Porcent[[#This Row],[Nome]],Table_Investimentos_Main[Data]&amp;Table_Investimentos_Main[Nome],Table_Investimentos_Main[Total (R$)],"NOT FOUND")</f>
        <v>201.69699999999997</v>
      </c>
      <c r="K52" s="80" cm="1">
        <f t="array" ref="K52">Table_Investimentos_Porcent[[#This Row],[Total (R$)]]/_xlfn.XLOOKUP(Table_Investimentos_Porcent[[#This Row],[Data]]&amp;Table_Investimentos_Porcent[[#This Row],[Nome]],Table_Investimentos_Main[Data]&amp;Table_Investimentos_Main[Nome],Table_Investimentos_Main[Cotação Dolar],"NOT FOUND")</f>
        <v>39.94</v>
      </c>
      <c r="O52" s="3"/>
      <c r="P52" s="3"/>
      <c r="Q52" s="3"/>
      <c r="V52" s="5"/>
      <c r="W52" s="5"/>
    </row>
    <row r="53" spans="2:23" x14ac:dyDescent="0.2">
      <c r="B53" s="8">
        <v>45261</v>
      </c>
      <c r="C53" s="34" t="s">
        <v>21</v>
      </c>
      <c r="D53" s="5" t="s">
        <v>23</v>
      </c>
      <c r="E53" s="5"/>
      <c r="F53" s="5"/>
      <c r="G53" s="5" cm="1">
        <f t="array" ref="G53">_xlfn.XLOOKUP(Table_Investimentos_Porcent[[#This Row],[Data]]&amp;Table_Investimentos_Porcent[[#This Row],[Nome]],Table_Investimentos_Main[Data]&amp;Table_Investimentos_Main[Nome],Table_Investimentos_Main[Estratégia],"NOT FOUND")</f>
        <v>0</v>
      </c>
      <c r="H53" s="5" t="str" cm="1">
        <f t="array" ref="H53">_xlfn.XLOOKUP(Table_Investimentos_Porcent[[#This Row],[Data]]&amp;Table_Investimentos_Porcent[[#This Row],[Nome]],Table_Investimentos_Main[Data]&amp;Table_Investimentos_Main[Nome],Table_Investimentos_Main[Moeda Base],"NOT FOUND")</f>
        <v>USD</v>
      </c>
      <c r="I53" s="69">
        <v>1</v>
      </c>
      <c r="J53" s="18" cm="1">
        <f t="array" ref="J53">Table_Investimentos_Porcent[[#This Row],[Porcentagem]]*_xlfn.XLOOKUP(Table_Investimentos_Porcent[[#This Row],[Data]]&amp;Table_Investimentos_Porcent[[#This Row],[Nome]],Table_Investimentos_Main[Data]&amp;Table_Investimentos_Main[Nome],Table_Investimentos_Main[Total (R$)],"NOT FOUND")</f>
        <v>5078.0069999999996</v>
      </c>
      <c r="K53" s="80" cm="1">
        <f t="array" ref="K53">Table_Investimentos_Porcent[[#This Row],[Total (R$)]]/_xlfn.XLOOKUP(Table_Investimentos_Porcent[[#This Row],[Data]]&amp;Table_Investimentos_Porcent[[#This Row],[Nome]],Table_Investimentos_Main[Data]&amp;Table_Investimentos_Main[Nome],Table_Investimentos_Main[Cotação Dolar],"NOT FOUND")</f>
        <v>1025.8599999999999</v>
      </c>
      <c r="O53" s="3"/>
      <c r="P53" s="3"/>
      <c r="Q53" s="3"/>
      <c r="V53" s="5"/>
      <c r="W53" s="5"/>
    </row>
    <row r="54" spans="2:23" x14ac:dyDescent="0.2">
      <c r="B54" s="8">
        <v>45261</v>
      </c>
      <c r="C54" s="34" t="s">
        <v>25</v>
      </c>
      <c r="D54" s="5" t="s">
        <v>23</v>
      </c>
      <c r="E54" s="5"/>
      <c r="F54" s="5"/>
      <c r="G54" s="5" cm="1">
        <f t="array" ref="G54">_xlfn.XLOOKUP(Table_Investimentos_Porcent[[#This Row],[Data]]&amp;Table_Investimentos_Porcent[[#This Row],[Nome]],Table_Investimentos_Main[Data]&amp;Table_Investimentos_Main[Nome],Table_Investimentos_Main[Estratégia],"NOT FOUND")</f>
        <v>0</v>
      </c>
      <c r="H54" s="5" t="str" cm="1">
        <f t="array" ref="H54">_xlfn.XLOOKUP(Table_Investimentos_Porcent[[#This Row],[Data]]&amp;Table_Investimentos_Porcent[[#This Row],[Nome]],Table_Investimentos_Main[Data]&amp;Table_Investimentos_Main[Nome],Table_Investimentos_Main[Moeda Base],"NOT FOUND")</f>
        <v>USD</v>
      </c>
      <c r="I54" s="69">
        <v>1</v>
      </c>
      <c r="J54" s="18" cm="1">
        <f t="array" ref="J54">Table_Investimentos_Porcent[[#This Row],[Porcentagem]]*_xlfn.XLOOKUP(Table_Investimentos_Porcent[[#This Row],[Data]]&amp;Table_Investimentos_Porcent[[#This Row],[Nome]],Table_Investimentos_Main[Data]&amp;Table_Investimentos_Main[Nome],Table_Investimentos_Main[Total (R$)],"NOT FOUND")</f>
        <v>12572.703000000001</v>
      </c>
      <c r="K54" s="80" cm="1">
        <f t="array" ref="K54">Table_Investimentos_Porcent[[#This Row],[Total (R$)]]/_xlfn.XLOOKUP(Table_Investimentos_Porcent[[#This Row],[Data]]&amp;Table_Investimentos_Porcent[[#This Row],[Nome]],Table_Investimentos_Main[Data]&amp;Table_Investimentos_Main[Nome],Table_Investimentos_Main[Cotação Dolar],"NOT FOUND")</f>
        <v>2539.94</v>
      </c>
      <c r="O54" s="3"/>
      <c r="P54" s="3"/>
      <c r="Q54" s="3"/>
      <c r="V54" s="5"/>
      <c r="W54" s="5"/>
    </row>
    <row r="55" spans="2:23" x14ac:dyDescent="0.2">
      <c r="B55" s="8">
        <v>45261</v>
      </c>
      <c r="C55" s="34" t="s">
        <v>32</v>
      </c>
      <c r="D55" s="5" t="s">
        <v>20</v>
      </c>
      <c r="E55" s="5"/>
      <c r="F55" s="5"/>
      <c r="G55" s="5" cm="1">
        <f t="array" ref="G55">_xlfn.XLOOKUP(Table_Investimentos_Porcent[[#This Row],[Data]]&amp;Table_Investimentos_Porcent[[#This Row],[Nome]],Table_Investimentos_Main[Data]&amp;Table_Investimentos_Main[Nome],Table_Investimentos_Main[Estratégia],"NOT FOUND")</f>
        <v>0</v>
      </c>
      <c r="H55" s="5" t="str" cm="1">
        <f t="array" ref="H55">_xlfn.XLOOKUP(Table_Investimentos_Porcent[[#This Row],[Data]]&amp;Table_Investimentos_Porcent[[#This Row],[Nome]],Table_Investimentos_Main[Data]&amp;Table_Investimentos_Main[Nome],Table_Investimentos_Main[Moeda Base],"NOT FOUND")</f>
        <v>BRL</v>
      </c>
      <c r="I55" s="69">
        <v>1</v>
      </c>
      <c r="J55" s="18" cm="1">
        <f t="array" ref="J55">Table_Investimentos_Porcent[[#This Row],[Porcentagem]]*_xlfn.XLOOKUP(Table_Investimentos_Porcent[[#This Row],[Data]]&amp;Table_Investimentos_Porcent[[#This Row],[Nome]],Table_Investimentos_Main[Data]&amp;Table_Investimentos_Main[Nome],Table_Investimentos_Main[Total (R$)],"NOT FOUND")</f>
        <v>471.12</v>
      </c>
      <c r="K55" s="80" cm="1">
        <f t="array" ref="K55">Table_Investimentos_Porcent[[#This Row],[Total (R$)]]/_xlfn.XLOOKUP(Table_Investimentos_Porcent[[#This Row],[Data]]&amp;Table_Investimentos_Porcent[[#This Row],[Nome]],Table_Investimentos_Main[Data]&amp;Table_Investimentos_Main[Nome],Table_Investimentos_Main[Cotação Dolar],"NOT FOUND")</f>
        <v>95.175757575757572</v>
      </c>
      <c r="L55" s="9"/>
      <c r="O55" s="3"/>
      <c r="P55" s="3"/>
      <c r="Q55" s="3"/>
      <c r="V55" s="5"/>
      <c r="W55" s="5"/>
    </row>
    <row r="56" spans="2:23" x14ac:dyDescent="0.2">
      <c r="B56" s="8">
        <v>45261</v>
      </c>
      <c r="C56" s="34" t="s">
        <v>33</v>
      </c>
      <c r="D56" s="5" t="s">
        <v>23</v>
      </c>
      <c r="E56" s="5"/>
      <c r="F56" s="5"/>
      <c r="G56" s="5" cm="1">
        <f t="array" ref="G56">_xlfn.XLOOKUP(Table_Investimentos_Porcent[[#This Row],[Data]]&amp;Table_Investimentos_Porcent[[#This Row],[Nome]],Table_Investimentos_Main[Data]&amp;Table_Investimentos_Main[Nome],Table_Investimentos_Main[Estratégia],"NOT FOUND")</f>
        <v>0</v>
      </c>
      <c r="H56" s="5" t="str" cm="1">
        <f t="array" ref="H56">_xlfn.XLOOKUP(Table_Investimentos_Porcent[[#This Row],[Data]]&amp;Table_Investimentos_Porcent[[#This Row],[Nome]],Table_Investimentos_Main[Data]&amp;Table_Investimentos_Main[Nome],Table_Investimentos_Main[Moeda Base],"NOT FOUND")</f>
        <v>USD</v>
      </c>
      <c r="I56" s="69">
        <v>1</v>
      </c>
      <c r="J56" s="18" cm="1">
        <f t="array" ref="J56">Table_Investimentos_Porcent[[#This Row],[Porcentagem]]*_xlfn.XLOOKUP(Table_Investimentos_Porcent[[#This Row],[Data]]&amp;Table_Investimentos_Porcent[[#This Row],[Nome]],Table_Investimentos_Main[Data]&amp;Table_Investimentos_Main[Nome],Table_Investimentos_Main[Total (R$)],"NOT FOUND")</f>
        <v>197.703</v>
      </c>
      <c r="K56" s="80" cm="1">
        <f t="array" ref="K56">Table_Investimentos_Porcent[[#This Row],[Total (R$)]]/_xlfn.XLOOKUP(Table_Investimentos_Porcent[[#This Row],[Data]]&amp;Table_Investimentos_Porcent[[#This Row],[Nome]],Table_Investimentos_Main[Data]&amp;Table_Investimentos_Main[Nome],Table_Investimentos_Main[Cotação Dolar],"NOT FOUND")</f>
        <v>39.94</v>
      </c>
      <c r="L56" s="9"/>
      <c r="O56" s="3"/>
      <c r="P56" s="3"/>
      <c r="Q56" s="3"/>
      <c r="V56" s="5"/>
      <c r="W56" s="5"/>
    </row>
    <row r="57" spans="2:23" x14ac:dyDescent="0.2">
      <c r="B57" s="8">
        <v>45261</v>
      </c>
      <c r="C57" s="34" t="s">
        <v>11</v>
      </c>
      <c r="D57" s="5" t="s">
        <v>13</v>
      </c>
      <c r="E57" s="5"/>
      <c r="F57" s="5"/>
      <c r="G57" s="5" cm="1">
        <f t="array" ref="G57">_xlfn.XLOOKUP(Table_Investimentos_Porcent[[#This Row],[Data]]&amp;Table_Investimentos_Porcent[[#This Row],[Nome]],Table_Investimentos_Main[Data]&amp;Table_Investimentos_Main[Nome],Table_Investimentos_Main[Estratégia],"NOT FOUND")</f>
        <v>0</v>
      </c>
      <c r="H57" s="5" t="str" cm="1">
        <f t="array" ref="H57">_xlfn.XLOOKUP(Table_Investimentos_Porcent[[#This Row],[Data]]&amp;Table_Investimentos_Porcent[[#This Row],[Nome]],Table_Investimentos_Main[Data]&amp;Table_Investimentos_Main[Nome],Table_Investimentos_Main[Moeda Base],"NOT FOUND")</f>
        <v>BTC</v>
      </c>
      <c r="I57" s="69">
        <v>1</v>
      </c>
      <c r="J57" s="18" cm="1">
        <f t="array" ref="J57">Table_Investimentos_Porcent[[#This Row],[Porcentagem]]*_xlfn.XLOOKUP(Table_Investimentos_Porcent[[#This Row],[Data]]&amp;Table_Investimentos_Porcent[[#This Row],[Nome]],Table_Investimentos_Main[Data]&amp;Table_Investimentos_Main[Nome],Table_Investimentos_Main[Total (R$)],"NOT FOUND")</f>
        <v>3626.7137829251997</v>
      </c>
      <c r="K57" s="80" cm="1">
        <f t="array" ref="K57">Table_Investimentos_Porcent[[#This Row],[Total (R$)]]/_xlfn.XLOOKUP(Table_Investimentos_Porcent[[#This Row],[Data]]&amp;Table_Investimentos_Porcent[[#This Row],[Nome]],Table_Investimentos_Main[Data]&amp;Table_Investimentos_Main[Nome],Table_Investimentos_Main[Cotação Dolar],"NOT FOUND")</f>
        <v>732.66945109599988</v>
      </c>
      <c r="L57" s="9"/>
      <c r="O57" s="3"/>
      <c r="P57" s="3"/>
      <c r="Q57" s="3"/>
      <c r="V57" s="5"/>
      <c r="W57" s="5"/>
    </row>
    <row r="58" spans="2:23" x14ac:dyDescent="0.2">
      <c r="B58" s="8">
        <v>45261</v>
      </c>
      <c r="C58" s="34" t="s">
        <v>11</v>
      </c>
      <c r="D58" s="5" t="s">
        <v>13</v>
      </c>
      <c r="E58" s="5"/>
      <c r="F58" s="5"/>
      <c r="G58" s="5" cm="1">
        <f t="array" ref="G58">_xlfn.XLOOKUP(Table_Investimentos_Porcent[[#This Row],[Data]]&amp;Table_Investimentos_Porcent[[#This Row],[Nome]],Table_Investimentos_Main[Data]&amp;Table_Investimentos_Main[Nome],Table_Investimentos_Main[Estratégia],"NOT FOUND")</f>
        <v>0</v>
      </c>
      <c r="H58" s="5" t="str" cm="1">
        <f t="array" ref="H58">_xlfn.XLOOKUP(Table_Investimentos_Porcent[[#This Row],[Data]]&amp;Table_Investimentos_Porcent[[#This Row],[Nome]],Table_Investimentos_Main[Data]&amp;Table_Investimentos_Main[Nome],Table_Investimentos_Main[Moeda Base],"NOT FOUND")</f>
        <v>BTC</v>
      </c>
      <c r="I58" s="69">
        <v>1</v>
      </c>
      <c r="J58" s="18" cm="1">
        <f t="array" ref="J58">Table_Investimentos_Porcent[[#This Row],[Porcentagem]]*_xlfn.XLOOKUP(Table_Investimentos_Porcent[[#This Row],[Data]]&amp;Table_Investimentos_Porcent[[#This Row],[Nome]],Table_Investimentos_Main[Data]&amp;Table_Investimentos_Main[Nome],Table_Investimentos_Main[Total (R$)],"NOT FOUND")</f>
        <v>3626.7137829251997</v>
      </c>
      <c r="K58" s="80" cm="1">
        <f t="array" ref="K58">Table_Investimentos_Porcent[[#This Row],[Total (R$)]]/_xlfn.XLOOKUP(Table_Investimentos_Porcent[[#This Row],[Data]]&amp;Table_Investimentos_Porcent[[#This Row],[Nome]],Table_Investimentos_Main[Data]&amp;Table_Investimentos_Main[Nome],Table_Investimentos_Main[Cotação Dolar],"NOT FOUND")</f>
        <v>732.66945109599988</v>
      </c>
      <c r="L58" s="9"/>
      <c r="O58" s="3"/>
      <c r="P58" s="3"/>
      <c r="Q58" s="3"/>
      <c r="V58" s="5"/>
      <c r="W58" s="5"/>
    </row>
    <row r="59" spans="2:23" x14ac:dyDescent="0.2">
      <c r="B59" s="8">
        <v>45261</v>
      </c>
      <c r="C59" s="34" t="s">
        <v>34</v>
      </c>
      <c r="D59" s="5" t="s">
        <v>20</v>
      </c>
      <c r="E59" s="5"/>
      <c r="F59" s="5"/>
      <c r="G59" s="5" cm="1">
        <f t="array" ref="G59">_xlfn.XLOOKUP(Table_Investimentos_Porcent[[#This Row],[Data]]&amp;Table_Investimentos_Porcent[[#This Row],[Nome]],Table_Investimentos_Main[Data]&amp;Table_Investimentos_Main[Nome],Table_Investimentos_Main[Estratégia],"NOT FOUND")</f>
        <v>0</v>
      </c>
      <c r="H59" s="5" t="str" cm="1">
        <f t="array" ref="H59">_xlfn.XLOOKUP(Table_Investimentos_Porcent[[#This Row],[Data]]&amp;Table_Investimentos_Porcent[[#This Row],[Nome]],Table_Investimentos_Main[Data]&amp;Table_Investimentos_Main[Nome],Table_Investimentos_Main[Moeda Base],"NOT FOUND")</f>
        <v>BRL</v>
      </c>
      <c r="I59" s="69">
        <v>1</v>
      </c>
      <c r="J59" s="18" cm="1">
        <f t="array" ref="J59">Table_Investimentos_Porcent[[#This Row],[Porcentagem]]*_xlfn.XLOOKUP(Table_Investimentos_Porcent[[#This Row],[Data]]&amp;Table_Investimentos_Porcent[[#This Row],[Nome]],Table_Investimentos_Main[Data]&amp;Table_Investimentos_Main[Nome],Table_Investimentos_Main[Total (R$)],"NOT FOUND")</f>
        <v>11887.95</v>
      </c>
      <c r="K59" s="80" cm="1">
        <f t="array" ref="K59">Table_Investimentos_Porcent[[#This Row],[Total (R$)]]/_xlfn.XLOOKUP(Table_Investimentos_Porcent[[#This Row],[Data]]&amp;Table_Investimentos_Porcent[[#This Row],[Nome]],Table_Investimentos_Main[Data]&amp;Table_Investimentos_Main[Nome],Table_Investimentos_Main[Cotação Dolar],"NOT FOUND")</f>
        <v>2401.6060606060605</v>
      </c>
      <c r="L59" s="9"/>
      <c r="O59" s="3"/>
      <c r="P59" s="3"/>
      <c r="Q59" s="3"/>
      <c r="V59" s="5"/>
      <c r="W59" s="5"/>
    </row>
    <row r="60" spans="2:23" x14ac:dyDescent="0.2">
      <c r="B60" s="8">
        <v>45261</v>
      </c>
      <c r="C60" s="34" t="s">
        <v>35</v>
      </c>
      <c r="D60" s="5" t="s">
        <v>20</v>
      </c>
      <c r="E60" s="5"/>
      <c r="F60" s="5"/>
      <c r="G60" s="5" cm="1">
        <f t="array" ref="G60">_xlfn.XLOOKUP(Table_Investimentos_Porcent[[#This Row],[Data]]&amp;Table_Investimentos_Porcent[[#This Row],[Nome]],Table_Investimentos_Main[Data]&amp;Table_Investimentos_Main[Nome],Table_Investimentos_Main[Estratégia],"NOT FOUND")</f>
        <v>0</v>
      </c>
      <c r="H60" s="5" t="str" cm="1">
        <f t="array" ref="H60">_xlfn.XLOOKUP(Table_Investimentos_Porcent[[#This Row],[Data]]&amp;Table_Investimentos_Porcent[[#This Row],[Nome]],Table_Investimentos_Main[Data]&amp;Table_Investimentos_Main[Nome],Table_Investimentos_Main[Moeda Base],"NOT FOUND")</f>
        <v>BRL</v>
      </c>
      <c r="I60" s="69">
        <v>1</v>
      </c>
      <c r="J60" s="18" cm="1">
        <f t="array" ref="J60">Table_Investimentos_Porcent[[#This Row],[Porcentagem]]*_xlfn.XLOOKUP(Table_Investimentos_Porcent[[#This Row],[Data]]&amp;Table_Investimentos_Porcent[[#This Row],[Nome]],Table_Investimentos_Main[Data]&amp;Table_Investimentos_Main[Nome],Table_Investimentos_Main[Total (R$)],"NOT FOUND")</f>
        <v>2567.31</v>
      </c>
      <c r="K60" s="80" cm="1">
        <f t="array" ref="K60">Table_Investimentos_Porcent[[#This Row],[Total (R$)]]/_xlfn.XLOOKUP(Table_Investimentos_Porcent[[#This Row],[Data]]&amp;Table_Investimentos_Porcent[[#This Row],[Nome]],Table_Investimentos_Main[Data]&amp;Table_Investimentos_Main[Nome],Table_Investimentos_Main[Cotação Dolar],"NOT FOUND")</f>
        <v>518.64848484848483</v>
      </c>
      <c r="L60" s="9"/>
      <c r="O60" s="3"/>
      <c r="P60" s="3"/>
      <c r="Q60" s="3"/>
      <c r="V60" s="5"/>
      <c r="W60" s="5"/>
    </row>
    <row r="61" spans="2:23" x14ac:dyDescent="0.2">
      <c r="B61" s="8">
        <v>45261</v>
      </c>
      <c r="C61" s="34" t="s">
        <v>30</v>
      </c>
      <c r="D61" s="5" t="s">
        <v>20</v>
      </c>
      <c r="E61" s="5"/>
      <c r="F61" s="5"/>
      <c r="G61" s="5" cm="1">
        <f t="array" ref="G61">_xlfn.XLOOKUP(Table_Investimentos_Porcent[[#This Row],[Data]]&amp;Table_Investimentos_Porcent[[#This Row],[Nome]],Table_Investimentos_Main[Data]&amp;Table_Investimentos_Main[Nome],Table_Investimentos_Main[Estratégia],"NOT FOUND")</f>
        <v>0</v>
      </c>
      <c r="H61" s="5" t="str" cm="1">
        <f t="array" ref="H61">_xlfn.XLOOKUP(Table_Investimentos_Porcent[[#This Row],[Data]]&amp;Table_Investimentos_Porcent[[#This Row],[Nome]],Table_Investimentos_Main[Data]&amp;Table_Investimentos_Main[Nome],Table_Investimentos_Main[Moeda Base],"NOT FOUND")</f>
        <v>BRL</v>
      </c>
      <c r="I61" s="69">
        <v>1</v>
      </c>
      <c r="J61" s="18" cm="1">
        <f t="array" ref="J61">Table_Investimentos_Porcent[[#This Row],[Porcentagem]]*_xlfn.XLOOKUP(Table_Investimentos_Porcent[[#This Row],[Data]]&amp;Table_Investimentos_Porcent[[#This Row],[Nome]],Table_Investimentos_Main[Data]&amp;Table_Investimentos_Main[Nome],Table_Investimentos_Main[Total (R$)],"NOT FOUND")</f>
        <v>15900.21</v>
      </c>
      <c r="K61" s="80" cm="1">
        <f t="array" ref="K61">Table_Investimentos_Porcent[[#This Row],[Total (R$)]]/_xlfn.XLOOKUP(Table_Investimentos_Porcent[[#This Row],[Data]]&amp;Table_Investimentos_Porcent[[#This Row],[Nome]],Table_Investimentos_Main[Data]&amp;Table_Investimentos_Main[Nome],Table_Investimentos_Main[Cotação Dolar],"NOT FOUND")</f>
        <v>3212.1636363636362</v>
      </c>
      <c r="L61" s="9"/>
      <c r="O61" s="3"/>
      <c r="P61" s="3"/>
      <c r="Q61" s="3"/>
      <c r="V61" s="5"/>
      <c r="W61" s="5"/>
    </row>
    <row r="62" spans="2:23" x14ac:dyDescent="0.2">
      <c r="B62" s="8">
        <v>45292</v>
      </c>
      <c r="C62" s="34" t="s">
        <v>21</v>
      </c>
      <c r="D62" s="5" t="s">
        <v>23</v>
      </c>
      <c r="E62" s="5"/>
      <c r="F62" s="5"/>
      <c r="G62" s="5" cm="1">
        <f t="array" ref="G62">_xlfn.XLOOKUP(Table_Investimentos_Porcent[[#This Row],[Data]]&amp;Table_Investimentos_Porcent[[#This Row],[Nome]],Table_Investimentos_Main[Data]&amp;Table_Investimentos_Main[Nome],Table_Investimentos_Main[Estratégia],"NOT FOUND")</f>
        <v>0</v>
      </c>
      <c r="H62" s="5" t="str" cm="1">
        <f t="array" ref="H62">_xlfn.XLOOKUP(Table_Investimentos_Porcent[[#This Row],[Data]]&amp;Table_Investimentos_Porcent[[#This Row],[Nome]],Table_Investimentos_Main[Data]&amp;Table_Investimentos_Main[Nome],Table_Investimentos_Main[Moeda Base],"NOT FOUND")</f>
        <v>USD</v>
      </c>
      <c r="I62" s="69">
        <v>1</v>
      </c>
      <c r="J62" s="18" cm="1">
        <f t="array" ref="J62">Table_Investimentos_Porcent[[#This Row],[Porcentagem]]*_xlfn.XLOOKUP(Table_Investimentos_Porcent[[#This Row],[Data]]&amp;Table_Investimentos_Porcent[[#This Row],[Nome]],Table_Investimentos_Main[Data]&amp;Table_Investimentos_Main[Nome],Table_Investimentos_Main[Total (R$)],"NOT FOUND")</f>
        <v>5202.6060000000007</v>
      </c>
      <c r="K62" s="80" cm="1">
        <f t="array" ref="K62">Table_Investimentos_Porcent[[#This Row],[Total (R$)]]/_xlfn.XLOOKUP(Table_Investimentos_Porcent[[#This Row],[Data]]&amp;Table_Investimentos_Porcent[[#This Row],[Nome]],Table_Investimentos_Main[Data]&amp;Table_Investimentos_Main[Nome],Table_Investimentos_Main[Cotação Dolar],"NOT FOUND")</f>
        <v>1044.7</v>
      </c>
      <c r="L62" s="9"/>
      <c r="O62" s="3"/>
      <c r="P62" s="3"/>
      <c r="Q62" s="3"/>
      <c r="V62" s="5"/>
      <c r="W62" s="5"/>
    </row>
    <row r="63" spans="2:23" x14ac:dyDescent="0.2">
      <c r="B63" s="8">
        <v>45292</v>
      </c>
      <c r="C63" s="34" t="s">
        <v>25</v>
      </c>
      <c r="D63" s="5" t="s">
        <v>23</v>
      </c>
      <c r="E63" s="5"/>
      <c r="F63" s="5"/>
      <c r="G63" s="5" cm="1">
        <f t="array" ref="G63">_xlfn.XLOOKUP(Table_Investimentos_Porcent[[#This Row],[Data]]&amp;Table_Investimentos_Porcent[[#This Row],[Nome]],Table_Investimentos_Main[Data]&amp;Table_Investimentos_Main[Nome],Table_Investimentos_Main[Estratégia],"NOT FOUND")</f>
        <v>0</v>
      </c>
      <c r="H63" s="5" t="str" cm="1">
        <f t="array" ref="H63">_xlfn.XLOOKUP(Table_Investimentos_Porcent[[#This Row],[Data]]&amp;Table_Investimentos_Porcent[[#This Row],[Nome]],Table_Investimentos_Main[Data]&amp;Table_Investimentos_Main[Nome],Table_Investimentos_Main[Moeda Base],"NOT FOUND")</f>
        <v>USD</v>
      </c>
      <c r="I63" s="69">
        <v>1</v>
      </c>
      <c r="J63" s="18" cm="1">
        <f t="array" ref="J63">Table_Investimentos_Porcent[[#This Row],[Porcentagem]]*_xlfn.XLOOKUP(Table_Investimentos_Porcent[[#This Row],[Data]]&amp;Table_Investimentos_Porcent[[#This Row],[Nome]],Table_Investimentos_Main[Data]&amp;Table_Investimentos_Main[Nome],Table_Investimentos_Main[Total (R$)],"NOT FOUND")</f>
        <v>12789.536400000001</v>
      </c>
      <c r="K63" s="80" cm="1">
        <f t="array" ref="K63">Table_Investimentos_Porcent[[#This Row],[Total (R$)]]/_xlfn.XLOOKUP(Table_Investimentos_Porcent[[#This Row],[Data]]&amp;Table_Investimentos_Porcent[[#This Row],[Nome]],Table_Investimentos_Main[Data]&amp;Table_Investimentos_Main[Nome],Table_Investimentos_Main[Cotação Dolar],"NOT FOUND")</f>
        <v>2568.1799999999998</v>
      </c>
      <c r="L63" s="9"/>
      <c r="O63" s="3"/>
      <c r="P63" s="3"/>
      <c r="Q63" s="3"/>
      <c r="V63" s="5"/>
      <c r="W63" s="5"/>
    </row>
    <row r="64" spans="2:23" x14ac:dyDescent="0.2">
      <c r="B64" s="8">
        <v>45292</v>
      </c>
      <c r="C64" s="34" t="s">
        <v>32</v>
      </c>
      <c r="D64" s="5" t="s">
        <v>20</v>
      </c>
      <c r="E64" s="5"/>
      <c r="F64" s="5"/>
      <c r="G64" s="5" cm="1">
        <f t="array" ref="G64">_xlfn.XLOOKUP(Table_Investimentos_Porcent[[#This Row],[Data]]&amp;Table_Investimentos_Porcent[[#This Row],[Nome]],Table_Investimentos_Main[Data]&amp;Table_Investimentos_Main[Nome],Table_Investimentos_Main[Estratégia],"NOT FOUND")</f>
        <v>0</v>
      </c>
      <c r="H64" s="5" t="str" cm="1">
        <f t="array" ref="H64">_xlfn.XLOOKUP(Table_Investimentos_Porcent[[#This Row],[Data]]&amp;Table_Investimentos_Porcent[[#This Row],[Nome]],Table_Investimentos_Main[Data]&amp;Table_Investimentos_Main[Nome],Table_Investimentos_Main[Moeda Base],"NOT FOUND")</f>
        <v>BRL</v>
      </c>
      <c r="I64" s="69">
        <v>1</v>
      </c>
      <c r="J64" s="18" cm="1">
        <f t="array" ref="J64">Table_Investimentos_Porcent[[#This Row],[Porcentagem]]*_xlfn.XLOOKUP(Table_Investimentos_Porcent[[#This Row],[Data]]&amp;Table_Investimentos_Porcent[[#This Row],[Nome]],Table_Investimentos_Main[Data]&amp;Table_Investimentos_Main[Nome],Table_Investimentos_Main[Total (R$)],"NOT FOUND")</f>
        <v>366.73</v>
      </c>
      <c r="K64" s="80" cm="1">
        <f t="array" ref="K64">Table_Investimentos_Porcent[[#This Row],[Total (R$)]]/_xlfn.XLOOKUP(Table_Investimentos_Porcent[[#This Row],[Data]]&amp;Table_Investimentos_Porcent[[#This Row],[Nome]],Table_Investimentos_Main[Data]&amp;Table_Investimentos_Main[Nome],Table_Investimentos_Main[Cotação Dolar],"NOT FOUND")</f>
        <v>73.640562248995977</v>
      </c>
      <c r="L64" s="9"/>
      <c r="O64" s="3"/>
      <c r="P64" s="3"/>
      <c r="Q64" s="3"/>
      <c r="V64" s="5"/>
      <c r="W64" s="5"/>
    </row>
    <row r="65" spans="2:23" x14ac:dyDescent="0.2">
      <c r="B65" s="8">
        <v>45292</v>
      </c>
      <c r="C65" s="34" t="s">
        <v>33</v>
      </c>
      <c r="D65" s="5" t="s">
        <v>23</v>
      </c>
      <c r="E65" s="5"/>
      <c r="F65" s="5"/>
      <c r="G65" s="5" cm="1">
        <f t="array" ref="G65">_xlfn.XLOOKUP(Table_Investimentos_Porcent[[#This Row],[Data]]&amp;Table_Investimentos_Porcent[[#This Row],[Nome]],Table_Investimentos_Main[Data]&amp;Table_Investimentos_Main[Nome],Table_Investimentos_Main[Estratégia],"NOT FOUND")</f>
        <v>0</v>
      </c>
      <c r="H65" s="5" t="str" cm="1">
        <f t="array" ref="H65">_xlfn.XLOOKUP(Table_Investimentos_Porcent[[#This Row],[Data]]&amp;Table_Investimentos_Porcent[[#This Row],[Nome]],Table_Investimentos_Main[Data]&amp;Table_Investimentos_Main[Nome],Table_Investimentos_Main[Moeda Base],"NOT FOUND")</f>
        <v>USD</v>
      </c>
      <c r="I65" s="69">
        <v>1</v>
      </c>
      <c r="J65" s="18" cm="1">
        <f t="array" ref="J65">Table_Investimentos_Porcent[[#This Row],[Porcentagem]]*_xlfn.XLOOKUP(Table_Investimentos_Porcent[[#This Row],[Data]]&amp;Table_Investimentos_Porcent[[#This Row],[Nome]],Table_Investimentos_Main[Data]&amp;Table_Investimentos_Main[Nome],Table_Investimentos_Main[Total (R$)],"NOT FOUND")</f>
        <v>198.90120000000002</v>
      </c>
      <c r="K65" s="80" cm="1">
        <f t="array" ref="K65">Table_Investimentos_Porcent[[#This Row],[Total (R$)]]/_xlfn.XLOOKUP(Table_Investimentos_Porcent[[#This Row],[Data]]&amp;Table_Investimentos_Porcent[[#This Row],[Nome]],Table_Investimentos_Main[Data]&amp;Table_Investimentos_Main[Nome],Table_Investimentos_Main[Cotação Dolar],"NOT FOUND")</f>
        <v>39.94</v>
      </c>
      <c r="L65" s="9"/>
      <c r="O65" s="3"/>
      <c r="P65" s="3"/>
      <c r="Q65" s="3"/>
      <c r="V65" s="5"/>
      <c r="W65" s="5"/>
    </row>
    <row r="66" spans="2:23" x14ac:dyDescent="0.2">
      <c r="B66" s="8">
        <v>45292</v>
      </c>
      <c r="C66" s="34" t="s">
        <v>11</v>
      </c>
      <c r="D66" s="5" t="s">
        <v>36</v>
      </c>
      <c r="E66" s="5"/>
      <c r="F66" s="5"/>
      <c r="G66" s="5" cm="1">
        <f t="array" ref="G66">_xlfn.XLOOKUP(Table_Investimentos_Porcent[[#This Row],[Data]]&amp;Table_Investimentos_Porcent[[#This Row],[Nome]],Table_Investimentos_Main[Data]&amp;Table_Investimentos_Main[Nome],Table_Investimentos_Main[Estratégia],"NOT FOUND")</f>
        <v>0</v>
      </c>
      <c r="H66" s="5" t="str" cm="1">
        <f t="array" ref="H66">_xlfn.XLOOKUP(Table_Investimentos_Porcent[[#This Row],[Data]]&amp;Table_Investimentos_Porcent[[#This Row],[Nome]],Table_Investimentos_Main[Data]&amp;Table_Investimentos_Main[Nome],Table_Investimentos_Main[Moeda Base],"NOT FOUND")</f>
        <v>BTC</v>
      </c>
      <c r="I66" s="69">
        <v>1</v>
      </c>
      <c r="J66" s="18" cm="1">
        <f t="array" ref="J66">Table_Investimentos_Porcent[[#This Row],[Porcentagem]]*_xlfn.XLOOKUP(Table_Investimentos_Porcent[[#This Row],[Data]]&amp;Table_Investimentos_Porcent[[#This Row],[Nome]],Table_Investimentos_Main[Data]&amp;Table_Investimentos_Main[Nome],Table_Investimentos_Main[Total (R$)],"NOT FOUND")</f>
        <v>4265.6000000000004</v>
      </c>
      <c r="K66" s="80" cm="1">
        <f t="array" ref="K66">Table_Investimentos_Porcent[[#This Row],[Total (R$)]]/_xlfn.XLOOKUP(Table_Investimentos_Porcent[[#This Row],[Data]]&amp;Table_Investimentos_Porcent[[#This Row],[Nome]],Table_Investimentos_Main[Data]&amp;Table_Investimentos_Main[Nome],Table_Investimentos_Main[Cotação Dolar],"NOT FOUND")</f>
        <v>856.54618473895584</v>
      </c>
      <c r="L66" s="9"/>
      <c r="O66" s="3"/>
      <c r="P66" s="3"/>
      <c r="Q66" s="3"/>
      <c r="V66" s="5"/>
      <c r="W66" s="5"/>
    </row>
    <row r="67" spans="2:23" x14ac:dyDescent="0.2">
      <c r="B67" s="8">
        <v>45292</v>
      </c>
      <c r="C67" s="34" t="s">
        <v>11</v>
      </c>
      <c r="D67" s="5" t="s">
        <v>36</v>
      </c>
      <c r="E67" s="5"/>
      <c r="F67" s="5"/>
      <c r="G67" s="5" cm="1">
        <f t="array" ref="G67">_xlfn.XLOOKUP(Table_Investimentos_Porcent[[#This Row],[Data]]&amp;Table_Investimentos_Porcent[[#This Row],[Nome]],Table_Investimentos_Main[Data]&amp;Table_Investimentos_Main[Nome],Table_Investimentos_Main[Estratégia],"NOT FOUND")</f>
        <v>0</v>
      </c>
      <c r="H67" s="5" t="str" cm="1">
        <f t="array" ref="H67">_xlfn.XLOOKUP(Table_Investimentos_Porcent[[#This Row],[Data]]&amp;Table_Investimentos_Porcent[[#This Row],[Nome]],Table_Investimentos_Main[Data]&amp;Table_Investimentos_Main[Nome],Table_Investimentos_Main[Moeda Base],"NOT FOUND")</f>
        <v>BTC</v>
      </c>
      <c r="I67" s="69">
        <v>1</v>
      </c>
      <c r="J67" s="18" cm="1">
        <f t="array" ref="J67">Table_Investimentos_Porcent[[#This Row],[Porcentagem]]*_xlfn.XLOOKUP(Table_Investimentos_Porcent[[#This Row],[Data]]&amp;Table_Investimentos_Porcent[[#This Row],[Nome]],Table_Investimentos_Main[Data]&amp;Table_Investimentos_Main[Nome],Table_Investimentos_Main[Total (R$)],"NOT FOUND")</f>
        <v>4265.6000000000004</v>
      </c>
      <c r="K67" s="80" cm="1">
        <f t="array" ref="K67">Table_Investimentos_Porcent[[#This Row],[Total (R$)]]/_xlfn.XLOOKUP(Table_Investimentos_Porcent[[#This Row],[Data]]&amp;Table_Investimentos_Porcent[[#This Row],[Nome]],Table_Investimentos_Main[Data]&amp;Table_Investimentos_Main[Nome],Table_Investimentos_Main[Cotação Dolar],"NOT FOUND")</f>
        <v>856.54618473895584</v>
      </c>
      <c r="L67" s="9"/>
      <c r="O67" s="3"/>
      <c r="P67" s="3"/>
      <c r="Q67" s="3"/>
      <c r="V67" s="5"/>
      <c r="W67" s="5"/>
    </row>
    <row r="68" spans="2:23" x14ac:dyDescent="0.2">
      <c r="B68" s="8">
        <v>45292</v>
      </c>
      <c r="C68" s="34" t="s">
        <v>34</v>
      </c>
      <c r="D68" s="5" t="s">
        <v>17</v>
      </c>
      <c r="E68" s="5"/>
      <c r="F68" s="5"/>
      <c r="G68" s="5" cm="1">
        <f t="array" ref="G68">_xlfn.XLOOKUP(Table_Investimentos_Porcent[[#This Row],[Data]]&amp;Table_Investimentos_Porcent[[#This Row],[Nome]],Table_Investimentos_Main[Data]&amp;Table_Investimentos_Main[Nome],Table_Investimentos_Main[Estratégia],"NOT FOUND")</f>
        <v>0</v>
      </c>
      <c r="H68" s="5" t="str" cm="1">
        <f t="array" ref="H68">_xlfn.XLOOKUP(Table_Investimentos_Porcent[[#This Row],[Data]]&amp;Table_Investimentos_Porcent[[#This Row],[Nome]],Table_Investimentos_Main[Data]&amp;Table_Investimentos_Main[Nome],Table_Investimentos_Main[Moeda Base],"NOT FOUND")</f>
        <v>BRL</v>
      </c>
      <c r="I68" s="69">
        <v>1</v>
      </c>
      <c r="J68" s="18" cm="1">
        <f t="array" ref="J68">Table_Investimentos_Porcent[[#This Row],[Porcentagem]]*_xlfn.XLOOKUP(Table_Investimentos_Porcent[[#This Row],[Data]]&amp;Table_Investimentos_Porcent[[#This Row],[Nome]],Table_Investimentos_Main[Data]&amp;Table_Investimentos_Main[Nome],Table_Investimentos_Main[Total (R$)],"NOT FOUND")</f>
        <v>29644.52</v>
      </c>
      <c r="K68" s="80" cm="1">
        <f t="array" ref="K68">Table_Investimentos_Porcent[[#This Row],[Total (R$)]]/_xlfn.XLOOKUP(Table_Investimentos_Porcent[[#This Row],[Data]]&amp;Table_Investimentos_Porcent[[#This Row],[Nome]],Table_Investimentos_Main[Data]&amp;Table_Investimentos_Main[Nome],Table_Investimentos_Main[Cotação Dolar],"NOT FOUND")</f>
        <v>5952.7148594377504</v>
      </c>
      <c r="L68" s="9"/>
      <c r="O68" s="3"/>
      <c r="P68" s="3"/>
      <c r="Q68" s="3"/>
      <c r="V68" s="5"/>
      <c r="W68" s="5"/>
    </row>
    <row r="69" spans="2:23" x14ac:dyDescent="0.2">
      <c r="B69" s="8">
        <v>45292</v>
      </c>
      <c r="C69" s="34" t="s">
        <v>35</v>
      </c>
      <c r="D69" s="5" t="s">
        <v>17</v>
      </c>
      <c r="E69" s="5"/>
      <c r="F69" s="5"/>
      <c r="G69" s="5" cm="1">
        <f t="array" ref="G69">_xlfn.XLOOKUP(Table_Investimentos_Porcent[[#This Row],[Data]]&amp;Table_Investimentos_Porcent[[#This Row],[Nome]],Table_Investimentos_Main[Data]&amp;Table_Investimentos_Main[Nome],Table_Investimentos_Main[Estratégia],"NOT FOUND")</f>
        <v>0</v>
      </c>
      <c r="H69" s="5" t="str" cm="1">
        <f t="array" ref="H69">_xlfn.XLOOKUP(Table_Investimentos_Porcent[[#This Row],[Data]]&amp;Table_Investimentos_Porcent[[#This Row],[Nome]],Table_Investimentos_Main[Data]&amp;Table_Investimentos_Main[Nome],Table_Investimentos_Main[Moeda Base],"NOT FOUND")</f>
        <v>BRL</v>
      </c>
      <c r="I69" s="69">
        <v>1</v>
      </c>
      <c r="J69" s="18" cm="1">
        <f t="array" ref="J69">Table_Investimentos_Porcent[[#This Row],[Porcentagem]]*_xlfn.XLOOKUP(Table_Investimentos_Porcent[[#This Row],[Data]]&amp;Table_Investimentos_Porcent[[#This Row],[Nome]],Table_Investimentos_Main[Data]&amp;Table_Investimentos_Main[Nome],Table_Investimentos_Main[Total (R$)],"NOT FOUND")</f>
        <v>2910.35</v>
      </c>
      <c r="K69" s="80" cm="1">
        <f t="array" ref="K69">Table_Investimentos_Porcent[[#This Row],[Total (R$)]]/_xlfn.XLOOKUP(Table_Investimentos_Porcent[[#This Row],[Data]]&amp;Table_Investimentos_Porcent[[#This Row],[Nome]],Table_Investimentos_Main[Data]&amp;Table_Investimentos_Main[Nome],Table_Investimentos_Main[Cotação Dolar],"NOT FOUND")</f>
        <v>584.40763052208831</v>
      </c>
      <c r="L69" s="9"/>
      <c r="O69" s="3"/>
      <c r="P69" s="3"/>
      <c r="Q69" s="3"/>
      <c r="V69" s="5"/>
      <c r="W69" s="5"/>
    </row>
    <row r="70" spans="2:23" x14ac:dyDescent="0.2">
      <c r="B70" s="8">
        <v>45323</v>
      </c>
      <c r="C70" s="34" t="s">
        <v>35</v>
      </c>
      <c r="D70" s="5" t="s">
        <v>17</v>
      </c>
      <c r="E70" s="5"/>
      <c r="F70" s="5"/>
      <c r="G70" s="5" cm="1">
        <f t="array" ref="G70">_xlfn.XLOOKUP(Table_Investimentos_Porcent[[#This Row],[Data]]&amp;Table_Investimentos_Porcent[[#This Row],[Nome]],Table_Investimentos_Main[Data]&amp;Table_Investimentos_Main[Nome],Table_Investimentos_Main[Estratégia],"NOT FOUND")</f>
        <v>0</v>
      </c>
      <c r="H70" s="5" t="str" cm="1">
        <f t="array" ref="H70">_xlfn.XLOOKUP(Table_Investimentos_Porcent[[#This Row],[Data]]&amp;Table_Investimentos_Porcent[[#This Row],[Nome]],Table_Investimentos_Main[Data]&amp;Table_Investimentos_Main[Nome],Table_Investimentos_Main[Moeda Base],"NOT FOUND")</f>
        <v>BRL</v>
      </c>
      <c r="I70" s="69">
        <v>1</v>
      </c>
      <c r="J70" s="18" cm="1">
        <f t="array" ref="J70">Table_Investimentos_Porcent[[#This Row],[Porcentagem]]*_xlfn.XLOOKUP(Table_Investimentos_Porcent[[#This Row],[Data]]&amp;Table_Investimentos_Porcent[[#This Row],[Nome]],Table_Investimentos_Main[Data]&amp;Table_Investimentos_Main[Nome],Table_Investimentos_Main[Total (R$)],"NOT FOUND")</f>
        <v>2916.4</v>
      </c>
      <c r="K70" s="80" cm="1">
        <f t="array" ref="K70">Table_Investimentos_Porcent[[#This Row],[Total (R$)]]/_xlfn.XLOOKUP(Table_Investimentos_Porcent[[#This Row],[Data]]&amp;Table_Investimentos_Porcent[[#This Row],[Nome]],Table_Investimentos_Main[Data]&amp;Table_Investimentos_Main[Nome],Table_Investimentos_Main[Cotação Dolar],"NOT FOUND")</f>
        <v>586.80080482897392</v>
      </c>
      <c r="L70" s="9"/>
      <c r="O70" s="3"/>
      <c r="P70" s="3"/>
      <c r="Q70" s="3"/>
      <c r="V70" s="5"/>
      <c r="W70" s="5"/>
    </row>
    <row r="71" spans="2:23" x14ac:dyDescent="0.2">
      <c r="B71" s="8">
        <v>45323</v>
      </c>
      <c r="C71" s="34" t="s">
        <v>34</v>
      </c>
      <c r="D71" s="5" t="s">
        <v>17</v>
      </c>
      <c r="E71" s="5"/>
      <c r="F71" s="5"/>
      <c r="G71" s="5" cm="1">
        <f t="array" ref="G71">_xlfn.XLOOKUP(Table_Investimentos_Porcent[[#This Row],[Data]]&amp;Table_Investimentos_Porcent[[#This Row],[Nome]],Table_Investimentos_Main[Data]&amp;Table_Investimentos_Main[Nome],Table_Investimentos_Main[Estratégia],"NOT FOUND")</f>
        <v>0</v>
      </c>
      <c r="H71" s="5" t="str" cm="1">
        <f t="array" ref="H71">_xlfn.XLOOKUP(Table_Investimentos_Porcent[[#This Row],[Data]]&amp;Table_Investimentos_Porcent[[#This Row],[Nome]],Table_Investimentos_Main[Data]&amp;Table_Investimentos_Main[Nome],Table_Investimentos_Main[Moeda Base],"NOT FOUND")</f>
        <v>BRL</v>
      </c>
      <c r="I71" s="69">
        <v>1</v>
      </c>
      <c r="J71" s="18" cm="1">
        <f t="array" ref="J71">Table_Investimentos_Porcent[[#This Row],[Porcentagem]]*_xlfn.XLOOKUP(Table_Investimentos_Porcent[[#This Row],[Data]]&amp;Table_Investimentos_Porcent[[#This Row],[Nome]],Table_Investimentos_Main[Data]&amp;Table_Investimentos_Main[Nome],Table_Investimentos_Main[Total (R$)],"NOT FOUND")</f>
        <v>19156.669999999998</v>
      </c>
      <c r="K71" s="80" cm="1">
        <f t="array" ref="K71">Table_Investimentos_Porcent[[#This Row],[Total (R$)]]/_xlfn.XLOOKUP(Table_Investimentos_Porcent[[#This Row],[Data]]&amp;Table_Investimentos_Porcent[[#This Row],[Nome]],Table_Investimentos_Main[Data]&amp;Table_Investimentos_Main[Nome],Table_Investimentos_Main[Cotação Dolar],"NOT FOUND")</f>
        <v>3854.4607645875249</v>
      </c>
      <c r="L71" s="9"/>
      <c r="O71" s="3"/>
      <c r="P71" s="3"/>
      <c r="Q71" s="3"/>
      <c r="V71" s="5"/>
      <c r="W71" s="5"/>
    </row>
    <row r="72" spans="2:23" x14ac:dyDescent="0.2">
      <c r="B72" s="8">
        <v>45323</v>
      </c>
      <c r="C72" s="34" t="s">
        <v>32</v>
      </c>
      <c r="D72" s="5" t="s">
        <v>17</v>
      </c>
      <c r="E72" s="5"/>
      <c r="F72" s="5"/>
      <c r="G72" s="5" cm="1">
        <f t="array" ref="G72">_xlfn.XLOOKUP(Table_Investimentos_Porcent[[#This Row],[Data]]&amp;Table_Investimentos_Porcent[[#This Row],[Nome]],Table_Investimentos_Main[Data]&amp;Table_Investimentos_Main[Nome],Table_Investimentos_Main[Estratégia],"NOT FOUND")</f>
        <v>0</v>
      </c>
      <c r="H72" s="5" t="str" cm="1">
        <f t="array" ref="H72">_xlfn.XLOOKUP(Table_Investimentos_Porcent[[#This Row],[Data]]&amp;Table_Investimentos_Porcent[[#This Row],[Nome]],Table_Investimentos_Main[Data]&amp;Table_Investimentos_Main[Nome],Table_Investimentos_Main[Moeda Base],"NOT FOUND")</f>
        <v>BRL</v>
      </c>
      <c r="I72" s="69">
        <v>1</v>
      </c>
      <c r="J72" s="18" cm="1">
        <f t="array" ref="J72">Table_Investimentos_Porcent[[#This Row],[Porcentagem]]*_xlfn.XLOOKUP(Table_Investimentos_Porcent[[#This Row],[Data]]&amp;Table_Investimentos_Porcent[[#This Row],[Nome]],Table_Investimentos_Main[Data]&amp;Table_Investimentos_Main[Nome],Table_Investimentos_Main[Total (R$)],"NOT FOUND")</f>
        <v>470.37</v>
      </c>
      <c r="K72" s="80" cm="1">
        <f t="array" ref="K72">Table_Investimentos_Porcent[[#This Row],[Total (R$)]]/_xlfn.XLOOKUP(Table_Investimentos_Porcent[[#This Row],[Data]]&amp;Table_Investimentos_Porcent[[#This Row],[Nome]],Table_Investimentos_Main[Data]&amp;Table_Investimentos_Main[Nome],Table_Investimentos_Main[Cotação Dolar],"NOT FOUND")</f>
        <v>94.641851106639848</v>
      </c>
      <c r="L72" s="9"/>
      <c r="O72" s="3"/>
      <c r="P72" s="3"/>
      <c r="Q72" s="3"/>
      <c r="V72" s="5"/>
      <c r="W72" s="5"/>
    </row>
    <row r="73" spans="2:23" x14ac:dyDescent="0.2">
      <c r="B73" s="8">
        <v>45323</v>
      </c>
      <c r="C73" s="34" t="s">
        <v>38</v>
      </c>
      <c r="D73" s="5" t="s">
        <v>20</v>
      </c>
      <c r="E73" s="5"/>
      <c r="F73" s="5"/>
      <c r="G73" s="5" cm="1">
        <f t="array" ref="G73">_xlfn.XLOOKUP(Table_Investimentos_Porcent[[#This Row],[Data]]&amp;Table_Investimentos_Porcent[[#This Row],[Nome]],Table_Investimentos_Main[Data]&amp;Table_Investimentos_Main[Nome],Table_Investimentos_Main[Estratégia],"NOT FOUND")</f>
        <v>0</v>
      </c>
      <c r="H73" s="5" t="str" cm="1">
        <f t="array" ref="H73">_xlfn.XLOOKUP(Table_Investimentos_Porcent[[#This Row],[Data]]&amp;Table_Investimentos_Porcent[[#This Row],[Nome]],Table_Investimentos_Main[Data]&amp;Table_Investimentos_Main[Nome],Table_Investimentos_Main[Moeda Base],"NOT FOUND")</f>
        <v>BRL</v>
      </c>
      <c r="I73" s="69">
        <v>1</v>
      </c>
      <c r="J73" s="18" cm="1">
        <f t="array" ref="J73">Table_Investimentos_Porcent[[#This Row],[Porcentagem]]*_xlfn.XLOOKUP(Table_Investimentos_Porcent[[#This Row],[Data]]&amp;Table_Investimentos_Porcent[[#This Row],[Nome]],Table_Investimentos_Main[Data]&amp;Table_Investimentos_Main[Nome],Table_Investimentos_Main[Total (R$)],"NOT FOUND")</f>
        <v>148.0799999999999</v>
      </c>
      <c r="K73" s="80" cm="1">
        <f t="array" ref="K73">Table_Investimentos_Porcent[[#This Row],[Total (R$)]]/_xlfn.XLOOKUP(Table_Investimentos_Porcent[[#This Row],[Data]]&amp;Table_Investimentos_Porcent[[#This Row],[Nome]],Table_Investimentos_Main[Data]&amp;Table_Investimentos_Main[Nome],Table_Investimentos_Main[Cotação Dolar],"NOT FOUND")</f>
        <v>29.794768611670001</v>
      </c>
      <c r="L73" s="9"/>
      <c r="O73" s="3"/>
      <c r="P73" s="3"/>
      <c r="Q73" s="3"/>
      <c r="V73" s="5"/>
      <c r="W73" s="5"/>
    </row>
    <row r="74" spans="2:23" x14ac:dyDescent="0.2">
      <c r="B74" s="8">
        <v>45323</v>
      </c>
      <c r="C74" s="34" t="s">
        <v>40</v>
      </c>
      <c r="D74" s="5" t="s">
        <v>20</v>
      </c>
      <c r="E74" s="5"/>
      <c r="F74" s="5"/>
      <c r="G74" s="5" cm="1">
        <f t="array" ref="G74">_xlfn.XLOOKUP(Table_Investimentos_Porcent[[#This Row],[Data]]&amp;Table_Investimentos_Porcent[[#This Row],[Nome]],Table_Investimentos_Main[Data]&amp;Table_Investimentos_Main[Nome],Table_Investimentos_Main[Estratégia],"NOT FOUND")</f>
        <v>0</v>
      </c>
      <c r="H74" s="5" t="str" cm="1">
        <f t="array" ref="H74">_xlfn.XLOOKUP(Table_Investimentos_Porcent[[#This Row],[Data]]&amp;Table_Investimentos_Porcent[[#This Row],[Nome]],Table_Investimentos_Main[Data]&amp;Table_Investimentos_Main[Nome],Table_Investimentos_Main[Moeda Base],"NOT FOUND")</f>
        <v>BRL</v>
      </c>
      <c r="I74" s="69">
        <v>1</v>
      </c>
      <c r="J74" s="18" cm="1">
        <f t="array" ref="J74">Table_Investimentos_Porcent[[#This Row],[Porcentagem]]*_xlfn.XLOOKUP(Table_Investimentos_Porcent[[#This Row],[Data]]&amp;Table_Investimentos_Porcent[[#This Row],[Nome]],Table_Investimentos_Main[Data]&amp;Table_Investimentos_Main[Nome],Table_Investimentos_Main[Total (R$)],"NOT FOUND")</f>
        <v>9851.92</v>
      </c>
      <c r="K74" s="80" cm="1">
        <f t="array" ref="K74">Table_Investimentos_Porcent[[#This Row],[Total (R$)]]/_xlfn.XLOOKUP(Table_Investimentos_Porcent[[#This Row],[Data]]&amp;Table_Investimentos_Porcent[[#This Row],[Nome]],Table_Investimentos_Main[Data]&amp;Table_Investimentos_Main[Nome],Table_Investimentos_Main[Cotação Dolar],"NOT FOUND")</f>
        <v>1982.2776659959759</v>
      </c>
      <c r="O74" s="3"/>
      <c r="P74" s="3"/>
      <c r="Q74" s="3"/>
      <c r="V74" s="5"/>
      <c r="W74" s="5"/>
    </row>
    <row r="75" spans="2:23" x14ac:dyDescent="0.2">
      <c r="B75" s="8">
        <v>45323</v>
      </c>
      <c r="C75" s="34" t="s">
        <v>41</v>
      </c>
      <c r="D75" s="5" t="s">
        <v>13</v>
      </c>
      <c r="E75" s="5"/>
      <c r="F75" s="5"/>
      <c r="G75" s="5" cm="1">
        <f t="array" ref="G75">_xlfn.XLOOKUP(Table_Investimentos_Porcent[[#This Row],[Data]]&amp;Table_Investimentos_Porcent[[#This Row],[Nome]],Table_Investimentos_Main[Data]&amp;Table_Investimentos_Main[Nome],Table_Investimentos_Main[Estratégia],"NOT FOUND")</f>
        <v>0</v>
      </c>
      <c r="H75" s="5" t="str" cm="1">
        <f t="array" ref="H75">_xlfn.XLOOKUP(Table_Investimentos_Porcent[[#This Row],[Data]]&amp;Table_Investimentos_Porcent[[#This Row],[Nome]],Table_Investimentos_Main[Data]&amp;Table_Investimentos_Main[Nome],Table_Investimentos_Main[Moeda Base],"NOT FOUND")</f>
        <v>BTC</v>
      </c>
      <c r="I75" s="69">
        <v>1</v>
      </c>
      <c r="J75" s="18" cm="1">
        <f t="array" ref="J75">Table_Investimentos_Porcent[[#This Row],[Porcentagem]]*_xlfn.XLOOKUP(Table_Investimentos_Porcent[[#This Row],[Data]]&amp;Table_Investimentos_Porcent[[#This Row],[Nome]],Table_Investimentos_Main[Data]&amp;Table_Investimentos_Main[Nome],Table_Investimentos_Main[Total (R$)],"NOT FOUND")</f>
        <v>46288.756425</v>
      </c>
      <c r="K75" s="80" cm="1">
        <f t="array" ref="K75">Table_Investimentos_Porcent[[#This Row],[Total (R$)]]/_xlfn.XLOOKUP(Table_Investimentos_Porcent[[#This Row],[Data]]&amp;Table_Investimentos_Porcent[[#This Row],[Nome]],Table_Investimentos_Main[Data]&amp;Table_Investimentos_Main[Nome],Table_Investimentos_Main[Cotação Dolar],"NOT FOUND")</f>
        <v>9313.6330835010067</v>
      </c>
      <c r="O75" s="3"/>
      <c r="P75" s="3"/>
      <c r="Q75" s="3"/>
      <c r="V75" s="5"/>
      <c r="W75" s="5"/>
    </row>
    <row r="76" spans="2:23" x14ac:dyDescent="0.2">
      <c r="B76" s="8">
        <v>45323</v>
      </c>
      <c r="C76" s="34" t="s">
        <v>42</v>
      </c>
      <c r="D76" s="5" t="s">
        <v>13</v>
      </c>
      <c r="E76" s="5"/>
      <c r="F76" s="5"/>
      <c r="G76" s="5" cm="1">
        <f t="array" ref="G76">_xlfn.XLOOKUP(Table_Investimentos_Porcent[[#This Row],[Data]]&amp;Table_Investimentos_Porcent[[#This Row],[Nome]],Table_Investimentos_Main[Data]&amp;Table_Investimentos_Main[Nome],Table_Investimentos_Main[Estratégia],"NOT FOUND")</f>
        <v>0</v>
      </c>
      <c r="H76" s="5" t="str" cm="1">
        <f t="array" ref="H76">_xlfn.XLOOKUP(Table_Investimentos_Porcent[[#This Row],[Data]]&amp;Table_Investimentos_Porcent[[#This Row],[Nome]],Table_Investimentos_Main[Data]&amp;Table_Investimentos_Main[Nome],Table_Investimentos_Main[Moeda Base],"NOT FOUND")</f>
        <v>BTC</v>
      </c>
      <c r="I76" s="69">
        <v>1</v>
      </c>
      <c r="J76" s="18" cm="1">
        <f t="array" ref="J76">Table_Investimentos_Porcent[[#This Row],[Porcentagem]]*_xlfn.XLOOKUP(Table_Investimentos_Porcent[[#This Row],[Data]]&amp;Table_Investimentos_Porcent[[#This Row],[Nome]],Table_Investimentos_Main[Data]&amp;Table_Investimentos_Main[Nome],Table_Investimentos_Main[Total (R$)],"NOT FOUND")</f>
        <v>4509.6322721999995</v>
      </c>
      <c r="K76" s="80" cm="1">
        <f t="array" ref="K76">Table_Investimentos_Porcent[[#This Row],[Total (R$)]]/_xlfn.XLOOKUP(Table_Investimentos_Porcent[[#This Row],[Data]]&amp;Table_Investimentos_Porcent[[#This Row],[Nome]],Table_Investimentos_Main[Data]&amp;Table_Investimentos_Main[Nome],Table_Investimentos_Main[Cotação Dolar],"NOT FOUND")</f>
        <v>907.37067851106633</v>
      </c>
      <c r="O76" s="3"/>
      <c r="P76" s="3"/>
      <c r="Q76" s="3"/>
      <c r="V76" s="5"/>
      <c r="W76" s="5"/>
    </row>
    <row r="77" spans="2:23" x14ac:dyDescent="0.2">
      <c r="B77" s="8">
        <v>45323</v>
      </c>
      <c r="C77" s="34" t="s">
        <v>43</v>
      </c>
      <c r="D77" s="5" t="s">
        <v>13</v>
      </c>
      <c r="E77" s="5"/>
      <c r="F77" s="5"/>
      <c r="G77" s="5" cm="1">
        <f t="array" ref="G77">_xlfn.XLOOKUP(Table_Investimentos_Porcent[[#This Row],[Data]]&amp;Table_Investimentos_Porcent[[#This Row],[Nome]],Table_Investimentos_Main[Data]&amp;Table_Investimentos_Main[Nome],Table_Investimentos_Main[Estratégia],"NOT FOUND")</f>
        <v>0</v>
      </c>
      <c r="H77" s="5" t="str" cm="1">
        <f t="array" ref="H77">_xlfn.XLOOKUP(Table_Investimentos_Porcent[[#This Row],[Data]]&amp;Table_Investimentos_Porcent[[#This Row],[Nome]],Table_Investimentos_Main[Data]&amp;Table_Investimentos_Main[Nome],Table_Investimentos_Main[Moeda Base],"NOT FOUND")</f>
        <v>BTC</v>
      </c>
      <c r="I77" s="69">
        <v>1</v>
      </c>
      <c r="J77" s="18" cm="1">
        <f t="array" ref="J77">Table_Investimentos_Porcent[[#This Row],[Porcentagem]]*_xlfn.XLOOKUP(Table_Investimentos_Porcent[[#This Row],[Data]]&amp;Table_Investimentos_Porcent[[#This Row],[Nome]],Table_Investimentos_Main[Data]&amp;Table_Investimentos_Main[Nome],Table_Investimentos_Main[Total (R$)],"NOT FOUND")</f>
        <v>1987.7106766500001</v>
      </c>
      <c r="K77" s="80" cm="1">
        <f t="array" ref="K77">Table_Investimentos_Porcent[[#This Row],[Total (R$)]]/_xlfn.XLOOKUP(Table_Investimentos_Porcent[[#This Row],[Data]]&amp;Table_Investimentos_Porcent[[#This Row],[Nome]],Table_Investimentos_Main[Data]&amp;Table_Investimentos_Main[Nome],Table_Investimentos_Main[Cotação Dolar],"NOT FOUND")</f>
        <v>399.94178604627768</v>
      </c>
      <c r="O77" s="3"/>
      <c r="P77" s="3"/>
      <c r="Q77" s="3"/>
      <c r="V77" s="5"/>
      <c r="W77" s="5"/>
    </row>
    <row r="78" spans="2:23" x14ac:dyDescent="0.2">
      <c r="B78" s="8">
        <v>45323</v>
      </c>
      <c r="C78" s="34" t="s">
        <v>44</v>
      </c>
      <c r="D78" s="5" t="s">
        <v>13</v>
      </c>
      <c r="E78" s="5"/>
      <c r="F78" s="5"/>
      <c r="G78" s="5" cm="1">
        <f t="array" ref="G78">_xlfn.XLOOKUP(Table_Investimentos_Porcent[[#This Row],[Data]]&amp;Table_Investimentos_Porcent[[#This Row],[Nome]],Table_Investimentos_Main[Data]&amp;Table_Investimentos_Main[Nome],Table_Investimentos_Main[Estratégia],"NOT FOUND")</f>
        <v>0</v>
      </c>
      <c r="H78" s="5" t="str" cm="1">
        <f t="array" ref="H78">_xlfn.XLOOKUP(Table_Investimentos_Porcent[[#This Row],[Data]]&amp;Table_Investimentos_Porcent[[#This Row],[Nome]],Table_Investimentos_Main[Data]&amp;Table_Investimentos_Main[Nome],Table_Investimentos_Main[Moeda Base],"NOT FOUND")</f>
        <v>USD</v>
      </c>
      <c r="I78" s="69">
        <v>1</v>
      </c>
      <c r="J78" s="18" cm="1">
        <f t="array" ref="J78">Table_Investimentos_Porcent[[#This Row],[Porcentagem]]*_xlfn.XLOOKUP(Table_Investimentos_Porcent[[#This Row],[Data]]&amp;Table_Investimentos_Porcent[[#This Row],[Nome]],Table_Investimentos_Main[Data]&amp;Table_Investimentos_Main[Nome],Table_Investimentos_Main[Total (R$)],"NOT FOUND")</f>
        <v>17994.1335</v>
      </c>
      <c r="K78" s="80" cm="1">
        <f t="array" ref="K78">Table_Investimentos_Porcent[[#This Row],[Total (R$)]]/_xlfn.XLOOKUP(Table_Investimentos_Porcent[[#This Row],[Data]]&amp;Table_Investimentos_Porcent[[#This Row],[Nome]],Table_Investimentos_Main[Data]&amp;Table_Investimentos_Main[Nome],Table_Investimentos_Main[Cotação Dolar],"NOT FOUND")</f>
        <v>3620.55</v>
      </c>
      <c r="O78" s="3"/>
      <c r="P78" s="3"/>
      <c r="Q78" s="3"/>
      <c r="V78" s="5"/>
      <c r="W78" s="5"/>
    </row>
    <row r="79" spans="2:23" x14ac:dyDescent="0.2">
      <c r="B79" s="8">
        <v>45352</v>
      </c>
      <c r="C79" s="34" t="s">
        <v>35</v>
      </c>
      <c r="D79" s="5" t="s">
        <v>17</v>
      </c>
      <c r="E79" s="5"/>
      <c r="F79" s="5"/>
      <c r="G79" s="5" cm="1">
        <f t="array" ref="G79">_xlfn.XLOOKUP(Table_Investimentos_Porcent[[#This Row],[Data]]&amp;Table_Investimentos_Porcent[[#This Row],[Nome]],Table_Investimentos_Main[Data]&amp;Table_Investimentos_Main[Nome],Table_Investimentos_Main[Estratégia],"NOT FOUND")</f>
        <v>0</v>
      </c>
      <c r="H79" s="5" t="str" cm="1">
        <f t="array" ref="H79">_xlfn.XLOOKUP(Table_Investimentos_Porcent[[#This Row],[Data]]&amp;Table_Investimentos_Porcent[[#This Row],[Nome]],Table_Investimentos_Main[Data]&amp;Table_Investimentos_Main[Nome],Table_Investimentos_Main[Moeda Base],"NOT FOUND")</f>
        <v>BRL</v>
      </c>
      <c r="I79" s="69">
        <v>1</v>
      </c>
      <c r="J79" s="18" cm="1">
        <f t="array" ref="J79">Table_Investimentos_Porcent[[#This Row],[Porcentagem]]*_xlfn.XLOOKUP(Table_Investimentos_Porcent[[#This Row],[Data]]&amp;Table_Investimentos_Porcent[[#This Row],[Nome]],Table_Investimentos_Main[Data]&amp;Table_Investimentos_Main[Nome],Table_Investimentos_Main[Total (R$)],"NOT FOUND")</f>
        <v>39.57</v>
      </c>
      <c r="K79" s="80" cm="1">
        <f t="array" ref="K79">Table_Investimentos_Porcent[[#This Row],[Total (R$)]]/_xlfn.XLOOKUP(Table_Investimentos_Porcent[[#This Row],[Data]]&amp;Table_Investimentos_Porcent[[#This Row],[Nome]],Table_Investimentos_Main[Data]&amp;Table_Investimentos_Main[Nome],Table_Investimentos_Main[Cotação Dolar],"NOT FOUND")</f>
        <v>7.9617706237424555</v>
      </c>
      <c r="O79" s="3"/>
      <c r="P79" s="3"/>
      <c r="Q79" s="3"/>
      <c r="V79" s="5"/>
      <c r="W79" s="5"/>
    </row>
    <row r="80" spans="2:23" x14ac:dyDescent="0.2">
      <c r="B80" s="8">
        <v>45352</v>
      </c>
      <c r="C80" s="34" t="s">
        <v>34</v>
      </c>
      <c r="D80" s="5" t="s">
        <v>17</v>
      </c>
      <c r="E80" s="5"/>
      <c r="F80" s="5"/>
      <c r="G80" s="5" cm="1">
        <f t="array" ref="G80">_xlfn.XLOOKUP(Table_Investimentos_Porcent[[#This Row],[Data]]&amp;Table_Investimentos_Porcent[[#This Row],[Nome]],Table_Investimentos_Main[Data]&amp;Table_Investimentos_Main[Nome],Table_Investimentos_Main[Estratégia],"NOT FOUND")</f>
        <v>0</v>
      </c>
      <c r="H80" s="5" t="str" cm="1">
        <f t="array" ref="H80">_xlfn.XLOOKUP(Table_Investimentos_Porcent[[#This Row],[Data]]&amp;Table_Investimentos_Porcent[[#This Row],[Nome]],Table_Investimentos_Main[Data]&amp;Table_Investimentos_Main[Nome],Table_Investimentos_Main[Moeda Base],"NOT FOUND")</f>
        <v>BRL</v>
      </c>
      <c r="I80" s="69">
        <v>1</v>
      </c>
      <c r="J80" s="18" cm="1">
        <f t="array" ref="J80">Table_Investimentos_Porcent[[#This Row],[Porcentagem]]*_xlfn.XLOOKUP(Table_Investimentos_Porcent[[#This Row],[Data]]&amp;Table_Investimentos_Porcent[[#This Row],[Nome]],Table_Investimentos_Main[Data]&amp;Table_Investimentos_Main[Nome],Table_Investimentos_Main[Total (R$)],"NOT FOUND")</f>
        <v>21231.66</v>
      </c>
      <c r="K80" s="80" cm="1">
        <f t="array" ref="K80">Table_Investimentos_Porcent[[#This Row],[Total (R$)]]/_xlfn.XLOOKUP(Table_Investimentos_Porcent[[#This Row],[Data]]&amp;Table_Investimentos_Porcent[[#This Row],[Nome]],Table_Investimentos_Main[Data]&amp;Table_Investimentos_Main[Nome],Table_Investimentos_Main[Cotação Dolar],"NOT FOUND")</f>
        <v>4271.9637826961771</v>
      </c>
      <c r="O80" s="3"/>
      <c r="P80" s="3"/>
      <c r="Q80" s="3"/>
      <c r="V80" s="5"/>
      <c r="W80" s="5"/>
    </row>
    <row r="81" spans="2:23" x14ac:dyDescent="0.2">
      <c r="B81" s="8">
        <v>45352</v>
      </c>
      <c r="C81" s="34" t="s">
        <v>32</v>
      </c>
      <c r="D81" s="5" t="s">
        <v>17</v>
      </c>
      <c r="E81" s="5"/>
      <c r="F81" s="5"/>
      <c r="G81" s="5" cm="1">
        <f t="array" ref="G81">_xlfn.XLOOKUP(Table_Investimentos_Porcent[[#This Row],[Data]]&amp;Table_Investimentos_Porcent[[#This Row],[Nome]],Table_Investimentos_Main[Data]&amp;Table_Investimentos_Main[Nome],Table_Investimentos_Main[Estratégia],"NOT FOUND")</f>
        <v>0</v>
      </c>
      <c r="H81" s="5" t="str" cm="1">
        <f t="array" ref="H81">_xlfn.XLOOKUP(Table_Investimentos_Porcent[[#This Row],[Data]]&amp;Table_Investimentos_Porcent[[#This Row],[Nome]],Table_Investimentos_Main[Data]&amp;Table_Investimentos_Main[Nome],Table_Investimentos_Main[Moeda Base],"NOT FOUND")</f>
        <v>BRL</v>
      </c>
      <c r="I81" s="69">
        <v>1</v>
      </c>
      <c r="J81" s="18" cm="1">
        <f t="array" ref="J81">Table_Investimentos_Porcent[[#This Row],[Porcentagem]]*_xlfn.XLOOKUP(Table_Investimentos_Porcent[[#This Row],[Data]]&amp;Table_Investimentos_Porcent[[#This Row],[Nome]],Table_Investimentos_Main[Data]&amp;Table_Investimentos_Main[Nome],Table_Investimentos_Main[Total (R$)],"NOT FOUND")</f>
        <v>487.27</v>
      </c>
      <c r="K81" s="80" cm="1">
        <f t="array" ref="K81">Table_Investimentos_Porcent[[#This Row],[Total (R$)]]/_xlfn.XLOOKUP(Table_Investimentos_Porcent[[#This Row],[Data]]&amp;Table_Investimentos_Porcent[[#This Row],[Nome]],Table_Investimentos_Main[Data]&amp;Table_Investimentos_Main[Nome],Table_Investimentos_Main[Cotação Dolar],"NOT FOUND")</f>
        <v>98.042253521126767</v>
      </c>
      <c r="O81" s="3"/>
      <c r="P81" s="3"/>
      <c r="Q81" s="3"/>
      <c r="V81" s="5"/>
      <c r="W81" s="5"/>
    </row>
    <row r="82" spans="2:23" x14ac:dyDescent="0.2">
      <c r="B82" s="8">
        <v>45352</v>
      </c>
      <c r="C82" s="34" t="s">
        <v>40</v>
      </c>
      <c r="D82" s="5" t="s">
        <v>20</v>
      </c>
      <c r="E82" s="5"/>
      <c r="F82" s="5"/>
      <c r="G82" s="5" cm="1">
        <f t="array" ref="G82">_xlfn.XLOOKUP(Table_Investimentos_Porcent[[#This Row],[Data]]&amp;Table_Investimentos_Porcent[[#This Row],[Nome]],Table_Investimentos_Main[Data]&amp;Table_Investimentos_Main[Nome],Table_Investimentos_Main[Estratégia],"NOT FOUND")</f>
        <v>0</v>
      </c>
      <c r="H82" s="5" t="str" cm="1">
        <f t="array" ref="H82">_xlfn.XLOOKUP(Table_Investimentos_Porcent[[#This Row],[Data]]&amp;Table_Investimentos_Porcent[[#This Row],[Nome]],Table_Investimentos_Main[Data]&amp;Table_Investimentos_Main[Nome],Table_Investimentos_Main[Moeda Base],"NOT FOUND")</f>
        <v>BRL</v>
      </c>
      <c r="I82" s="69">
        <v>1</v>
      </c>
      <c r="J82" s="18" cm="1">
        <f t="array" ref="J82">Table_Investimentos_Porcent[[#This Row],[Porcentagem]]*_xlfn.XLOOKUP(Table_Investimentos_Porcent[[#This Row],[Data]]&amp;Table_Investimentos_Porcent[[#This Row],[Nome]],Table_Investimentos_Main[Data]&amp;Table_Investimentos_Main[Nome],Table_Investimentos_Main[Total (R$)],"NOT FOUND")</f>
        <v>9933.0499999999993</v>
      </c>
      <c r="K82" s="80" cm="1">
        <f t="array" ref="K82">Table_Investimentos_Porcent[[#This Row],[Total (R$)]]/_xlfn.XLOOKUP(Table_Investimentos_Porcent[[#This Row],[Data]]&amp;Table_Investimentos_Porcent[[#This Row],[Nome]],Table_Investimentos_Main[Data]&amp;Table_Investimentos_Main[Nome],Table_Investimentos_Main[Cotação Dolar],"NOT FOUND")</f>
        <v>1998.6016096579476</v>
      </c>
      <c r="O82" s="3"/>
      <c r="P82" s="3"/>
      <c r="Q82" s="3"/>
      <c r="V82" s="5"/>
      <c r="W82" s="5"/>
    </row>
    <row r="83" spans="2:23" x14ac:dyDescent="0.2">
      <c r="B83" s="8">
        <v>45352</v>
      </c>
      <c r="C83" s="34" t="s">
        <v>41</v>
      </c>
      <c r="D83" s="5" t="s">
        <v>36</v>
      </c>
      <c r="E83" s="5"/>
      <c r="F83" s="5"/>
      <c r="G83" s="5" cm="1">
        <f t="array" ref="G83">_xlfn.XLOOKUP(Table_Investimentos_Porcent[[#This Row],[Data]]&amp;Table_Investimentos_Porcent[[#This Row],[Nome]],Table_Investimentos_Main[Data]&amp;Table_Investimentos_Main[Nome],Table_Investimentos_Main[Estratégia],"NOT FOUND")</f>
        <v>0</v>
      </c>
      <c r="H83" s="5" t="str" cm="1">
        <f t="array" ref="H83">_xlfn.XLOOKUP(Table_Investimentos_Porcent[[#This Row],[Data]]&amp;Table_Investimentos_Porcent[[#This Row],[Nome]],Table_Investimentos_Main[Data]&amp;Table_Investimentos_Main[Nome],Table_Investimentos_Main[Moeda Base],"NOT FOUND")</f>
        <v>BTC</v>
      </c>
      <c r="I83" s="69">
        <v>1</v>
      </c>
      <c r="J83" s="18" cm="1">
        <f t="array" ref="J83">Table_Investimentos_Porcent[[#This Row],[Porcentagem]]*_xlfn.XLOOKUP(Table_Investimentos_Porcent[[#This Row],[Data]]&amp;Table_Investimentos_Porcent[[#This Row],[Nome]],Table_Investimentos_Main[Data]&amp;Table_Investimentos_Main[Nome],Table_Investimentos_Main[Total (R$)],"NOT FOUND")</f>
        <v>65406.174999999996</v>
      </c>
      <c r="K83" s="80" cm="1">
        <f t="array" ref="K83">Table_Investimentos_Porcent[[#This Row],[Total (R$)]]/_xlfn.XLOOKUP(Table_Investimentos_Porcent[[#This Row],[Data]]&amp;Table_Investimentos_Porcent[[#This Row],[Nome]],Table_Investimentos_Main[Data]&amp;Table_Investimentos_Main[Nome],Table_Investimentos_Main[Cotação Dolar],"NOT FOUND")</f>
        <v>13160.196177062375</v>
      </c>
      <c r="O83" s="3"/>
      <c r="P83" s="3"/>
      <c r="Q83" s="3"/>
      <c r="V83" s="5"/>
      <c r="W83" s="5"/>
    </row>
    <row r="84" spans="2:23" x14ac:dyDescent="0.2">
      <c r="B84" s="8">
        <v>45352</v>
      </c>
      <c r="C84" s="34" t="s">
        <v>44</v>
      </c>
      <c r="D84" s="5" t="s">
        <v>23</v>
      </c>
      <c r="E84" s="5"/>
      <c r="F84" s="5"/>
      <c r="G84" s="5" cm="1">
        <f t="array" ref="G84">_xlfn.XLOOKUP(Table_Investimentos_Porcent[[#This Row],[Data]]&amp;Table_Investimentos_Porcent[[#This Row],[Nome]],Table_Investimentos_Main[Data]&amp;Table_Investimentos_Main[Nome],Table_Investimentos_Main[Estratégia],"NOT FOUND")</f>
        <v>0</v>
      </c>
      <c r="H84" s="5" t="str" cm="1">
        <f t="array" ref="H84">_xlfn.XLOOKUP(Table_Investimentos_Porcent[[#This Row],[Data]]&amp;Table_Investimentos_Porcent[[#This Row],[Nome]],Table_Investimentos_Main[Data]&amp;Table_Investimentos_Main[Nome],Table_Investimentos_Main[Moeda Base],"NOT FOUND")</f>
        <v>USD</v>
      </c>
      <c r="I84" s="69">
        <v>1</v>
      </c>
      <c r="J84" s="18" cm="1">
        <f t="array" ref="J84">Table_Investimentos_Porcent[[#This Row],[Porcentagem]]*_xlfn.XLOOKUP(Table_Investimentos_Porcent[[#This Row],[Data]]&amp;Table_Investimentos_Porcent[[#This Row],[Nome]],Table_Investimentos_Main[Data]&amp;Table_Investimentos_Main[Nome],Table_Investimentos_Main[Total (R$)],"NOT FOUND")</f>
        <v>26252.533999999996</v>
      </c>
      <c r="K84" s="80" cm="1">
        <f t="array" ref="K84">Table_Investimentos_Porcent[[#This Row],[Total (R$)]]/_xlfn.XLOOKUP(Table_Investimentos_Porcent[[#This Row],[Data]]&amp;Table_Investimentos_Porcent[[#This Row],[Nome]],Table_Investimentos_Main[Data]&amp;Table_Investimentos_Main[Nome],Table_Investimentos_Main[Cotação Dolar],"NOT FOUND")</f>
        <v>5282.2</v>
      </c>
      <c r="O84" s="3"/>
      <c r="P84" s="3"/>
      <c r="Q84" s="3"/>
      <c r="V84" s="5"/>
      <c r="W84" s="5"/>
    </row>
    <row r="85" spans="2:23" x14ac:dyDescent="0.2">
      <c r="B85" s="8">
        <v>45383</v>
      </c>
      <c r="C85" s="34" t="s">
        <v>45</v>
      </c>
      <c r="D85" s="5" t="s">
        <v>17</v>
      </c>
      <c r="E85" s="5"/>
      <c r="F85" s="5"/>
      <c r="G85" s="5" cm="1">
        <f t="array" ref="G85">_xlfn.XLOOKUP(Table_Investimentos_Porcent[[#This Row],[Data]]&amp;Table_Investimentos_Porcent[[#This Row],[Nome]],Table_Investimentos_Main[Data]&amp;Table_Investimentos_Main[Nome],Table_Investimentos_Main[Estratégia],"NOT FOUND")</f>
        <v>0</v>
      </c>
      <c r="H85" s="5" t="str" cm="1">
        <f t="array" ref="H85">_xlfn.XLOOKUP(Table_Investimentos_Porcent[[#This Row],[Data]]&amp;Table_Investimentos_Porcent[[#This Row],[Nome]],Table_Investimentos_Main[Data]&amp;Table_Investimentos_Main[Nome],Table_Investimentos_Main[Moeda Base],"NOT FOUND")</f>
        <v>BRL</v>
      </c>
      <c r="I85" s="69">
        <v>1</v>
      </c>
      <c r="J85" s="18" cm="1">
        <f t="array" ref="J85">Table_Investimentos_Porcent[[#This Row],[Porcentagem]]*_xlfn.XLOOKUP(Table_Investimentos_Porcent[[#This Row],[Data]]&amp;Table_Investimentos_Porcent[[#This Row],[Nome]],Table_Investimentos_Main[Data]&amp;Table_Investimentos_Main[Nome],Table_Investimentos_Main[Total (R$)],"NOT FOUND")</f>
        <v>30106.639999999999</v>
      </c>
      <c r="K85" s="80" cm="1">
        <f t="array" ref="K85">Table_Investimentos_Porcent[[#This Row],[Total (R$)]]/_xlfn.XLOOKUP(Table_Investimentos_Porcent[[#This Row],[Data]]&amp;Table_Investimentos_Porcent[[#This Row],[Nome]],Table_Investimentos_Main[Data]&amp;Table_Investimentos_Main[Nome],Table_Investimentos_Main[Cotação Dolar],"NOT FOUND")</f>
        <v>5884.4555635908764</v>
      </c>
      <c r="O85" s="3"/>
      <c r="P85" s="3"/>
      <c r="Q85" s="3"/>
      <c r="V85" s="5"/>
      <c r="W85" s="5"/>
    </row>
    <row r="86" spans="2:23" x14ac:dyDescent="0.2">
      <c r="B86" s="8">
        <v>45383</v>
      </c>
      <c r="C86" s="34" t="s">
        <v>32</v>
      </c>
      <c r="D86" s="5" t="s">
        <v>17</v>
      </c>
      <c r="E86" s="5"/>
      <c r="F86" s="5"/>
      <c r="G86" s="5" cm="1">
        <f t="array" ref="G86">_xlfn.XLOOKUP(Table_Investimentos_Porcent[[#This Row],[Data]]&amp;Table_Investimentos_Porcent[[#This Row],[Nome]],Table_Investimentos_Main[Data]&amp;Table_Investimentos_Main[Nome],Table_Investimentos_Main[Estratégia],"NOT FOUND")</f>
        <v>0</v>
      </c>
      <c r="H86" s="5" t="str" cm="1">
        <f t="array" ref="H86">_xlfn.XLOOKUP(Table_Investimentos_Porcent[[#This Row],[Data]]&amp;Table_Investimentos_Porcent[[#This Row],[Nome]],Table_Investimentos_Main[Data]&amp;Table_Investimentos_Main[Nome],Table_Investimentos_Main[Moeda Base],"NOT FOUND")</f>
        <v>BRL</v>
      </c>
      <c r="I86" s="69">
        <v>1</v>
      </c>
      <c r="J86" s="18" cm="1">
        <f t="array" ref="J86">Table_Investimentos_Porcent[[#This Row],[Porcentagem]]*_xlfn.XLOOKUP(Table_Investimentos_Porcent[[#This Row],[Data]]&amp;Table_Investimentos_Porcent[[#This Row],[Nome]],Table_Investimentos_Main[Data]&amp;Table_Investimentos_Main[Nome],Table_Investimentos_Main[Total (R$)],"NOT FOUND")</f>
        <v>279.33999999999997</v>
      </c>
      <c r="K86" s="80" cm="1">
        <f t="array" ref="K86">Table_Investimentos_Porcent[[#This Row],[Total (R$)]]/_xlfn.XLOOKUP(Table_Investimentos_Porcent[[#This Row],[Data]]&amp;Table_Investimentos_Porcent[[#This Row],[Nome]],Table_Investimentos_Main[Data]&amp;Table_Investimentos_Main[Nome],Table_Investimentos_Main[Cotação Dolar],"NOT FOUND")</f>
        <v>54.598049371616206</v>
      </c>
      <c r="O86" s="3"/>
      <c r="P86" s="3"/>
      <c r="Q86" s="3"/>
      <c r="V86" s="5"/>
      <c r="W86" s="5"/>
    </row>
    <row r="87" spans="2:23" x14ac:dyDescent="0.2">
      <c r="B87" s="8">
        <v>45383</v>
      </c>
      <c r="C87" s="34" t="s">
        <v>41</v>
      </c>
      <c r="D87" s="5" t="s">
        <v>36</v>
      </c>
      <c r="E87" s="5"/>
      <c r="F87" s="5"/>
      <c r="G87" s="5" cm="1">
        <f t="array" ref="G87">_xlfn.XLOOKUP(Table_Investimentos_Porcent[[#This Row],[Data]]&amp;Table_Investimentos_Porcent[[#This Row],[Nome]],Table_Investimentos_Main[Data]&amp;Table_Investimentos_Main[Nome],Table_Investimentos_Main[Estratégia],"NOT FOUND")</f>
        <v>0</v>
      </c>
      <c r="H87" s="5" t="str" cm="1">
        <f t="array" ref="H87">_xlfn.XLOOKUP(Table_Investimentos_Porcent[[#This Row],[Data]]&amp;Table_Investimentos_Porcent[[#This Row],[Nome]],Table_Investimentos_Main[Data]&amp;Table_Investimentos_Main[Nome],Table_Investimentos_Main[Moeda Base],"NOT FOUND")</f>
        <v>BTC</v>
      </c>
      <c r="I87" s="69">
        <v>1</v>
      </c>
      <c r="J87" s="18" cm="1">
        <f t="array" ref="J87">Table_Investimentos_Porcent[[#This Row],[Porcentagem]]*_xlfn.XLOOKUP(Table_Investimentos_Porcent[[#This Row],[Data]]&amp;Table_Investimentos_Porcent[[#This Row],[Nome]],Table_Investimentos_Main[Data]&amp;Table_Investimentos_Main[Nome],Table_Investimentos_Main[Total (R$)],"NOT FOUND")</f>
        <v>54110.79737</v>
      </c>
      <c r="K87" s="80" cm="1">
        <f t="array" ref="K87">Table_Investimentos_Porcent[[#This Row],[Total (R$)]]/_xlfn.XLOOKUP(Table_Investimentos_Porcent[[#This Row],[Data]]&amp;Table_Investimentos_Porcent[[#This Row],[Nome]],Table_Investimentos_Main[Data]&amp;Table_Investimentos_Main[Nome],Table_Investimentos_Main[Cotação Dolar],"NOT FOUND")</f>
        <v>10576.158038035299</v>
      </c>
      <c r="O87" s="3"/>
      <c r="P87" s="3"/>
      <c r="Q87" s="3"/>
      <c r="V87" s="5"/>
      <c r="W87" s="5"/>
    </row>
    <row r="88" spans="2:23" x14ac:dyDescent="0.2">
      <c r="B88" s="8">
        <v>45383</v>
      </c>
      <c r="C88" s="34" t="s">
        <v>44</v>
      </c>
      <c r="D88" s="5" t="s">
        <v>23</v>
      </c>
      <c r="E88" s="5"/>
      <c r="F88" s="5"/>
      <c r="G88" s="5" cm="1">
        <f t="array" ref="G88">_xlfn.XLOOKUP(Table_Investimentos_Porcent[[#This Row],[Data]]&amp;Table_Investimentos_Porcent[[#This Row],[Nome]],Table_Investimentos_Main[Data]&amp;Table_Investimentos_Main[Nome],Table_Investimentos_Main[Estratégia],"NOT FOUND")</f>
        <v>0</v>
      </c>
      <c r="H88" s="5" t="str" cm="1">
        <f t="array" ref="H88">_xlfn.XLOOKUP(Table_Investimentos_Porcent[[#This Row],[Data]]&amp;Table_Investimentos_Porcent[[#This Row],[Nome]],Table_Investimentos_Main[Data]&amp;Table_Investimentos_Main[Nome],Table_Investimentos_Main[Moeda Base],"NOT FOUND")</f>
        <v>USD</v>
      </c>
      <c r="I88" s="69">
        <v>1</v>
      </c>
      <c r="J88" s="18" cm="1">
        <f t="array" ref="J88">Table_Investimentos_Porcent[[#This Row],[Porcentagem]]*_xlfn.XLOOKUP(Table_Investimentos_Porcent[[#This Row],[Data]]&amp;Table_Investimentos_Porcent[[#This Row],[Nome]],Table_Investimentos_Main[Data]&amp;Table_Investimentos_Main[Nome],Table_Investimentos_Main[Total (R$)],"NOT FOUND")</f>
        <v>17585.23473</v>
      </c>
      <c r="K88" s="80" cm="1">
        <f t="array" ref="K88">Table_Investimentos_Porcent[[#This Row],[Total (R$)]]/_xlfn.XLOOKUP(Table_Investimentos_Porcent[[#This Row],[Data]]&amp;Table_Investimentos_Porcent[[#This Row],[Nome]],Table_Investimentos_Main[Data]&amp;Table_Investimentos_Main[Nome],Table_Investimentos_Main[Cotação Dolar],"NOT FOUND")</f>
        <v>3437.1</v>
      </c>
      <c r="O88" s="3"/>
      <c r="P88" s="3"/>
      <c r="Q88" s="3"/>
      <c r="V88" s="5"/>
      <c r="W88" s="5"/>
    </row>
    <row r="89" spans="2:23" x14ac:dyDescent="0.2">
      <c r="B89" s="8">
        <v>45383</v>
      </c>
      <c r="C89" s="34" t="s">
        <v>42</v>
      </c>
      <c r="D89" s="5" t="s">
        <v>36</v>
      </c>
      <c r="E89" s="5"/>
      <c r="F89" s="5"/>
      <c r="G89" s="5" cm="1">
        <f t="array" ref="G89">_xlfn.XLOOKUP(Table_Investimentos_Porcent[[#This Row],[Data]]&amp;Table_Investimentos_Porcent[[#This Row],[Nome]],Table_Investimentos_Main[Data]&amp;Table_Investimentos_Main[Nome],Table_Investimentos_Main[Estratégia],"NOT FOUND")</f>
        <v>0</v>
      </c>
      <c r="H89" s="5" t="str" cm="1">
        <f t="array" ref="H89">_xlfn.XLOOKUP(Table_Investimentos_Porcent[[#This Row],[Data]]&amp;Table_Investimentos_Porcent[[#This Row],[Nome]],Table_Investimentos_Main[Data]&amp;Table_Investimentos_Main[Nome],Table_Investimentos_Main[Moeda Base],"NOT FOUND")</f>
        <v>BTC</v>
      </c>
      <c r="I89" s="69">
        <v>1</v>
      </c>
      <c r="J89" s="18" cm="1">
        <f t="array" ref="J89">Table_Investimentos_Porcent[[#This Row],[Porcentagem]]*_xlfn.XLOOKUP(Table_Investimentos_Porcent[[#This Row],[Data]]&amp;Table_Investimentos_Porcent[[#This Row],[Nome]],Table_Investimentos_Main[Data]&amp;Table_Investimentos_Main[Nome],Table_Investimentos_Main[Total (R$)],"NOT FOUND")</f>
        <v>13972.283884300001</v>
      </c>
      <c r="K89" s="80" cm="1">
        <f t="array" ref="K89">Table_Investimentos_Porcent[[#This Row],[Total (R$)]]/_xlfn.XLOOKUP(Table_Investimentos_Porcent[[#This Row],[Data]]&amp;Table_Investimentos_Porcent[[#This Row],[Nome]],Table_Investimentos_Main[Data]&amp;Table_Investimentos_Main[Nome],Table_Investimentos_Main[Cotação Dolar],"NOT FOUND")</f>
        <v>2730.9352235599949</v>
      </c>
      <c r="O89" s="3"/>
      <c r="P89" s="3"/>
      <c r="Q89" s="3"/>
      <c r="V89" s="5"/>
      <c r="W89" s="5"/>
    </row>
    <row r="90" spans="2:23" x14ac:dyDescent="0.2">
      <c r="B90" s="8">
        <v>45413</v>
      </c>
      <c r="C90" s="34" t="s">
        <v>45</v>
      </c>
      <c r="D90" s="5" t="s">
        <v>17</v>
      </c>
      <c r="E90" s="5"/>
      <c r="F90" s="5"/>
      <c r="G90" s="5" cm="1">
        <f t="array" ref="G90">_xlfn.XLOOKUP(Table_Investimentos_Porcent[[#This Row],[Data]]&amp;Table_Investimentos_Porcent[[#This Row],[Nome]],Table_Investimentos_Main[Data]&amp;Table_Investimentos_Main[Nome],Table_Investimentos_Main[Estratégia],"NOT FOUND")</f>
        <v>0</v>
      </c>
      <c r="H90" s="5" t="str" cm="1">
        <f t="array" ref="H90">_xlfn.XLOOKUP(Table_Investimentos_Porcent[[#This Row],[Data]]&amp;Table_Investimentos_Porcent[[#This Row],[Nome]],Table_Investimentos_Main[Data]&amp;Table_Investimentos_Main[Nome],Table_Investimentos_Main[Moeda Base],"NOT FOUND")</f>
        <v>BRL</v>
      </c>
      <c r="I90" s="69">
        <v>1</v>
      </c>
      <c r="J90" s="18" cm="1">
        <f t="array" ref="J90">Table_Investimentos_Porcent[[#This Row],[Porcentagem]]*_xlfn.XLOOKUP(Table_Investimentos_Porcent[[#This Row],[Data]]&amp;Table_Investimentos_Porcent[[#This Row],[Nome]],Table_Investimentos_Main[Data]&amp;Table_Investimentos_Main[Nome],Table_Investimentos_Main[Total (R$)],"NOT FOUND")</f>
        <v>16611</v>
      </c>
      <c r="K90" s="80" cm="1">
        <f t="array" ref="K90">Table_Investimentos_Porcent[[#This Row],[Total (R$)]]/_xlfn.XLOOKUP(Table_Investimentos_Porcent[[#This Row],[Data]]&amp;Table_Investimentos_Porcent[[#This Row],[Nome]],Table_Investimentos_Main[Data]&amp;Table_Investimentos_Main[Nome],Table_Investimentos_Main[Cotação Dolar],"NOT FOUND")</f>
        <v>3222.3084384093113</v>
      </c>
      <c r="O90" s="3"/>
      <c r="P90" s="3"/>
      <c r="Q90" s="3"/>
      <c r="V90" s="5"/>
      <c r="W90" s="5"/>
    </row>
    <row r="91" spans="2:23" x14ac:dyDescent="0.2">
      <c r="B91" s="8">
        <v>45413</v>
      </c>
      <c r="C91" s="34" t="s">
        <v>41</v>
      </c>
      <c r="D91" s="5" t="s">
        <v>36</v>
      </c>
      <c r="E91" s="5"/>
      <c r="F91" s="5"/>
      <c r="G91" s="5" cm="1">
        <f t="array" ref="G91">_xlfn.XLOOKUP(Table_Investimentos_Porcent[[#This Row],[Data]]&amp;Table_Investimentos_Porcent[[#This Row],[Nome]],Table_Investimentos_Main[Data]&amp;Table_Investimentos_Main[Nome],Table_Investimentos_Main[Estratégia],"NOT FOUND")</f>
        <v>0</v>
      </c>
      <c r="H91" s="5" t="str" cm="1">
        <f t="array" ref="H91">_xlfn.XLOOKUP(Table_Investimentos_Porcent[[#This Row],[Data]]&amp;Table_Investimentos_Porcent[[#This Row],[Nome]],Table_Investimentos_Main[Data]&amp;Table_Investimentos_Main[Nome],Table_Investimentos_Main[Moeda Base],"NOT FOUND")</f>
        <v>BTC</v>
      </c>
      <c r="I91" s="69">
        <v>1</v>
      </c>
      <c r="J91" s="18" cm="1">
        <f t="array" ref="J91">Table_Investimentos_Porcent[[#This Row],[Porcentagem]]*_xlfn.XLOOKUP(Table_Investimentos_Porcent[[#This Row],[Data]]&amp;Table_Investimentos_Porcent[[#This Row],[Nome]],Table_Investimentos_Main[Data]&amp;Table_Investimentos_Main[Nome],Table_Investimentos_Main[Total (R$)],"NOT FOUND")</f>
        <v>63740.378279999997</v>
      </c>
      <c r="K91" s="80" cm="1">
        <f t="array" ref="K91">Table_Investimentos_Porcent[[#This Row],[Total (R$)]]/_xlfn.XLOOKUP(Table_Investimentos_Porcent[[#This Row],[Data]]&amp;Table_Investimentos_Porcent[[#This Row],[Nome]],Table_Investimentos_Main[Data]&amp;Table_Investimentos_Main[Nome],Table_Investimentos_Main[Cotação Dolar],"NOT FOUND")</f>
        <v>12364.76785257032</v>
      </c>
      <c r="O91" s="3"/>
      <c r="P91" s="3"/>
      <c r="Q91" s="3"/>
      <c r="V91" s="5"/>
      <c r="W91" s="5"/>
    </row>
    <row r="92" spans="2:23" x14ac:dyDescent="0.2">
      <c r="B92" s="8">
        <v>45413</v>
      </c>
      <c r="C92" s="34" t="s">
        <v>44</v>
      </c>
      <c r="D92" s="5" t="s">
        <v>23</v>
      </c>
      <c r="E92" s="5"/>
      <c r="F92" s="5"/>
      <c r="G92" s="5" cm="1">
        <f t="array" ref="G92">_xlfn.XLOOKUP(Table_Investimentos_Porcent[[#This Row],[Data]]&amp;Table_Investimentos_Porcent[[#This Row],[Nome]],Table_Investimentos_Main[Data]&amp;Table_Investimentos_Main[Nome],Table_Investimentos_Main[Estratégia],"NOT FOUND")</f>
        <v>0</v>
      </c>
      <c r="H92" s="5" t="str" cm="1">
        <f t="array" ref="H92">_xlfn.XLOOKUP(Table_Investimentos_Porcent[[#This Row],[Data]]&amp;Table_Investimentos_Porcent[[#This Row],[Nome]],Table_Investimentos_Main[Data]&amp;Table_Investimentos_Main[Nome],Table_Investimentos_Main[Moeda Base],"NOT FOUND")</f>
        <v>USD</v>
      </c>
      <c r="I92" s="69">
        <v>1</v>
      </c>
      <c r="J92" s="18" cm="1">
        <f t="array" ref="J92">Table_Investimentos_Porcent[[#This Row],[Porcentagem]]*_xlfn.XLOOKUP(Table_Investimentos_Porcent[[#This Row],[Data]]&amp;Table_Investimentos_Porcent[[#This Row],[Nome]],Table_Investimentos_Main[Data]&amp;Table_Investimentos_Main[Nome],Table_Investimentos_Main[Total (R$)],"NOT FOUND")</f>
        <v>17753.82</v>
      </c>
      <c r="K92" s="80" cm="1">
        <f t="array" ref="K92">Table_Investimentos_Porcent[[#This Row],[Total (R$)]]/_xlfn.XLOOKUP(Table_Investimentos_Porcent[[#This Row],[Data]]&amp;Table_Investimentos_Porcent[[#This Row],[Nome]],Table_Investimentos_Main[Data]&amp;Table_Investimentos_Main[Nome],Table_Investimentos_Main[Cotação Dolar],"NOT FOUND")</f>
        <v>3444</v>
      </c>
      <c r="O92" s="3"/>
      <c r="P92" s="3"/>
      <c r="Q92" s="3"/>
      <c r="V92" s="5"/>
      <c r="W92" s="5"/>
    </row>
    <row r="93" spans="2:23" x14ac:dyDescent="0.2">
      <c r="B93" s="8">
        <v>45413</v>
      </c>
      <c r="C93" s="34" t="s">
        <v>42</v>
      </c>
      <c r="D93" s="5" t="s">
        <v>36</v>
      </c>
      <c r="E93" s="5"/>
      <c r="F93" s="5"/>
      <c r="G93" s="5" cm="1">
        <f t="array" ref="G93">_xlfn.XLOOKUP(Table_Investimentos_Porcent[[#This Row],[Data]]&amp;Table_Investimentos_Porcent[[#This Row],[Nome]],Table_Investimentos_Main[Data]&amp;Table_Investimentos_Main[Nome],Table_Investimentos_Main[Estratégia],"NOT FOUND")</f>
        <v>0</v>
      </c>
      <c r="H93" s="5" t="str" cm="1">
        <f t="array" ref="H93">_xlfn.XLOOKUP(Table_Investimentos_Porcent[[#This Row],[Data]]&amp;Table_Investimentos_Porcent[[#This Row],[Nome]],Table_Investimentos_Main[Data]&amp;Table_Investimentos_Main[Nome],Table_Investimentos_Main[Moeda Base],"NOT FOUND")</f>
        <v>BTC</v>
      </c>
      <c r="I93" s="69">
        <v>1</v>
      </c>
      <c r="J93" s="18" cm="1">
        <f t="array" ref="J93">Table_Investimentos_Porcent[[#This Row],[Porcentagem]]*_xlfn.XLOOKUP(Table_Investimentos_Porcent[[#This Row],[Data]]&amp;Table_Investimentos_Porcent[[#This Row],[Nome]],Table_Investimentos_Main[Data]&amp;Table_Investimentos_Main[Nome],Table_Investimentos_Main[Total (R$)],"NOT FOUND")</f>
        <v>28143.816250799999</v>
      </c>
      <c r="K93" s="80" cm="1">
        <f t="array" ref="K93">Table_Investimentos_Porcent[[#This Row],[Total (R$)]]/_xlfn.XLOOKUP(Table_Investimentos_Porcent[[#This Row],[Data]]&amp;Table_Investimentos_Porcent[[#This Row],[Nome]],Table_Investimentos_Main[Data]&amp;Table_Investimentos_Main[Nome],Table_Investimentos_Main[Cotação Dolar],"NOT FOUND")</f>
        <v>5459.5181863821526</v>
      </c>
      <c r="O93" s="3"/>
      <c r="P93" s="3"/>
      <c r="Q93" s="3"/>
      <c r="V93" s="5"/>
      <c r="W93" s="5"/>
    </row>
    <row r="94" spans="2:23" x14ac:dyDescent="0.2">
      <c r="B94" s="8">
        <v>45444</v>
      </c>
      <c r="C94" s="34" t="s">
        <v>47</v>
      </c>
      <c r="D94" s="5" t="s">
        <v>17</v>
      </c>
      <c r="E94" s="5"/>
      <c r="F94" s="5"/>
      <c r="G94" s="5" cm="1">
        <f t="array" ref="G94">_xlfn.XLOOKUP(Table_Investimentos_Porcent[[#This Row],[Data]]&amp;Table_Investimentos_Porcent[[#This Row],[Nome]],Table_Investimentos_Main[Data]&amp;Table_Investimentos_Main[Nome],Table_Investimentos_Main[Estratégia],"NOT FOUND")</f>
        <v>0</v>
      </c>
      <c r="H94" s="5" t="str" cm="1">
        <f t="array" ref="H94">_xlfn.XLOOKUP(Table_Investimentos_Porcent[[#This Row],[Data]]&amp;Table_Investimentos_Porcent[[#This Row],[Nome]],Table_Investimentos_Main[Data]&amp;Table_Investimentos_Main[Nome],Table_Investimentos_Main[Moeda Base],"NOT FOUND")</f>
        <v>BRL</v>
      </c>
      <c r="I94" s="69">
        <v>1</v>
      </c>
      <c r="J94" s="18" cm="1">
        <f t="array" ref="J94">Table_Investimentos_Porcent[[#This Row],[Porcentagem]]*_xlfn.XLOOKUP(Table_Investimentos_Porcent[[#This Row],[Data]]&amp;Table_Investimentos_Porcent[[#This Row],[Nome]],Table_Investimentos_Main[Data]&amp;Table_Investimentos_Main[Nome],Table_Investimentos_Main[Total (R$)],"NOT FOUND")</f>
        <v>13103.07</v>
      </c>
      <c r="K94" s="80" cm="1">
        <f t="array" ref="K94">Table_Investimentos_Porcent[[#This Row],[Total (R$)]]/_xlfn.XLOOKUP(Table_Investimentos_Porcent[[#This Row],[Data]]&amp;Table_Investimentos_Porcent[[#This Row],[Nome]],Table_Investimentos_Main[Data]&amp;Table_Investimentos_Main[Nome],Table_Investimentos_Main[Cotação Dolar],"NOT FOUND")</f>
        <v>2413.0883977900553</v>
      </c>
      <c r="O94" s="3"/>
      <c r="P94" s="3"/>
      <c r="Q94" s="3"/>
      <c r="V94" s="5"/>
      <c r="W94" s="5"/>
    </row>
    <row r="95" spans="2:23" x14ac:dyDescent="0.2">
      <c r="B95" s="8">
        <v>45444</v>
      </c>
      <c r="C95" s="34" t="s">
        <v>45</v>
      </c>
      <c r="D95" s="5" t="s">
        <v>17</v>
      </c>
      <c r="E95" s="5"/>
      <c r="F95" s="5"/>
      <c r="G95" s="5" cm="1">
        <f t="array" ref="G95">_xlfn.XLOOKUP(Table_Investimentos_Porcent[[#This Row],[Data]]&amp;Table_Investimentos_Porcent[[#This Row],[Nome]],Table_Investimentos_Main[Data]&amp;Table_Investimentos_Main[Nome],Table_Investimentos_Main[Estratégia],"NOT FOUND")</f>
        <v>0</v>
      </c>
      <c r="H95" s="5" t="str" cm="1">
        <f t="array" ref="H95">_xlfn.XLOOKUP(Table_Investimentos_Porcent[[#This Row],[Data]]&amp;Table_Investimentos_Porcent[[#This Row],[Nome]],Table_Investimentos_Main[Data]&amp;Table_Investimentos_Main[Nome],Table_Investimentos_Main[Moeda Base],"NOT FOUND")</f>
        <v>BRL</v>
      </c>
      <c r="I95" s="69">
        <v>1</v>
      </c>
      <c r="J95" s="18" cm="1">
        <f t="array" ref="J95">Table_Investimentos_Porcent[[#This Row],[Porcentagem]]*_xlfn.XLOOKUP(Table_Investimentos_Porcent[[#This Row],[Data]]&amp;Table_Investimentos_Porcent[[#This Row],[Nome]],Table_Investimentos_Main[Data]&amp;Table_Investimentos_Main[Nome],Table_Investimentos_Main[Total (R$)],"NOT FOUND")</f>
        <v>5331.61</v>
      </c>
      <c r="K95" s="80" cm="1">
        <f t="array" ref="K95">Table_Investimentos_Porcent[[#This Row],[Total (R$)]]/_xlfn.XLOOKUP(Table_Investimentos_Porcent[[#This Row],[Data]]&amp;Table_Investimentos_Porcent[[#This Row],[Nome]],Table_Investimentos_Main[Data]&amp;Table_Investimentos_Main[Nome],Table_Investimentos_Main[Cotação Dolar],"NOT FOUND")</f>
        <v>981.88029465930015</v>
      </c>
      <c r="O95" s="3"/>
      <c r="P95" s="3"/>
      <c r="Q95" s="3"/>
      <c r="V95" s="5"/>
      <c r="W95" s="5"/>
    </row>
    <row r="96" spans="2:23" x14ac:dyDescent="0.2">
      <c r="B96" s="8">
        <v>45444</v>
      </c>
      <c r="C96" s="34" t="s">
        <v>41</v>
      </c>
      <c r="D96" s="5" t="s">
        <v>36</v>
      </c>
      <c r="E96" s="5"/>
      <c r="F96" s="5"/>
      <c r="G96" s="5" cm="1">
        <f t="array" ref="G96">_xlfn.XLOOKUP(Table_Investimentos_Porcent[[#This Row],[Data]]&amp;Table_Investimentos_Porcent[[#This Row],[Nome]],Table_Investimentos_Main[Data]&amp;Table_Investimentos_Main[Nome],Table_Investimentos_Main[Estratégia],"NOT FOUND")</f>
        <v>0</v>
      </c>
      <c r="H96" s="5" t="str" cm="1">
        <f t="array" ref="H96">_xlfn.XLOOKUP(Table_Investimentos_Porcent[[#This Row],[Data]]&amp;Table_Investimentos_Porcent[[#This Row],[Nome]],Table_Investimentos_Main[Data]&amp;Table_Investimentos_Main[Nome],Table_Investimentos_Main[Moeda Base],"NOT FOUND")</f>
        <v>BTC</v>
      </c>
      <c r="I96" s="69">
        <v>1</v>
      </c>
      <c r="J96" s="18" cm="1">
        <f t="array" ref="J96">Table_Investimentos_Porcent[[#This Row],[Porcentagem]]*_xlfn.XLOOKUP(Table_Investimentos_Porcent[[#This Row],[Data]]&amp;Table_Investimentos_Porcent[[#This Row],[Nome]],Table_Investimentos_Main[Data]&amp;Table_Investimentos_Main[Nome],Table_Investimentos_Main[Total (R$)],"NOT FOUND")</f>
        <v>62001.47</v>
      </c>
      <c r="K96" s="80" cm="1">
        <f t="array" ref="K96">Table_Investimentos_Porcent[[#This Row],[Total (R$)]]/_xlfn.XLOOKUP(Table_Investimentos_Porcent[[#This Row],[Data]]&amp;Table_Investimentos_Porcent[[#This Row],[Nome]],Table_Investimentos_Main[Data]&amp;Table_Investimentos_Main[Nome],Table_Investimentos_Main[Cotação Dolar],"NOT FOUND")</f>
        <v>11418.318600368324</v>
      </c>
      <c r="O96" s="3"/>
      <c r="P96" s="3"/>
      <c r="Q96" s="3"/>
      <c r="V96" s="5"/>
      <c r="W96" s="5"/>
    </row>
    <row r="97" spans="2:23" x14ac:dyDescent="0.2">
      <c r="B97" s="8">
        <v>45444</v>
      </c>
      <c r="C97" s="34" t="s">
        <v>44</v>
      </c>
      <c r="D97" s="5" t="s">
        <v>23</v>
      </c>
      <c r="E97" s="5"/>
      <c r="F97" s="5"/>
      <c r="G97" s="5" cm="1">
        <f t="array" ref="G97">_xlfn.XLOOKUP(Table_Investimentos_Porcent[[#This Row],[Data]]&amp;Table_Investimentos_Porcent[[#This Row],[Nome]],Table_Investimentos_Main[Data]&amp;Table_Investimentos_Main[Nome],Table_Investimentos_Main[Estratégia],"NOT FOUND")</f>
        <v>0</v>
      </c>
      <c r="H97" s="5" t="str" cm="1">
        <f t="array" ref="H97">_xlfn.XLOOKUP(Table_Investimentos_Porcent[[#This Row],[Data]]&amp;Table_Investimentos_Porcent[[#This Row],[Nome]],Table_Investimentos_Main[Data]&amp;Table_Investimentos_Main[Nome],Table_Investimentos_Main[Moeda Base],"NOT FOUND")</f>
        <v>USD</v>
      </c>
      <c r="I97" s="69">
        <v>1</v>
      </c>
      <c r="J97" s="18" cm="1">
        <f t="array" ref="J97">Table_Investimentos_Porcent[[#This Row],[Porcentagem]]*_xlfn.XLOOKUP(Table_Investimentos_Porcent[[#This Row],[Data]]&amp;Table_Investimentos_Porcent[[#This Row],[Nome]],Table_Investimentos_Main[Data]&amp;Table_Investimentos_Main[Nome],Table_Investimentos_Main[Total (R$)],"NOT FOUND")</f>
        <v>18776.939999999999</v>
      </c>
      <c r="K97" s="80" cm="1">
        <f t="array" ref="K97">Table_Investimentos_Porcent[[#This Row],[Total (R$)]]/_xlfn.XLOOKUP(Table_Investimentos_Porcent[[#This Row],[Data]]&amp;Table_Investimentos_Porcent[[#This Row],[Nome]],Table_Investimentos_Main[Data]&amp;Table_Investimentos_Main[Nome],Table_Investimentos_Main[Cotação Dolar],"NOT FOUND")</f>
        <v>3458</v>
      </c>
      <c r="O97" s="3"/>
      <c r="P97" s="3"/>
      <c r="Q97" s="3"/>
      <c r="V97" s="5"/>
      <c r="W97" s="5"/>
    </row>
    <row r="98" spans="2:23" x14ac:dyDescent="0.2">
      <c r="B98" s="8">
        <v>45444</v>
      </c>
      <c r="C98" s="34" t="s">
        <v>42</v>
      </c>
      <c r="D98" s="5" t="s">
        <v>36</v>
      </c>
      <c r="E98" s="5"/>
      <c r="F98" s="5"/>
      <c r="G98" s="5" cm="1">
        <f t="array" ref="G98">_xlfn.XLOOKUP(Table_Investimentos_Porcent[[#This Row],[Data]]&amp;Table_Investimentos_Porcent[[#This Row],[Nome]],Table_Investimentos_Main[Data]&amp;Table_Investimentos_Main[Nome],Table_Investimentos_Main[Estratégia],"NOT FOUND")</f>
        <v>0</v>
      </c>
      <c r="H98" s="5" t="str" cm="1">
        <f t="array" ref="H98">_xlfn.XLOOKUP(Table_Investimentos_Porcent[[#This Row],[Data]]&amp;Table_Investimentos_Porcent[[#This Row],[Nome]],Table_Investimentos_Main[Data]&amp;Table_Investimentos_Main[Nome],Table_Investimentos_Main[Moeda Base],"NOT FOUND")</f>
        <v>BTC</v>
      </c>
      <c r="I98" s="69">
        <v>1</v>
      </c>
      <c r="J98" s="18" cm="1">
        <f t="array" ref="J98">Table_Investimentos_Porcent[[#This Row],[Porcentagem]]*_xlfn.XLOOKUP(Table_Investimentos_Porcent[[#This Row],[Data]]&amp;Table_Investimentos_Porcent[[#This Row],[Nome]],Table_Investimentos_Main[Data]&amp;Table_Investimentos_Main[Nome],Table_Investimentos_Main[Total (R$)],"NOT FOUND")</f>
        <v>27376.021699999998</v>
      </c>
      <c r="K98" s="80" cm="1">
        <f t="array" ref="K98">Table_Investimentos_Porcent[[#This Row],[Total (R$)]]/_xlfn.XLOOKUP(Table_Investimentos_Porcent[[#This Row],[Data]]&amp;Table_Investimentos_Porcent[[#This Row],[Nome]],Table_Investimentos_Main[Data]&amp;Table_Investimentos_Main[Nome],Table_Investimentos_Main[Cotação Dolar],"NOT FOUND")</f>
        <v>5041.6246224677716</v>
      </c>
      <c r="O98" s="3"/>
      <c r="P98" s="3"/>
      <c r="Q98" s="3"/>
      <c r="V98" s="5"/>
      <c r="W98" s="5"/>
    </row>
    <row r="99" spans="2:23" x14ac:dyDescent="0.2">
      <c r="B99" s="8">
        <v>45444</v>
      </c>
      <c r="C99" s="34" t="s">
        <v>48</v>
      </c>
      <c r="D99" s="5" t="s">
        <v>36</v>
      </c>
      <c r="E99" s="5"/>
      <c r="F99" s="5"/>
      <c r="G99" s="5" cm="1">
        <f t="array" ref="G99">_xlfn.XLOOKUP(Table_Investimentos_Porcent[[#This Row],[Data]]&amp;Table_Investimentos_Porcent[[#This Row],[Nome]],Table_Investimentos_Main[Data]&amp;Table_Investimentos_Main[Nome],Table_Investimentos_Main[Estratégia],"NOT FOUND")</f>
        <v>0</v>
      </c>
      <c r="H99" s="5" t="str" cm="1">
        <f t="array" ref="H99">_xlfn.XLOOKUP(Table_Investimentos_Porcent[[#This Row],[Data]]&amp;Table_Investimentos_Porcent[[#This Row],[Nome]],Table_Investimentos_Main[Data]&amp;Table_Investimentos_Main[Nome],Table_Investimentos_Main[Moeda Base],"NOT FOUND")</f>
        <v>USD</v>
      </c>
      <c r="I99" s="69">
        <v>1</v>
      </c>
      <c r="J99" s="18" cm="1">
        <f t="array" ref="J99">Table_Investimentos_Porcent[[#This Row],[Porcentagem]]*_xlfn.XLOOKUP(Table_Investimentos_Porcent[[#This Row],[Data]]&amp;Table_Investimentos_Porcent[[#This Row],[Nome]],Table_Investimentos_Main[Data]&amp;Table_Investimentos_Main[Nome],Table_Investimentos_Main[Total (R$)],"NOT FOUND")</f>
        <v>2975.64</v>
      </c>
      <c r="K99" s="80" cm="1">
        <f t="array" ref="K99">Table_Investimentos_Porcent[[#This Row],[Total (R$)]]/_xlfn.XLOOKUP(Table_Investimentos_Porcent[[#This Row],[Data]]&amp;Table_Investimentos_Porcent[[#This Row],[Nome]],Table_Investimentos_Main[Data]&amp;Table_Investimentos_Main[Nome],Table_Investimentos_Main[Cotação Dolar],"NOT FOUND")</f>
        <v>548</v>
      </c>
      <c r="O99" s="3"/>
      <c r="P99" s="3"/>
      <c r="Q99" s="3"/>
      <c r="V99" s="5"/>
      <c r="W99" s="5"/>
    </row>
    <row r="100" spans="2:23" x14ac:dyDescent="0.2">
      <c r="B100" s="8">
        <v>45444</v>
      </c>
      <c r="C100" s="34" t="s">
        <v>49</v>
      </c>
      <c r="D100" s="5" t="s">
        <v>36</v>
      </c>
      <c r="E100" s="5"/>
      <c r="F100" s="5"/>
      <c r="G100" s="5" cm="1">
        <f t="array" ref="G100">_xlfn.XLOOKUP(Table_Investimentos_Porcent[[#This Row],[Data]]&amp;Table_Investimentos_Porcent[[#This Row],[Nome]],Table_Investimentos_Main[Data]&amp;Table_Investimentos_Main[Nome],Table_Investimentos_Main[Estratégia],"NOT FOUND")</f>
        <v>0</v>
      </c>
      <c r="H100" s="5" t="str" cm="1">
        <f t="array" ref="H100">_xlfn.XLOOKUP(Table_Investimentos_Porcent[[#This Row],[Data]]&amp;Table_Investimentos_Porcent[[#This Row],[Nome]],Table_Investimentos_Main[Data]&amp;Table_Investimentos_Main[Nome],Table_Investimentos_Main[Moeda Base],"NOT FOUND")</f>
        <v>USD</v>
      </c>
      <c r="I100" s="69">
        <v>1</v>
      </c>
      <c r="J100" s="18" cm="1">
        <f t="array" ref="J100">Table_Investimentos_Porcent[[#This Row],[Porcentagem]]*_xlfn.XLOOKUP(Table_Investimentos_Porcent[[#This Row],[Data]]&amp;Table_Investimentos_Porcent[[#This Row],[Nome]],Table_Investimentos_Main[Data]&amp;Table_Investimentos_Main[Nome],Table_Investimentos_Main[Total (R$)],"NOT FOUND")</f>
        <v>1330.35</v>
      </c>
      <c r="K100" s="80" cm="1">
        <f t="array" ref="K100">Table_Investimentos_Porcent[[#This Row],[Total (R$)]]/_xlfn.XLOOKUP(Table_Investimentos_Porcent[[#This Row],[Data]]&amp;Table_Investimentos_Porcent[[#This Row],[Nome]],Table_Investimentos_Main[Data]&amp;Table_Investimentos_Main[Nome],Table_Investimentos_Main[Cotação Dolar],"NOT FOUND")</f>
        <v>245</v>
      </c>
      <c r="O100" s="3"/>
      <c r="P100" s="3"/>
      <c r="Q100" s="3"/>
      <c r="V100" s="5"/>
      <c r="W100" s="5"/>
    </row>
    <row r="101" spans="2:23" x14ac:dyDescent="0.2">
      <c r="B101" s="8">
        <v>45505</v>
      </c>
      <c r="C101" s="34" t="s">
        <v>47</v>
      </c>
      <c r="D101" s="5" t="s">
        <v>17</v>
      </c>
      <c r="E101" s="5"/>
      <c r="F101" s="5"/>
      <c r="G101" s="5" cm="1">
        <f t="array" ref="G101">_xlfn.XLOOKUP(Table_Investimentos_Porcent[[#This Row],[Data]]&amp;Table_Investimentos_Porcent[[#This Row],[Nome]],Table_Investimentos_Main[Data]&amp;Table_Investimentos_Main[Nome],Table_Investimentos_Main[Estratégia],"NOT FOUND")</f>
        <v>0</v>
      </c>
      <c r="H101" s="5" t="str" cm="1">
        <f t="array" ref="H101">_xlfn.XLOOKUP(Table_Investimentos_Porcent[[#This Row],[Data]]&amp;Table_Investimentos_Porcent[[#This Row],[Nome]],Table_Investimentos_Main[Data]&amp;Table_Investimentos_Main[Nome],Table_Investimentos_Main[Moeda Base],"NOT FOUND")</f>
        <v>BRL</v>
      </c>
      <c r="I101" s="69">
        <v>1</v>
      </c>
      <c r="J101" s="18" cm="1">
        <f t="array" ref="J101">Table_Investimentos_Porcent[[#This Row],[Porcentagem]]*_xlfn.XLOOKUP(Table_Investimentos_Porcent[[#This Row],[Data]]&amp;Table_Investimentos_Porcent[[#This Row],[Nome]],Table_Investimentos_Main[Data]&amp;Table_Investimentos_Main[Nome],Table_Investimentos_Main[Total (R$)],"NOT FOUND")</f>
        <v>11305.1</v>
      </c>
      <c r="K101" s="80" cm="1">
        <f t="array" ref="K101">Table_Investimentos_Porcent[[#This Row],[Total (R$)]]/_xlfn.XLOOKUP(Table_Investimentos_Porcent[[#This Row],[Data]]&amp;Table_Investimentos_Porcent[[#This Row],[Nome]],Table_Investimentos_Main[Data]&amp;Table_Investimentos_Main[Nome],Table_Investimentos_Main[Cotação Dolar],"NOT FOUND")</f>
        <v>2055.4727272727273</v>
      </c>
      <c r="O101" s="3"/>
      <c r="P101" s="3"/>
      <c r="Q101" s="3"/>
      <c r="V101" s="5"/>
      <c r="W101" s="5"/>
    </row>
    <row r="102" spans="2:23" x14ac:dyDescent="0.2">
      <c r="B102" s="8">
        <v>45505</v>
      </c>
      <c r="C102" s="34" t="s">
        <v>45</v>
      </c>
      <c r="D102" s="5" t="s">
        <v>17</v>
      </c>
      <c r="E102" s="5"/>
      <c r="F102" s="5"/>
      <c r="G102" s="5" cm="1">
        <f t="array" ref="G102">_xlfn.XLOOKUP(Table_Investimentos_Porcent[[#This Row],[Data]]&amp;Table_Investimentos_Porcent[[#This Row],[Nome]],Table_Investimentos_Main[Data]&amp;Table_Investimentos_Main[Nome],Table_Investimentos_Main[Estratégia],"NOT FOUND")</f>
        <v>0</v>
      </c>
      <c r="H102" s="5" t="str" cm="1">
        <f t="array" ref="H102">_xlfn.XLOOKUP(Table_Investimentos_Porcent[[#This Row],[Data]]&amp;Table_Investimentos_Porcent[[#This Row],[Nome]],Table_Investimentos_Main[Data]&amp;Table_Investimentos_Main[Nome],Table_Investimentos_Main[Moeda Base],"NOT FOUND")</f>
        <v>BRL</v>
      </c>
      <c r="I102" s="69">
        <v>1</v>
      </c>
      <c r="J102" s="18" cm="1">
        <f t="array" ref="J102">Table_Investimentos_Porcent[[#This Row],[Porcentagem]]*_xlfn.XLOOKUP(Table_Investimentos_Porcent[[#This Row],[Data]]&amp;Table_Investimentos_Porcent[[#This Row],[Nome]],Table_Investimentos_Main[Data]&amp;Table_Investimentos_Main[Nome],Table_Investimentos_Main[Total (R$)],"NOT FOUND")</f>
        <v>3002.8</v>
      </c>
      <c r="K102" s="80" cm="1">
        <f t="array" ref="K102">Table_Investimentos_Porcent[[#This Row],[Total (R$)]]/_xlfn.XLOOKUP(Table_Investimentos_Porcent[[#This Row],[Data]]&amp;Table_Investimentos_Porcent[[#This Row],[Nome]],Table_Investimentos_Main[Data]&amp;Table_Investimentos_Main[Nome],Table_Investimentos_Main[Cotação Dolar],"NOT FOUND")</f>
        <v>545.9636363636364</v>
      </c>
      <c r="O102" s="3"/>
      <c r="P102" s="3"/>
      <c r="Q102" s="3"/>
      <c r="V102" s="5"/>
      <c r="W102" s="5"/>
    </row>
    <row r="103" spans="2:23" x14ac:dyDescent="0.2">
      <c r="B103" s="8">
        <v>45505</v>
      </c>
      <c r="C103" s="34" t="s">
        <v>41</v>
      </c>
      <c r="D103" s="5" t="s">
        <v>36</v>
      </c>
      <c r="E103" s="5"/>
      <c r="F103" s="5"/>
      <c r="G103" s="5" cm="1">
        <f t="array" ref="G103">_xlfn.XLOOKUP(Table_Investimentos_Porcent[[#This Row],[Data]]&amp;Table_Investimentos_Porcent[[#This Row],[Nome]],Table_Investimentos_Main[Data]&amp;Table_Investimentos_Main[Nome],Table_Investimentos_Main[Estratégia],"NOT FOUND")</f>
        <v>0</v>
      </c>
      <c r="H103" s="5" t="str" cm="1">
        <f t="array" ref="H103">_xlfn.XLOOKUP(Table_Investimentos_Porcent[[#This Row],[Data]]&amp;Table_Investimentos_Porcent[[#This Row],[Nome]],Table_Investimentos_Main[Data]&amp;Table_Investimentos_Main[Nome],Table_Investimentos_Main[Moeda Base],"NOT FOUND")</f>
        <v>BTC</v>
      </c>
      <c r="I103" s="69">
        <v>1</v>
      </c>
      <c r="J103" s="18" cm="1">
        <f t="array" ref="J103">Table_Investimentos_Porcent[[#This Row],[Porcentagem]]*_xlfn.XLOOKUP(Table_Investimentos_Porcent[[#This Row],[Data]]&amp;Table_Investimentos_Porcent[[#This Row],[Nome]],Table_Investimentos_Main[Data]&amp;Table_Investimentos_Main[Nome],Table_Investimentos_Main[Total (R$)],"NOT FOUND")</f>
        <v>87717.971818556995</v>
      </c>
      <c r="K103" s="80" cm="1">
        <f t="array" ref="K103">Table_Investimentos_Porcent[[#This Row],[Total (R$)]]/_xlfn.XLOOKUP(Table_Investimentos_Porcent[[#This Row],[Data]]&amp;Table_Investimentos_Porcent[[#This Row],[Nome]],Table_Investimentos_Main[Data]&amp;Table_Investimentos_Main[Nome],Table_Investimentos_Main[Cotação Dolar],"NOT FOUND")</f>
        <v>15948.722148828545</v>
      </c>
      <c r="O103" s="3"/>
      <c r="P103" s="3"/>
      <c r="Q103" s="3"/>
      <c r="V103" s="5"/>
      <c r="W103" s="5"/>
    </row>
    <row r="104" spans="2:23" x14ac:dyDescent="0.2">
      <c r="B104" s="8">
        <v>45505</v>
      </c>
      <c r="C104" s="34" t="s">
        <v>44</v>
      </c>
      <c r="D104" s="5" t="s">
        <v>23</v>
      </c>
      <c r="E104" s="5"/>
      <c r="F104" s="5"/>
      <c r="G104" s="5" cm="1">
        <f t="array" ref="G104">_xlfn.XLOOKUP(Table_Investimentos_Porcent[[#This Row],[Data]]&amp;Table_Investimentos_Porcent[[#This Row],[Nome]],Table_Investimentos_Main[Data]&amp;Table_Investimentos_Main[Nome],Table_Investimentos_Main[Estratégia],"NOT FOUND")</f>
        <v>0</v>
      </c>
      <c r="H104" s="5" t="str" cm="1">
        <f t="array" ref="H104">_xlfn.XLOOKUP(Table_Investimentos_Porcent[[#This Row],[Data]]&amp;Table_Investimentos_Porcent[[#This Row],[Nome]],Table_Investimentos_Main[Data]&amp;Table_Investimentos_Main[Nome],Table_Investimentos_Main[Moeda Base],"NOT FOUND")</f>
        <v>USD</v>
      </c>
      <c r="I104" s="69">
        <v>1</v>
      </c>
      <c r="J104" s="18" cm="1">
        <f t="array" ref="J104">Table_Investimentos_Porcent[[#This Row],[Porcentagem]]*_xlfn.XLOOKUP(Table_Investimentos_Porcent[[#This Row],[Data]]&amp;Table_Investimentos_Porcent[[#This Row],[Nome]],Table_Investimentos_Main[Data]&amp;Table_Investimentos_Main[Nome],Table_Investimentos_Main[Total (R$)],"NOT FOUND")</f>
        <v>18766</v>
      </c>
      <c r="K104" s="80" cm="1">
        <f t="array" ref="K104">Table_Investimentos_Porcent[[#This Row],[Total (R$)]]/_xlfn.XLOOKUP(Table_Investimentos_Porcent[[#This Row],[Data]]&amp;Table_Investimentos_Porcent[[#This Row],[Nome]],Table_Investimentos_Main[Data]&amp;Table_Investimentos_Main[Nome],Table_Investimentos_Main[Cotação Dolar],"NOT FOUND")</f>
        <v>3412</v>
      </c>
      <c r="O104" s="3"/>
      <c r="P104" s="3"/>
      <c r="Q104" s="3"/>
      <c r="V104" s="5"/>
      <c r="W104" s="5"/>
    </row>
    <row r="105" spans="2:23" x14ac:dyDescent="0.2">
      <c r="B105" s="8">
        <v>45505</v>
      </c>
      <c r="C105" s="34" t="s">
        <v>42</v>
      </c>
      <c r="D105" s="5" t="s">
        <v>36</v>
      </c>
      <c r="E105" s="5"/>
      <c r="F105" s="5"/>
      <c r="G105" s="5" cm="1">
        <f t="array" ref="G105">_xlfn.XLOOKUP(Table_Investimentos_Porcent[[#This Row],[Data]]&amp;Table_Investimentos_Porcent[[#This Row],[Nome]],Table_Investimentos_Main[Data]&amp;Table_Investimentos_Main[Nome],Table_Investimentos_Main[Estratégia],"NOT FOUND")</f>
        <v>0</v>
      </c>
      <c r="H105" s="5" t="str" cm="1">
        <f t="array" ref="H105">_xlfn.XLOOKUP(Table_Investimentos_Porcent[[#This Row],[Data]]&amp;Table_Investimentos_Porcent[[#This Row],[Nome]],Table_Investimentos_Main[Data]&amp;Table_Investimentos_Main[Nome],Table_Investimentos_Main[Moeda Base],"NOT FOUND")</f>
        <v>BTC</v>
      </c>
      <c r="I105" s="69">
        <v>1</v>
      </c>
      <c r="J105" s="18" cm="1">
        <f t="array" ref="J105">Table_Investimentos_Porcent[[#This Row],[Porcentagem]]*_xlfn.XLOOKUP(Table_Investimentos_Porcent[[#This Row],[Data]]&amp;Table_Investimentos_Porcent[[#This Row],[Nome]],Table_Investimentos_Main[Data]&amp;Table_Investimentos_Main[Nome],Table_Investimentos_Main[Total (R$)],"NOT FOUND")</f>
        <v>5381.5202989937998</v>
      </c>
      <c r="K105" s="80" cm="1">
        <f t="array" ref="K105">Table_Investimentos_Porcent[[#This Row],[Total (R$)]]/_xlfn.XLOOKUP(Table_Investimentos_Porcent[[#This Row],[Data]]&amp;Table_Investimentos_Porcent[[#This Row],[Nome]],Table_Investimentos_Main[Data]&amp;Table_Investimentos_Main[Nome],Table_Investimentos_Main[Cotação Dolar],"NOT FOUND")</f>
        <v>978.45823618069085</v>
      </c>
      <c r="O105" s="3"/>
      <c r="P105" s="3"/>
      <c r="Q105" s="3"/>
      <c r="V105" s="5"/>
      <c r="W105" s="5"/>
    </row>
    <row r="106" spans="2:23" x14ac:dyDescent="0.2">
      <c r="B106" s="8">
        <v>45505</v>
      </c>
      <c r="C106" s="34" t="s">
        <v>48</v>
      </c>
      <c r="D106" s="5" t="s">
        <v>36</v>
      </c>
      <c r="E106" s="5"/>
      <c r="F106" s="5"/>
      <c r="G106" s="5" cm="1">
        <f t="array" ref="G106">_xlfn.XLOOKUP(Table_Investimentos_Porcent[[#This Row],[Data]]&amp;Table_Investimentos_Porcent[[#This Row],[Nome]],Table_Investimentos_Main[Data]&amp;Table_Investimentos_Main[Nome],Table_Investimentos_Main[Estratégia],"NOT FOUND")</f>
        <v>0</v>
      </c>
      <c r="H106" s="5" t="str" cm="1">
        <f t="array" ref="H106">_xlfn.XLOOKUP(Table_Investimentos_Porcent[[#This Row],[Data]]&amp;Table_Investimentos_Porcent[[#This Row],[Nome]],Table_Investimentos_Main[Data]&amp;Table_Investimentos_Main[Nome],Table_Investimentos_Main[Moeda Base],"NOT FOUND")</f>
        <v>USD</v>
      </c>
      <c r="I106" s="69">
        <v>1</v>
      </c>
      <c r="J106" s="18" cm="1">
        <f t="array" ref="J106">Table_Investimentos_Porcent[[#This Row],[Porcentagem]]*_xlfn.XLOOKUP(Table_Investimentos_Porcent[[#This Row],[Data]]&amp;Table_Investimentos_Porcent[[#This Row],[Nome]],Table_Investimentos_Main[Data]&amp;Table_Investimentos_Main[Nome],Table_Investimentos_Main[Total (R$)],"NOT FOUND")</f>
        <v>2276.4499999999998</v>
      </c>
      <c r="K106" s="80" cm="1">
        <f t="array" ref="K106">Table_Investimentos_Porcent[[#This Row],[Total (R$)]]/_xlfn.XLOOKUP(Table_Investimentos_Porcent[[#This Row],[Data]]&amp;Table_Investimentos_Porcent[[#This Row],[Nome]],Table_Investimentos_Main[Data]&amp;Table_Investimentos_Main[Nome],Table_Investimentos_Main[Cotação Dolar],"NOT FOUND")</f>
        <v>413.9</v>
      </c>
      <c r="O106" s="3"/>
      <c r="P106" s="3"/>
      <c r="Q106" s="3"/>
      <c r="V106" s="5"/>
      <c r="W106" s="5"/>
    </row>
    <row r="107" spans="2:23" x14ac:dyDescent="0.2">
      <c r="B107" s="8">
        <v>45505</v>
      </c>
      <c r="C107" s="34" t="s">
        <v>49</v>
      </c>
      <c r="D107" s="5" t="s">
        <v>36</v>
      </c>
      <c r="E107" s="5"/>
      <c r="F107" s="5"/>
      <c r="G107" s="5" cm="1">
        <f t="array" ref="G107">_xlfn.XLOOKUP(Table_Investimentos_Porcent[[#This Row],[Data]]&amp;Table_Investimentos_Porcent[[#This Row],[Nome]],Table_Investimentos_Main[Data]&amp;Table_Investimentos_Main[Nome],Table_Investimentos_Main[Estratégia],"NOT FOUND")</f>
        <v>0</v>
      </c>
      <c r="H107" s="5" t="str" cm="1">
        <f t="array" ref="H107">_xlfn.XLOOKUP(Table_Investimentos_Porcent[[#This Row],[Data]]&amp;Table_Investimentos_Porcent[[#This Row],[Nome]],Table_Investimentos_Main[Data]&amp;Table_Investimentos_Main[Nome],Table_Investimentos_Main[Moeda Base],"NOT FOUND")</f>
        <v>USD</v>
      </c>
      <c r="I107" s="69">
        <v>1</v>
      </c>
      <c r="J107" s="18" cm="1">
        <f t="array" ref="J107">Table_Investimentos_Porcent[[#This Row],[Porcentagem]]*_xlfn.XLOOKUP(Table_Investimentos_Porcent[[#This Row],[Data]]&amp;Table_Investimentos_Porcent[[#This Row],[Nome]],Table_Investimentos_Main[Data]&amp;Table_Investimentos_Main[Nome],Table_Investimentos_Main[Total (R$)],"NOT FOUND")</f>
        <v>3954.3900000000003</v>
      </c>
      <c r="K107" s="80" cm="1">
        <f t="array" ref="K107">Table_Investimentos_Porcent[[#This Row],[Total (R$)]]/_xlfn.XLOOKUP(Table_Investimentos_Porcent[[#This Row],[Data]]&amp;Table_Investimentos_Porcent[[#This Row],[Nome]],Table_Investimentos_Main[Data]&amp;Table_Investimentos_Main[Nome],Table_Investimentos_Main[Cotação Dolar],"NOT FOUND")</f>
        <v>718.98</v>
      </c>
      <c r="O107" s="3"/>
      <c r="P107" s="3"/>
      <c r="Q107" s="3"/>
      <c r="V107" s="5"/>
      <c r="W107" s="5"/>
    </row>
    <row r="108" spans="2:23" x14ac:dyDescent="0.2">
      <c r="B108" s="8">
        <v>45536</v>
      </c>
      <c r="C108" s="34" t="s">
        <v>47</v>
      </c>
      <c r="D108" s="5" t="s">
        <v>20</v>
      </c>
      <c r="E108" s="5"/>
      <c r="F108" s="5"/>
      <c r="G108" s="5" cm="1">
        <f t="array" ref="G108">_xlfn.XLOOKUP(Table_Investimentos_Porcent[[#This Row],[Data]]&amp;Table_Investimentos_Porcent[[#This Row],[Nome]],Table_Investimentos_Main[Data]&amp;Table_Investimentos_Main[Nome],Table_Investimentos_Main[Estratégia],"NOT FOUND")</f>
        <v>0</v>
      </c>
      <c r="H108" s="5" t="str" cm="1">
        <f t="array" ref="H108">_xlfn.XLOOKUP(Table_Investimentos_Porcent[[#This Row],[Data]]&amp;Table_Investimentos_Porcent[[#This Row],[Nome]],Table_Investimentos_Main[Data]&amp;Table_Investimentos_Main[Nome],Table_Investimentos_Main[Moeda Base],"NOT FOUND")</f>
        <v>BRL</v>
      </c>
      <c r="I108" s="69">
        <v>1</v>
      </c>
      <c r="J108" s="18" cm="1">
        <f t="array" ref="J108">Table_Investimentos_Porcent[[#This Row],[Porcentagem]]*_xlfn.XLOOKUP(Table_Investimentos_Porcent[[#This Row],[Data]]&amp;Table_Investimentos_Porcent[[#This Row],[Nome]],Table_Investimentos_Main[Data]&amp;Table_Investimentos_Main[Nome],Table_Investimentos_Main[Total (R$)],"NOT FOUND")</f>
        <v>2355.31</v>
      </c>
      <c r="K108" s="80" cm="1">
        <f t="array" ref="K108">Table_Investimentos_Porcent[[#This Row],[Total (R$)]]/_xlfn.XLOOKUP(Table_Investimentos_Porcent[[#This Row],[Data]]&amp;Table_Investimentos_Porcent[[#This Row],[Nome]],Table_Investimentos_Main[Data]&amp;Table_Investimentos_Main[Nome],Table_Investimentos_Main[Cotação Dolar],"NOT FOUND")</f>
        <v>426.68659420289856</v>
      </c>
      <c r="O108" s="3"/>
      <c r="P108" s="3"/>
      <c r="Q108" s="3"/>
      <c r="V108" s="5"/>
      <c r="W108" s="5"/>
    </row>
    <row r="109" spans="2:23" x14ac:dyDescent="0.2">
      <c r="B109" s="8">
        <v>45536</v>
      </c>
      <c r="C109" s="34" t="s">
        <v>45</v>
      </c>
      <c r="D109" s="5" t="s">
        <v>17</v>
      </c>
      <c r="E109" s="5"/>
      <c r="F109" s="5"/>
      <c r="G109" s="5" cm="1">
        <f t="array" ref="G109">_xlfn.XLOOKUP(Table_Investimentos_Porcent[[#This Row],[Data]]&amp;Table_Investimentos_Porcent[[#This Row],[Nome]],Table_Investimentos_Main[Data]&amp;Table_Investimentos_Main[Nome],Table_Investimentos_Main[Estratégia],"NOT FOUND")</f>
        <v>0</v>
      </c>
      <c r="H109" s="5" t="str" cm="1">
        <f t="array" ref="H109">_xlfn.XLOOKUP(Table_Investimentos_Porcent[[#This Row],[Data]]&amp;Table_Investimentos_Porcent[[#This Row],[Nome]],Table_Investimentos_Main[Data]&amp;Table_Investimentos_Main[Nome],Table_Investimentos_Main[Moeda Base],"NOT FOUND")</f>
        <v>BRL</v>
      </c>
      <c r="I109" s="69">
        <v>1</v>
      </c>
      <c r="J109" s="18" cm="1">
        <f t="array" ref="J109">Table_Investimentos_Porcent[[#This Row],[Porcentagem]]*_xlfn.XLOOKUP(Table_Investimentos_Porcent[[#This Row],[Data]]&amp;Table_Investimentos_Porcent[[#This Row],[Nome]],Table_Investimentos_Main[Data]&amp;Table_Investimentos_Main[Nome],Table_Investimentos_Main[Total (R$)],"NOT FOUND")</f>
        <v>950</v>
      </c>
      <c r="K109" s="80" cm="1">
        <f t="array" ref="K109">Table_Investimentos_Porcent[[#This Row],[Total (R$)]]/_xlfn.XLOOKUP(Table_Investimentos_Porcent[[#This Row],[Data]]&amp;Table_Investimentos_Porcent[[#This Row],[Nome]],Table_Investimentos_Main[Data]&amp;Table_Investimentos_Main[Nome],Table_Investimentos_Main[Cotação Dolar],"NOT FOUND")</f>
        <v>172.10144927536234</v>
      </c>
      <c r="O109" s="3"/>
      <c r="P109" s="3"/>
      <c r="Q109" s="3"/>
      <c r="V109" s="5"/>
      <c r="W109" s="5"/>
    </row>
    <row r="110" spans="2:23" x14ac:dyDescent="0.2">
      <c r="B110" s="8">
        <v>45536</v>
      </c>
      <c r="C110" s="34" t="s">
        <v>41</v>
      </c>
      <c r="D110" s="5" t="s">
        <v>36</v>
      </c>
      <c r="E110" s="5"/>
      <c r="F110" s="5"/>
      <c r="G110" s="5" cm="1">
        <f t="array" ref="G110">_xlfn.XLOOKUP(Table_Investimentos_Porcent[[#This Row],[Data]]&amp;Table_Investimentos_Porcent[[#This Row],[Nome]],Table_Investimentos_Main[Data]&amp;Table_Investimentos_Main[Nome],Table_Investimentos_Main[Estratégia],"NOT FOUND")</f>
        <v>0</v>
      </c>
      <c r="H110" s="5" t="str" cm="1">
        <f t="array" ref="H110">_xlfn.XLOOKUP(Table_Investimentos_Porcent[[#This Row],[Data]]&amp;Table_Investimentos_Porcent[[#This Row],[Nome]],Table_Investimentos_Main[Data]&amp;Table_Investimentos_Main[Nome],Table_Investimentos_Main[Moeda Base],"NOT FOUND")</f>
        <v>BTC</v>
      </c>
      <c r="I110" s="69">
        <v>1</v>
      </c>
      <c r="J110" s="18" cm="1">
        <f t="array" ref="J110">Table_Investimentos_Porcent[[#This Row],[Porcentagem]]*_xlfn.XLOOKUP(Table_Investimentos_Porcent[[#This Row],[Data]]&amp;Table_Investimentos_Porcent[[#This Row],[Nome]],Table_Investimentos_Main[Data]&amp;Table_Investimentos_Main[Nome],Table_Investimentos_Main[Total (R$)],"NOT FOUND")</f>
        <v>89959.656359411994</v>
      </c>
      <c r="K110" s="80" cm="1">
        <f t="array" ref="K110">Table_Investimentos_Porcent[[#This Row],[Total (R$)]]/_xlfn.XLOOKUP(Table_Investimentos_Porcent[[#This Row],[Data]]&amp;Table_Investimentos_Porcent[[#This Row],[Nome]],Table_Investimentos_Main[Data]&amp;Table_Investimentos_Main[Nome],Table_Investimentos_Main[Cotação Dolar],"NOT FOUND")</f>
        <v>16297.039195545653</v>
      </c>
      <c r="O110" s="3"/>
      <c r="P110" s="3"/>
      <c r="Q110" s="3"/>
      <c r="V110" s="5"/>
      <c r="W110" s="5"/>
    </row>
    <row r="111" spans="2:23" x14ac:dyDescent="0.2">
      <c r="B111" s="8">
        <v>45536</v>
      </c>
      <c r="C111" s="34" t="s">
        <v>42</v>
      </c>
      <c r="D111" s="5" t="s">
        <v>36</v>
      </c>
      <c r="E111" s="5"/>
      <c r="F111" s="5"/>
      <c r="G111" s="5" cm="1">
        <f t="array" ref="G111">_xlfn.XLOOKUP(Table_Investimentos_Porcent[[#This Row],[Data]]&amp;Table_Investimentos_Porcent[[#This Row],[Nome]],Table_Investimentos_Main[Data]&amp;Table_Investimentos_Main[Nome],Table_Investimentos_Main[Estratégia],"NOT FOUND")</f>
        <v>0</v>
      </c>
      <c r="H111" s="5" t="str" cm="1">
        <f t="array" ref="H111">_xlfn.XLOOKUP(Table_Investimentos_Porcent[[#This Row],[Data]]&amp;Table_Investimentos_Porcent[[#This Row],[Nome]],Table_Investimentos_Main[Data]&amp;Table_Investimentos_Main[Nome],Table_Investimentos_Main[Moeda Base],"NOT FOUND")</f>
        <v>BTC</v>
      </c>
      <c r="I111" s="69">
        <v>1</v>
      </c>
      <c r="J111" s="18" cm="1">
        <f t="array" ref="J111">Table_Investimentos_Porcent[[#This Row],[Porcentagem]]*_xlfn.XLOOKUP(Table_Investimentos_Porcent[[#This Row],[Data]]&amp;Table_Investimentos_Porcent[[#This Row],[Nome]],Table_Investimentos_Main[Data]&amp;Table_Investimentos_Main[Nome],Table_Investimentos_Main[Total (R$)],"NOT FOUND")</f>
        <v>5519.0482264007996</v>
      </c>
      <c r="K111" s="80" cm="1">
        <f t="array" ref="K111">Table_Investimentos_Porcent[[#This Row],[Total (R$)]]/_xlfn.XLOOKUP(Table_Investimentos_Porcent[[#This Row],[Data]]&amp;Table_Investimentos_Porcent[[#This Row],[Nome]],Table_Investimentos_Main[Data]&amp;Table_Investimentos_Main[Nome],Table_Investimentos_Main[Cotação Dolar],"NOT FOUND")</f>
        <v>999.82757724652174</v>
      </c>
      <c r="O111" s="3"/>
      <c r="P111" s="3"/>
      <c r="Q111" s="3"/>
      <c r="V111" s="5"/>
      <c r="W111" s="5"/>
    </row>
    <row r="112" spans="2:23" x14ac:dyDescent="0.2">
      <c r="B112" s="8">
        <v>45536</v>
      </c>
      <c r="C112" s="34" t="s">
        <v>50</v>
      </c>
      <c r="D112" s="5" t="s">
        <v>36</v>
      </c>
      <c r="E112" s="5"/>
      <c r="F112" s="5"/>
      <c r="G112" s="5" cm="1">
        <f t="array" ref="G112">_xlfn.XLOOKUP(Table_Investimentos_Porcent[[#This Row],[Data]]&amp;Table_Investimentos_Porcent[[#This Row],[Nome]],Table_Investimentos_Main[Data]&amp;Table_Investimentos_Main[Nome],Table_Investimentos_Main[Estratégia],"NOT FOUND")</f>
        <v>0</v>
      </c>
      <c r="H112" s="5" t="str" cm="1">
        <f t="array" ref="H112">_xlfn.XLOOKUP(Table_Investimentos_Porcent[[#This Row],[Data]]&amp;Table_Investimentos_Porcent[[#This Row],[Nome]],Table_Investimentos_Main[Data]&amp;Table_Investimentos_Main[Nome],Table_Investimentos_Main[Moeda Base],"NOT FOUND")</f>
        <v>BTC</v>
      </c>
      <c r="I112" s="69">
        <v>1</v>
      </c>
      <c r="J112" s="18" cm="1">
        <f t="array" ref="J112">Table_Investimentos_Porcent[[#This Row],[Porcentagem]]*_xlfn.XLOOKUP(Table_Investimentos_Porcent[[#This Row],[Data]]&amp;Table_Investimentos_Porcent[[#This Row],[Nome]],Table_Investimentos_Main[Data]&amp;Table_Investimentos_Main[Nome],Table_Investimentos_Main[Total (R$)],"NOT FOUND")</f>
        <v>6837.7909235999996</v>
      </c>
      <c r="K112" s="80" cm="1">
        <f t="array" ref="K112">Table_Investimentos_Porcent[[#This Row],[Total (R$)]]/_xlfn.XLOOKUP(Table_Investimentos_Porcent[[#This Row],[Data]]&amp;Table_Investimentos_Porcent[[#This Row],[Nome]],Table_Investimentos_Main[Data]&amp;Table_Investimentos_Main[Nome],Table_Investimentos_Main[Cotação Dolar],"NOT FOUND")</f>
        <v>1238.7302397826088</v>
      </c>
      <c r="O112" s="3"/>
      <c r="P112" s="3"/>
      <c r="Q112" s="3"/>
      <c r="V112" s="5"/>
      <c r="W112" s="5"/>
    </row>
    <row r="113" spans="2:23" x14ac:dyDescent="0.2">
      <c r="B113" s="8">
        <v>45536</v>
      </c>
      <c r="C113" s="34" t="s">
        <v>44</v>
      </c>
      <c r="D113" s="5" t="s">
        <v>23</v>
      </c>
      <c r="E113" s="5"/>
      <c r="F113" s="5"/>
      <c r="G113" s="5" cm="1">
        <f t="array" ref="G113">_xlfn.XLOOKUP(Table_Investimentos_Porcent[[#This Row],[Data]]&amp;Table_Investimentos_Porcent[[#This Row],[Nome]],Table_Investimentos_Main[Data]&amp;Table_Investimentos_Main[Nome],Table_Investimentos_Main[Estratégia],"NOT FOUND")</f>
        <v>0</v>
      </c>
      <c r="H113" s="5" t="str" cm="1">
        <f t="array" ref="H113">_xlfn.XLOOKUP(Table_Investimentos_Porcent[[#This Row],[Data]]&amp;Table_Investimentos_Porcent[[#This Row],[Nome]],Table_Investimentos_Main[Data]&amp;Table_Investimentos_Main[Nome],Table_Investimentos_Main[Moeda Base],"NOT FOUND")</f>
        <v>USD</v>
      </c>
      <c r="I113" s="69">
        <v>1</v>
      </c>
      <c r="J113" s="18" cm="1">
        <f t="array" ref="J113">Table_Investimentos_Porcent[[#This Row],[Porcentagem]]*_xlfn.XLOOKUP(Table_Investimentos_Porcent[[#This Row],[Data]]&amp;Table_Investimentos_Porcent[[#This Row],[Nome]],Table_Investimentos_Main[Data]&amp;Table_Investimentos_Main[Nome],Table_Investimentos_Main[Total (R$)],"NOT FOUND")</f>
        <v>18869.1816</v>
      </c>
      <c r="K113" s="80" cm="1">
        <f t="array" ref="K113">Table_Investimentos_Porcent[[#This Row],[Total (R$)]]/_xlfn.XLOOKUP(Table_Investimentos_Porcent[[#This Row],[Data]]&amp;Table_Investimentos_Porcent[[#This Row],[Nome]],Table_Investimentos_Main[Data]&amp;Table_Investimentos_Main[Nome],Table_Investimentos_Main[Cotação Dolar],"NOT FOUND")</f>
        <v>3418.3300000000004</v>
      </c>
      <c r="O113" s="3"/>
      <c r="P113" s="3"/>
      <c r="Q113" s="3"/>
      <c r="V113" s="5"/>
      <c r="W113" s="5"/>
    </row>
    <row r="114" spans="2:23" x14ac:dyDescent="0.2">
      <c r="B114" s="8">
        <v>45536</v>
      </c>
      <c r="C114" s="34" t="s">
        <v>48</v>
      </c>
      <c r="D114" s="5" t="s">
        <v>36</v>
      </c>
      <c r="E114" s="5"/>
      <c r="F114" s="5"/>
      <c r="G114" s="5" cm="1">
        <f t="array" ref="G114">_xlfn.XLOOKUP(Table_Investimentos_Porcent[[#This Row],[Data]]&amp;Table_Investimentos_Porcent[[#This Row],[Nome]],Table_Investimentos_Main[Data]&amp;Table_Investimentos_Main[Nome],Table_Investimentos_Main[Estratégia],"NOT FOUND")</f>
        <v>0</v>
      </c>
      <c r="H114" s="5" t="str" cm="1">
        <f t="array" ref="H114">_xlfn.XLOOKUP(Table_Investimentos_Porcent[[#This Row],[Data]]&amp;Table_Investimentos_Porcent[[#This Row],[Nome]],Table_Investimentos_Main[Data]&amp;Table_Investimentos_Main[Nome],Table_Investimentos_Main[Moeda Base],"NOT FOUND")</f>
        <v>USD</v>
      </c>
      <c r="I114" s="69">
        <v>1</v>
      </c>
      <c r="J114" s="18" cm="1">
        <f t="array" ref="J114">Table_Investimentos_Porcent[[#This Row],[Porcentagem]]*_xlfn.XLOOKUP(Table_Investimentos_Porcent[[#This Row],[Data]]&amp;Table_Investimentos_Porcent[[#This Row],[Nome]],Table_Investimentos_Main[Data]&amp;Table_Investimentos_Main[Nome],Table_Investimentos_Main[Total (R$)],"NOT FOUND")</f>
        <v>2283.0167999999999</v>
      </c>
      <c r="K114" s="80" cm="1">
        <f t="array" ref="K114">Table_Investimentos_Porcent[[#This Row],[Total (R$)]]/_xlfn.XLOOKUP(Table_Investimentos_Porcent[[#This Row],[Data]]&amp;Table_Investimentos_Porcent[[#This Row],[Nome]],Table_Investimentos_Main[Data]&amp;Table_Investimentos_Main[Nome],Table_Investimentos_Main[Cotação Dolar],"NOT FOUND")</f>
        <v>413.59000000000003</v>
      </c>
      <c r="O114" s="3"/>
      <c r="P114" s="3"/>
      <c r="Q114" s="3"/>
      <c r="V114" s="5"/>
      <c r="W114" s="5"/>
    </row>
    <row r="115" spans="2:23" x14ac:dyDescent="0.2">
      <c r="B115" s="8">
        <v>45536</v>
      </c>
      <c r="C115" s="34" t="s">
        <v>49</v>
      </c>
      <c r="D115" s="5" t="s">
        <v>36</v>
      </c>
      <c r="E115" s="5"/>
      <c r="F115" s="5"/>
      <c r="G115" s="5" cm="1">
        <f t="array" ref="G115">_xlfn.XLOOKUP(Table_Investimentos_Porcent[[#This Row],[Data]]&amp;Table_Investimentos_Porcent[[#This Row],[Nome]],Table_Investimentos_Main[Data]&amp;Table_Investimentos_Main[Nome],Table_Investimentos_Main[Estratégia],"NOT FOUND")</f>
        <v>0</v>
      </c>
      <c r="H115" s="5" t="str" cm="1">
        <f t="array" ref="H115">_xlfn.XLOOKUP(Table_Investimentos_Porcent[[#This Row],[Data]]&amp;Table_Investimentos_Porcent[[#This Row],[Nome]],Table_Investimentos_Main[Data]&amp;Table_Investimentos_Main[Nome],Table_Investimentos_Main[Moeda Base],"NOT FOUND")</f>
        <v>USD</v>
      </c>
      <c r="I115" s="69">
        <v>1</v>
      </c>
      <c r="J115" s="18" cm="1">
        <f t="array" ref="J115">Table_Investimentos_Porcent[[#This Row],[Porcentagem]]*_xlfn.XLOOKUP(Table_Investimentos_Porcent[[#This Row],[Data]]&amp;Table_Investimentos_Porcent[[#This Row],[Nome]],Table_Investimentos_Main[Data]&amp;Table_Investimentos_Main[Nome],Table_Investimentos_Main[Total (R$)],"NOT FOUND")</f>
        <v>3734.1143999999999</v>
      </c>
      <c r="K115" s="80" cm="1">
        <f t="array" ref="K115">Table_Investimentos_Porcent[[#This Row],[Total (R$)]]/_xlfn.XLOOKUP(Table_Investimentos_Porcent[[#This Row],[Data]]&amp;Table_Investimentos_Porcent[[#This Row],[Nome]],Table_Investimentos_Main[Data]&amp;Table_Investimentos_Main[Nome],Table_Investimentos_Main[Cotação Dolar],"NOT FOUND")</f>
        <v>676.47</v>
      </c>
      <c r="O115" s="3"/>
      <c r="P115" s="3"/>
      <c r="Q115" s="3"/>
      <c r="V115" s="5"/>
      <c r="W115" s="5"/>
    </row>
    <row r="116" spans="2:23" x14ac:dyDescent="0.2">
      <c r="B116" s="8">
        <v>45536</v>
      </c>
      <c r="C116" s="34" t="s">
        <v>51</v>
      </c>
      <c r="D116" s="5" t="s">
        <v>36</v>
      </c>
      <c r="E116" s="5"/>
      <c r="F116" s="5"/>
      <c r="G116" s="5" cm="1">
        <f t="array" ref="G116">_xlfn.XLOOKUP(Table_Investimentos_Porcent[[#This Row],[Data]]&amp;Table_Investimentos_Porcent[[#This Row],[Nome]],Table_Investimentos_Main[Data]&amp;Table_Investimentos_Main[Nome],Table_Investimentos_Main[Estratégia],"NOT FOUND")</f>
        <v>0</v>
      </c>
      <c r="H116" s="5" t="str" cm="1">
        <f t="array" ref="H116">_xlfn.XLOOKUP(Table_Investimentos_Porcent[[#This Row],[Data]]&amp;Table_Investimentos_Porcent[[#This Row],[Nome]],Table_Investimentos_Main[Data]&amp;Table_Investimentos_Main[Nome],Table_Investimentos_Main[Moeda Base],"NOT FOUND")</f>
        <v>USD</v>
      </c>
      <c r="I116" s="69">
        <v>1</v>
      </c>
      <c r="J116" s="18" cm="1">
        <f t="array" ref="J116">Table_Investimentos_Porcent[[#This Row],[Porcentagem]]*_xlfn.XLOOKUP(Table_Investimentos_Porcent[[#This Row],[Data]]&amp;Table_Investimentos_Porcent[[#This Row],[Nome]],Table_Investimentos_Main[Data]&amp;Table_Investimentos_Main[Nome],Table_Investimentos_Main[Total (R$)],"NOT FOUND")</f>
        <v>5036.2824000000001</v>
      </c>
      <c r="K116" s="80" cm="1">
        <f t="array" ref="K116">Table_Investimentos_Porcent[[#This Row],[Total (R$)]]/_xlfn.XLOOKUP(Table_Investimentos_Porcent[[#This Row],[Data]]&amp;Table_Investimentos_Porcent[[#This Row],[Nome]],Table_Investimentos_Main[Data]&amp;Table_Investimentos_Main[Nome],Table_Investimentos_Main[Cotação Dolar],"NOT FOUND")</f>
        <v>912.37000000000012</v>
      </c>
      <c r="O116" s="3"/>
      <c r="P116" s="3"/>
      <c r="Q116" s="3"/>
      <c r="V116" s="5"/>
      <c r="W116" s="5"/>
    </row>
    <row r="117" spans="2:23" x14ac:dyDescent="0.2">
      <c r="B117" s="8">
        <v>45566</v>
      </c>
      <c r="C117" s="34" t="s">
        <v>47</v>
      </c>
      <c r="D117" s="5" t="s">
        <v>20</v>
      </c>
      <c r="E117" s="5"/>
      <c r="F117" s="5"/>
      <c r="G117" s="5" cm="1">
        <f t="array" ref="G117">_xlfn.XLOOKUP(Table_Investimentos_Porcent[[#This Row],[Data]]&amp;Table_Investimentos_Porcent[[#This Row],[Nome]],Table_Investimentos_Main[Data]&amp;Table_Investimentos_Main[Nome],Table_Investimentos_Main[Estratégia],"NOT FOUND")</f>
        <v>0</v>
      </c>
      <c r="H117" s="5" t="str" cm="1">
        <f t="array" ref="H117">_xlfn.XLOOKUP(Table_Investimentos_Porcent[[#This Row],[Data]]&amp;Table_Investimentos_Porcent[[#This Row],[Nome]],Table_Investimentos_Main[Data]&amp;Table_Investimentos_Main[Nome],Table_Investimentos_Main[Moeda Base],"NOT FOUND")</f>
        <v>BRL</v>
      </c>
      <c r="I117" s="69">
        <v>1</v>
      </c>
      <c r="J117" s="18" cm="1">
        <f t="array" ref="J117">Table_Investimentos_Porcent[[#This Row],[Porcentagem]]*_xlfn.XLOOKUP(Table_Investimentos_Porcent[[#This Row],[Data]]&amp;Table_Investimentos_Porcent[[#This Row],[Nome]],Table_Investimentos_Main[Data]&amp;Table_Investimentos_Main[Nome],Table_Investimentos_Main[Total (R$)],"NOT FOUND")</f>
        <v>1769.97</v>
      </c>
      <c r="K117" s="80" cm="1">
        <f t="array" ref="K117">Table_Investimentos_Porcent[[#This Row],[Total (R$)]]/_xlfn.XLOOKUP(Table_Investimentos_Porcent[[#This Row],[Data]]&amp;Table_Investimentos_Porcent[[#This Row],[Nome]],Table_Investimentos_Main[Data]&amp;Table_Investimentos_Main[Nome],Table_Investimentos_Main[Cotação Dolar],"NOT FOUND")</f>
        <v>307.28645833333337</v>
      </c>
      <c r="O117" s="3"/>
      <c r="P117" s="3"/>
      <c r="Q117" s="3"/>
      <c r="V117" s="5"/>
      <c r="W117" s="5"/>
    </row>
    <row r="118" spans="2:23" x14ac:dyDescent="0.2">
      <c r="B118" s="8">
        <v>45566</v>
      </c>
      <c r="C118" s="34" t="s">
        <v>45</v>
      </c>
      <c r="D118" s="5" t="s">
        <v>17</v>
      </c>
      <c r="E118" s="5"/>
      <c r="F118" s="5"/>
      <c r="G118" s="5" cm="1">
        <f t="array" ref="G118">_xlfn.XLOOKUP(Table_Investimentos_Porcent[[#This Row],[Data]]&amp;Table_Investimentos_Porcent[[#This Row],[Nome]],Table_Investimentos_Main[Data]&amp;Table_Investimentos_Main[Nome],Table_Investimentos_Main[Estratégia],"NOT FOUND")</f>
        <v>0</v>
      </c>
      <c r="H118" s="5" t="str" cm="1">
        <f t="array" ref="H118">_xlfn.XLOOKUP(Table_Investimentos_Porcent[[#This Row],[Data]]&amp;Table_Investimentos_Porcent[[#This Row],[Nome]],Table_Investimentos_Main[Data]&amp;Table_Investimentos_Main[Nome],Table_Investimentos_Main[Moeda Base],"NOT FOUND")</f>
        <v>BRL</v>
      </c>
      <c r="I118" s="69">
        <v>1</v>
      </c>
      <c r="J118" s="18" cm="1">
        <f t="array" ref="J118">Table_Investimentos_Porcent[[#This Row],[Porcentagem]]*_xlfn.XLOOKUP(Table_Investimentos_Porcent[[#This Row],[Data]]&amp;Table_Investimentos_Porcent[[#This Row],[Nome]],Table_Investimentos_Main[Data]&amp;Table_Investimentos_Main[Nome],Table_Investimentos_Main[Total (R$)],"NOT FOUND")</f>
        <v>2003.1</v>
      </c>
      <c r="K118" s="80" cm="1">
        <f t="array" ref="K118">Table_Investimentos_Porcent[[#This Row],[Total (R$)]]/_xlfn.XLOOKUP(Table_Investimentos_Porcent[[#This Row],[Data]]&amp;Table_Investimentos_Porcent[[#This Row],[Nome]],Table_Investimentos_Main[Data]&amp;Table_Investimentos_Main[Nome],Table_Investimentos_Main[Cotação Dolar],"NOT FOUND")</f>
        <v>347.76041666666669</v>
      </c>
      <c r="O118" s="3"/>
      <c r="P118" s="3"/>
      <c r="Q118" s="3"/>
      <c r="V118" s="5"/>
      <c r="W118" s="5"/>
    </row>
    <row r="119" spans="2:23" x14ac:dyDescent="0.2">
      <c r="B119" s="8">
        <v>45566</v>
      </c>
      <c r="C119" s="34" t="s">
        <v>41</v>
      </c>
      <c r="D119" s="5" t="s">
        <v>36</v>
      </c>
      <c r="E119" s="5"/>
      <c r="F119" s="5"/>
      <c r="G119" s="5" cm="1">
        <f t="array" ref="G119">_xlfn.XLOOKUP(Table_Investimentos_Porcent[[#This Row],[Data]]&amp;Table_Investimentos_Porcent[[#This Row],[Nome]],Table_Investimentos_Main[Data]&amp;Table_Investimentos_Main[Nome],Table_Investimentos_Main[Estratégia],"NOT FOUND")</f>
        <v>0</v>
      </c>
      <c r="H119" s="5" t="str" cm="1">
        <f t="array" ref="H119">_xlfn.XLOOKUP(Table_Investimentos_Porcent[[#This Row],[Data]]&amp;Table_Investimentos_Porcent[[#This Row],[Nome]],Table_Investimentos_Main[Data]&amp;Table_Investimentos_Main[Nome],Table_Investimentos_Main[Moeda Base],"NOT FOUND")</f>
        <v>BTC</v>
      </c>
      <c r="I119" s="69">
        <v>1</v>
      </c>
      <c r="J119" s="18" cm="1">
        <f t="array" ref="J119">Table_Investimentos_Porcent[[#This Row],[Porcentagem]]*_xlfn.XLOOKUP(Table_Investimentos_Porcent[[#This Row],[Data]]&amp;Table_Investimentos_Porcent[[#This Row],[Nome]],Table_Investimentos_Main[Data]&amp;Table_Investimentos_Main[Nome],Table_Investimentos_Main[Total (R$)],"NOT FOUND")</f>
        <v>107958.84878791802</v>
      </c>
      <c r="K119" s="80" cm="1">
        <f t="array" ref="K119">Table_Investimentos_Porcent[[#This Row],[Total (R$)]]/_xlfn.XLOOKUP(Table_Investimentos_Porcent[[#This Row],[Data]]&amp;Table_Investimentos_Porcent[[#This Row],[Nome]],Table_Investimentos_Main[Data]&amp;Table_Investimentos_Main[Nome],Table_Investimentos_Main[Cotação Dolar],"NOT FOUND")</f>
        <v>18742.855692346879</v>
      </c>
      <c r="O119" s="3"/>
      <c r="P119" s="3"/>
      <c r="Q119" s="3"/>
      <c r="V119" s="5"/>
      <c r="W119" s="5"/>
    </row>
    <row r="120" spans="2:23" x14ac:dyDescent="0.2">
      <c r="B120" s="8">
        <v>45566</v>
      </c>
      <c r="C120" s="34" t="s">
        <v>42</v>
      </c>
      <c r="D120" s="5" t="s">
        <v>36</v>
      </c>
      <c r="E120" s="5"/>
      <c r="F120" s="5"/>
      <c r="G120" s="5" cm="1">
        <f t="array" ref="G120">_xlfn.XLOOKUP(Table_Investimentos_Porcent[[#This Row],[Data]]&amp;Table_Investimentos_Porcent[[#This Row],[Nome]],Table_Investimentos_Main[Data]&amp;Table_Investimentos_Main[Nome],Table_Investimentos_Main[Estratégia],"NOT FOUND")</f>
        <v>0</v>
      </c>
      <c r="H120" s="5" t="str" cm="1">
        <f t="array" ref="H120">_xlfn.XLOOKUP(Table_Investimentos_Porcent[[#This Row],[Data]]&amp;Table_Investimentos_Porcent[[#This Row],[Nome]],Table_Investimentos_Main[Data]&amp;Table_Investimentos_Main[Nome],Table_Investimentos_Main[Moeda Base],"NOT FOUND")</f>
        <v>BTC</v>
      </c>
      <c r="I120" s="69">
        <v>1</v>
      </c>
      <c r="J120" s="18" cm="1">
        <f t="array" ref="J120">Table_Investimentos_Porcent[[#This Row],[Porcentagem]]*_xlfn.XLOOKUP(Table_Investimentos_Porcent[[#This Row],[Data]]&amp;Table_Investimentos_Porcent[[#This Row],[Nome]],Table_Investimentos_Main[Data]&amp;Table_Investimentos_Main[Nome],Table_Investimentos_Main[Total (R$)],"NOT FOUND")</f>
        <v>6623.3033455211998</v>
      </c>
      <c r="K120" s="80" cm="1">
        <f t="array" ref="K120">Table_Investimentos_Porcent[[#This Row],[Total (R$)]]/_xlfn.XLOOKUP(Table_Investimentos_Porcent[[#This Row],[Data]]&amp;Table_Investimentos_Porcent[[#This Row],[Nome]],Table_Investimentos_Main[Data]&amp;Table_Investimentos_Main[Nome],Table_Investimentos_Main[Cotação Dolar],"NOT FOUND")</f>
        <v>1149.8790530418751</v>
      </c>
      <c r="O120" s="3"/>
      <c r="P120" s="3"/>
      <c r="Q120" s="3"/>
      <c r="V120" s="5"/>
      <c r="W120" s="5"/>
    </row>
    <row r="121" spans="2:23" x14ac:dyDescent="0.2">
      <c r="B121" s="8">
        <v>45566</v>
      </c>
      <c r="C121" s="34" t="s">
        <v>50</v>
      </c>
      <c r="D121" s="5" t="s">
        <v>36</v>
      </c>
      <c r="E121" s="5"/>
      <c r="F121" s="5"/>
      <c r="G121" s="5" cm="1">
        <f t="array" ref="G121">_xlfn.XLOOKUP(Table_Investimentos_Porcent[[#This Row],[Data]]&amp;Table_Investimentos_Porcent[[#This Row],[Nome]],Table_Investimentos_Main[Data]&amp;Table_Investimentos_Main[Nome],Table_Investimentos_Main[Estratégia],"NOT FOUND")</f>
        <v>0</v>
      </c>
      <c r="H121" s="5" t="str" cm="1">
        <f t="array" ref="H121">_xlfn.XLOOKUP(Table_Investimentos_Porcent[[#This Row],[Data]]&amp;Table_Investimentos_Porcent[[#This Row],[Nome]],Table_Investimentos_Main[Data]&amp;Table_Investimentos_Main[Nome],Table_Investimentos_Main[Moeda Base],"NOT FOUND")</f>
        <v>BTC</v>
      </c>
      <c r="I121" s="69">
        <v>1</v>
      </c>
      <c r="J121" s="18" cm="1">
        <f t="array" ref="J121">Table_Investimentos_Porcent[[#This Row],[Porcentagem]]*_xlfn.XLOOKUP(Table_Investimentos_Porcent[[#This Row],[Data]]&amp;Table_Investimentos_Porcent[[#This Row],[Nome]],Table_Investimentos_Main[Data]&amp;Table_Investimentos_Main[Nome],Table_Investimentos_Main[Total (R$)],"NOT FOUND")</f>
        <v>8205.9010254000004</v>
      </c>
      <c r="K121" s="80" cm="1">
        <f t="array" ref="K121">Table_Investimentos_Porcent[[#This Row],[Total (R$)]]/_xlfn.XLOOKUP(Table_Investimentos_Porcent[[#This Row],[Data]]&amp;Table_Investimentos_Porcent[[#This Row],[Nome]],Table_Investimentos_Main[Data]&amp;Table_Investimentos_Main[Nome],Table_Investimentos_Main[Cotação Dolar],"NOT FOUND")</f>
        <v>1424.6355946875001</v>
      </c>
      <c r="O121" s="3"/>
      <c r="P121" s="3"/>
      <c r="Q121" s="3"/>
      <c r="V121" s="5"/>
      <c r="W121" s="5"/>
    </row>
    <row r="122" spans="2:23" x14ac:dyDescent="0.2">
      <c r="B122" s="8">
        <v>45566</v>
      </c>
      <c r="C122" s="34" t="s">
        <v>44</v>
      </c>
      <c r="D122" s="5" t="s">
        <v>23</v>
      </c>
      <c r="E122" s="5"/>
      <c r="F122" s="5"/>
      <c r="G122" s="5" cm="1">
        <f t="array" ref="G122">_xlfn.XLOOKUP(Table_Investimentos_Porcent[[#This Row],[Data]]&amp;Table_Investimentos_Porcent[[#This Row],[Nome]],Table_Investimentos_Main[Data]&amp;Table_Investimentos_Main[Nome],Table_Investimentos_Main[Estratégia],"NOT FOUND")</f>
        <v>0</v>
      </c>
      <c r="H122" s="5" t="str" cm="1">
        <f t="array" ref="H122">_xlfn.XLOOKUP(Table_Investimentos_Porcent[[#This Row],[Data]]&amp;Table_Investimentos_Porcent[[#This Row],[Nome]],Table_Investimentos_Main[Data]&amp;Table_Investimentos_Main[Nome],Table_Investimentos_Main[Moeda Base],"NOT FOUND")</f>
        <v>USD</v>
      </c>
      <c r="I122" s="69">
        <v>1</v>
      </c>
      <c r="J122" s="18" cm="1">
        <f t="array" ref="J122">Table_Investimentos_Porcent[[#This Row],[Porcentagem]]*_xlfn.XLOOKUP(Table_Investimentos_Porcent[[#This Row],[Data]]&amp;Table_Investimentos_Porcent[[#This Row],[Nome]],Table_Investimentos_Main[Data]&amp;Table_Investimentos_Main[Nome],Table_Investimentos_Main[Total (R$)],"NOT FOUND")</f>
        <v>19768.32</v>
      </c>
      <c r="K122" s="80" cm="1">
        <f t="array" ref="K122">Table_Investimentos_Porcent[[#This Row],[Total (R$)]]/_xlfn.XLOOKUP(Table_Investimentos_Porcent[[#This Row],[Data]]&amp;Table_Investimentos_Porcent[[#This Row],[Nome]],Table_Investimentos_Main[Data]&amp;Table_Investimentos_Main[Nome],Table_Investimentos_Main[Cotação Dolar],"NOT FOUND")</f>
        <v>3432</v>
      </c>
      <c r="O122" s="3"/>
      <c r="P122" s="3"/>
      <c r="Q122" s="3"/>
      <c r="V122" s="5"/>
      <c r="W122" s="5"/>
    </row>
    <row r="123" spans="2:23" x14ac:dyDescent="0.2">
      <c r="B123" s="8">
        <v>45566</v>
      </c>
      <c r="C123" s="34" t="s">
        <v>48</v>
      </c>
      <c r="D123" s="5" t="s">
        <v>36</v>
      </c>
      <c r="E123" s="5"/>
      <c r="F123" s="5"/>
      <c r="G123" s="5" cm="1">
        <f t="array" ref="G123">_xlfn.XLOOKUP(Table_Investimentos_Porcent[[#This Row],[Data]]&amp;Table_Investimentos_Porcent[[#This Row],[Nome]],Table_Investimentos_Main[Data]&amp;Table_Investimentos_Main[Nome],Table_Investimentos_Main[Estratégia],"NOT FOUND")</f>
        <v>0</v>
      </c>
      <c r="H123" s="5" t="str" cm="1">
        <f t="array" ref="H123">_xlfn.XLOOKUP(Table_Investimentos_Porcent[[#This Row],[Data]]&amp;Table_Investimentos_Porcent[[#This Row],[Nome]],Table_Investimentos_Main[Data]&amp;Table_Investimentos_Main[Nome],Table_Investimentos_Main[Moeda Base],"NOT FOUND")</f>
        <v>USD</v>
      </c>
      <c r="I123" s="69">
        <v>1</v>
      </c>
      <c r="J123" s="18" cm="1">
        <f t="array" ref="J123">Table_Investimentos_Porcent[[#This Row],[Porcentagem]]*_xlfn.XLOOKUP(Table_Investimentos_Porcent[[#This Row],[Data]]&amp;Table_Investimentos_Porcent[[#This Row],[Nome]],Table_Investimentos_Main[Data]&amp;Table_Investimentos_Main[Nome],Table_Investimentos_Main[Total (R$)],"NOT FOUND")</f>
        <v>2432.9663999999998</v>
      </c>
      <c r="K123" s="80" cm="1">
        <f t="array" ref="K123">Table_Investimentos_Porcent[[#This Row],[Total (R$)]]/_xlfn.XLOOKUP(Table_Investimentos_Porcent[[#This Row],[Data]]&amp;Table_Investimentos_Porcent[[#This Row],[Nome]],Table_Investimentos_Main[Data]&amp;Table_Investimentos_Main[Nome],Table_Investimentos_Main[Cotação Dolar],"NOT FOUND")</f>
        <v>422.39</v>
      </c>
      <c r="O123" s="3"/>
      <c r="P123" s="3"/>
      <c r="Q123" s="3"/>
      <c r="V123" s="5"/>
      <c r="W123" s="5"/>
    </row>
    <row r="124" spans="2:23" x14ac:dyDescent="0.2">
      <c r="B124" s="8">
        <v>45566</v>
      </c>
      <c r="C124" s="34" t="s">
        <v>49</v>
      </c>
      <c r="D124" s="5" t="s">
        <v>36</v>
      </c>
      <c r="E124" s="5"/>
      <c r="F124" s="5"/>
      <c r="G124" s="5" cm="1">
        <f t="array" ref="G124">_xlfn.XLOOKUP(Table_Investimentos_Porcent[[#This Row],[Data]]&amp;Table_Investimentos_Porcent[[#This Row],[Nome]],Table_Investimentos_Main[Data]&amp;Table_Investimentos_Main[Nome],Table_Investimentos_Main[Estratégia],"NOT FOUND")</f>
        <v>0</v>
      </c>
      <c r="H124" s="5" t="str" cm="1">
        <f t="array" ref="H124">_xlfn.XLOOKUP(Table_Investimentos_Porcent[[#This Row],[Data]]&amp;Table_Investimentos_Porcent[[#This Row],[Nome]],Table_Investimentos_Main[Data]&amp;Table_Investimentos_Main[Nome],Table_Investimentos_Main[Moeda Base],"NOT FOUND")</f>
        <v>USD</v>
      </c>
      <c r="I124" s="69">
        <v>1</v>
      </c>
      <c r="J124" s="18" cm="1">
        <f t="array" ref="J124">Table_Investimentos_Porcent[[#This Row],[Porcentagem]]*_xlfn.XLOOKUP(Table_Investimentos_Porcent[[#This Row],[Data]]&amp;Table_Investimentos_Porcent[[#This Row],[Nome]],Table_Investimentos_Main[Data]&amp;Table_Investimentos_Main[Nome],Table_Investimentos_Main[Total (R$)],"NOT FOUND")</f>
        <v>4815.9935999999998</v>
      </c>
      <c r="K124" s="80" cm="1">
        <f t="array" ref="K124">Table_Investimentos_Porcent[[#This Row],[Total (R$)]]/_xlfn.XLOOKUP(Table_Investimentos_Porcent[[#This Row],[Data]]&amp;Table_Investimentos_Porcent[[#This Row],[Nome]],Table_Investimentos_Main[Data]&amp;Table_Investimentos_Main[Nome],Table_Investimentos_Main[Cotação Dolar],"NOT FOUND")</f>
        <v>836.11</v>
      </c>
      <c r="O124" s="3"/>
      <c r="P124" s="3"/>
      <c r="Q124" s="3"/>
      <c r="V124" s="5"/>
      <c r="W124" s="5"/>
    </row>
    <row r="125" spans="2:23" x14ac:dyDescent="0.2">
      <c r="B125" s="8">
        <v>45566</v>
      </c>
      <c r="C125" s="34" t="s">
        <v>51</v>
      </c>
      <c r="D125" s="5" t="s">
        <v>36</v>
      </c>
      <c r="E125" s="5"/>
      <c r="F125" s="5"/>
      <c r="G125" s="5" cm="1">
        <f t="array" ref="G125">_xlfn.XLOOKUP(Table_Investimentos_Porcent[[#This Row],[Data]]&amp;Table_Investimentos_Porcent[[#This Row],[Nome]],Table_Investimentos_Main[Data]&amp;Table_Investimentos_Main[Nome],Table_Investimentos_Main[Estratégia],"NOT FOUND")</f>
        <v>0</v>
      </c>
      <c r="H125" s="5" t="str" cm="1">
        <f t="array" ref="H125">_xlfn.XLOOKUP(Table_Investimentos_Porcent[[#This Row],[Data]]&amp;Table_Investimentos_Porcent[[#This Row],[Nome]],Table_Investimentos_Main[Data]&amp;Table_Investimentos_Main[Nome],Table_Investimentos_Main[Moeda Base],"NOT FOUND")</f>
        <v>USD</v>
      </c>
      <c r="I125" s="69">
        <v>1</v>
      </c>
      <c r="J125" s="18" cm="1">
        <f t="array" ref="J125">Table_Investimentos_Porcent[[#This Row],[Porcentagem]]*_xlfn.XLOOKUP(Table_Investimentos_Porcent[[#This Row],[Data]]&amp;Table_Investimentos_Porcent[[#This Row],[Nome]],Table_Investimentos_Main[Data]&amp;Table_Investimentos_Main[Nome],Table_Investimentos_Main[Total (R$)],"NOT FOUND")</f>
        <v>5364.4607999999998</v>
      </c>
      <c r="K125" s="80" cm="1">
        <f t="array" ref="K125">Table_Investimentos_Porcent[[#This Row],[Total (R$)]]/_xlfn.XLOOKUP(Table_Investimentos_Porcent[[#This Row],[Data]]&amp;Table_Investimentos_Porcent[[#This Row],[Nome]],Table_Investimentos_Main[Data]&amp;Table_Investimentos_Main[Nome],Table_Investimentos_Main[Cotação Dolar],"NOT FOUND")</f>
        <v>931.33</v>
      </c>
      <c r="O125" s="3"/>
      <c r="P125" s="3"/>
      <c r="Q125" s="3"/>
      <c r="V125" s="5"/>
      <c r="W125" s="5"/>
    </row>
    <row r="126" spans="2:23" x14ac:dyDescent="0.2">
      <c r="B126" s="8">
        <v>45597</v>
      </c>
      <c r="C126" s="34" t="s">
        <v>47</v>
      </c>
      <c r="D126" s="5" t="s">
        <v>20</v>
      </c>
      <c r="E126" s="5"/>
      <c r="F126" s="5"/>
      <c r="G126" s="5" cm="1">
        <f t="array" ref="G126">_xlfn.XLOOKUP(Table_Investimentos_Porcent[[#This Row],[Data]]&amp;Table_Investimentos_Porcent[[#This Row],[Nome]],Table_Investimentos_Main[Data]&amp;Table_Investimentos_Main[Nome],Table_Investimentos_Main[Estratégia],"NOT FOUND")</f>
        <v>0</v>
      </c>
      <c r="H126" s="5" t="str" cm="1">
        <f t="array" ref="H126">_xlfn.XLOOKUP(Table_Investimentos_Porcent[[#This Row],[Data]]&amp;Table_Investimentos_Porcent[[#This Row],[Nome]],Table_Investimentos_Main[Data]&amp;Table_Investimentos_Main[Nome],Table_Investimentos_Main[Moeda Base],"NOT FOUND")</f>
        <v>BRL</v>
      </c>
      <c r="I126" s="69">
        <v>1</v>
      </c>
      <c r="J126" s="18" cm="1">
        <f t="array" ref="J126">Table_Investimentos_Porcent[[#This Row],[Porcentagem]]*_xlfn.XLOOKUP(Table_Investimentos_Porcent[[#This Row],[Data]]&amp;Table_Investimentos_Porcent[[#This Row],[Nome]],Table_Investimentos_Main[Data]&amp;Table_Investimentos_Main[Nome],Table_Investimentos_Main[Total (R$)],"NOT FOUND")</f>
        <v>1774.82</v>
      </c>
      <c r="K126" s="80" cm="1">
        <f t="array" ref="K126">Table_Investimentos_Porcent[[#This Row],[Total (R$)]]/_xlfn.XLOOKUP(Table_Investimentos_Porcent[[#This Row],[Data]]&amp;Table_Investimentos_Porcent[[#This Row],[Nome]],Table_Investimentos_Main[Data]&amp;Table_Investimentos_Main[Nome],Table_Investimentos_Main[Cotação Dolar],"NOT FOUND")</f>
        <v>305.47676419965575</v>
      </c>
      <c r="O126" s="3"/>
      <c r="P126" s="3"/>
      <c r="Q126" s="3"/>
      <c r="V126" s="5"/>
      <c r="W126" s="5"/>
    </row>
    <row r="127" spans="2:23" x14ac:dyDescent="0.2">
      <c r="B127" s="8">
        <v>45597</v>
      </c>
      <c r="C127" s="34" t="s">
        <v>45</v>
      </c>
      <c r="D127" s="5" t="s">
        <v>17</v>
      </c>
      <c r="E127" s="5"/>
      <c r="F127" s="5"/>
      <c r="G127" s="5" cm="1">
        <f t="array" ref="G127">_xlfn.XLOOKUP(Table_Investimentos_Porcent[[#This Row],[Data]]&amp;Table_Investimentos_Porcent[[#This Row],[Nome]],Table_Investimentos_Main[Data]&amp;Table_Investimentos_Main[Nome],Table_Investimentos_Main[Estratégia],"NOT FOUND")</f>
        <v>0</v>
      </c>
      <c r="H127" s="5" t="str" cm="1">
        <f t="array" ref="H127">_xlfn.XLOOKUP(Table_Investimentos_Porcent[[#This Row],[Data]]&amp;Table_Investimentos_Porcent[[#This Row],[Nome]],Table_Investimentos_Main[Data]&amp;Table_Investimentos_Main[Nome],Table_Investimentos_Main[Moeda Base],"NOT FOUND")</f>
        <v>BRL</v>
      </c>
      <c r="I127" s="69">
        <v>1</v>
      </c>
      <c r="J127" s="18" cm="1">
        <f t="array" ref="J127">Table_Investimentos_Porcent[[#This Row],[Porcentagem]]*_xlfn.XLOOKUP(Table_Investimentos_Porcent[[#This Row],[Data]]&amp;Table_Investimentos_Porcent[[#This Row],[Nome]],Table_Investimentos_Main[Data]&amp;Table_Investimentos_Main[Nome],Table_Investimentos_Main[Total (R$)],"NOT FOUND")</f>
        <v>7107.21</v>
      </c>
      <c r="K127" s="80" cm="1">
        <f t="array" ref="K127">Table_Investimentos_Porcent[[#This Row],[Total (R$)]]/_xlfn.XLOOKUP(Table_Investimentos_Porcent[[#This Row],[Data]]&amp;Table_Investimentos_Porcent[[#This Row],[Nome]],Table_Investimentos_Main[Data]&amp;Table_Investimentos_Main[Nome],Table_Investimentos_Main[Cotação Dolar],"NOT FOUND")</f>
        <v>1223.2719449225474</v>
      </c>
      <c r="O127" s="3"/>
      <c r="P127" s="3"/>
      <c r="Q127" s="3"/>
      <c r="V127" s="5"/>
      <c r="W127" s="5"/>
    </row>
    <row r="128" spans="2:23" x14ac:dyDescent="0.2">
      <c r="B128" s="8">
        <v>45597</v>
      </c>
      <c r="C128" s="34" t="s">
        <v>41</v>
      </c>
      <c r="D128" s="5" t="s">
        <v>36</v>
      </c>
      <c r="E128" s="5"/>
      <c r="F128" s="5"/>
      <c r="G128" s="5" cm="1">
        <f t="array" ref="G128">_xlfn.XLOOKUP(Table_Investimentos_Porcent[[#This Row],[Data]]&amp;Table_Investimentos_Porcent[[#This Row],[Nome]],Table_Investimentos_Main[Data]&amp;Table_Investimentos_Main[Nome],Table_Investimentos_Main[Estratégia],"NOT FOUND")</f>
        <v>0</v>
      </c>
      <c r="H128" s="5" t="str" cm="1">
        <f t="array" ref="H128">_xlfn.XLOOKUP(Table_Investimentos_Porcent[[#This Row],[Data]]&amp;Table_Investimentos_Porcent[[#This Row],[Nome]],Table_Investimentos_Main[Data]&amp;Table_Investimentos_Main[Nome],Table_Investimentos_Main[Moeda Base],"NOT FOUND")</f>
        <v>BTC</v>
      </c>
      <c r="I128" s="69">
        <v>1</v>
      </c>
      <c r="J128" s="18" cm="1">
        <f t="array" ref="J128">Table_Investimentos_Porcent[[#This Row],[Porcentagem]]*_xlfn.XLOOKUP(Table_Investimentos_Porcent[[#This Row],[Data]]&amp;Table_Investimentos_Porcent[[#This Row],[Nome]],Table_Investimentos_Main[Data]&amp;Table_Investimentos_Main[Nome],Table_Investimentos_Main[Total (R$)],"NOT FOUND")</f>
        <v>147195.73635779403</v>
      </c>
      <c r="K128" s="80" cm="1">
        <f t="array" ref="K128">Table_Investimentos_Porcent[[#This Row],[Total (R$)]]/_xlfn.XLOOKUP(Table_Investimentos_Porcent[[#This Row],[Data]]&amp;Table_Investimentos_Porcent[[#This Row],[Nome]],Table_Investimentos_Main[Data]&amp;Table_Investimentos_Main[Nome],Table_Investimentos_Main[Cotação Dolar],"NOT FOUND")</f>
        <v>25334.894381720143</v>
      </c>
      <c r="O128" s="3"/>
      <c r="P128" s="3"/>
      <c r="Q128" s="3"/>
      <c r="V128" s="5"/>
      <c r="W128" s="5"/>
    </row>
    <row r="129" spans="2:23" x14ac:dyDescent="0.2">
      <c r="B129" s="8">
        <v>45597</v>
      </c>
      <c r="C129" s="34" t="s">
        <v>42</v>
      </c>
      <c r="D129" s="5" t="s">
        <v>36</v>
      </c>
      <c r="E129" s="5"/>
      <c r="F129" s="5"/>
      <c r="G129" s="5" cm="1">
        <f t="array" ref="G129">_xlfn.XLOOKUP(Table_Investimentos_Porcent[[#This Row],[Data]]&amp;Table_Investimentos_Porcent[[#This Row],[Nome]],Table_Investimentos_Main[Data]&amp;Table_Investimentos_Main[Nome],Table_Investimentos_Main[Estratégia],"NOT FOUND")</f>
        <v>0</v>
      </c>
      <c r="H129" s="5" t="str" cm="1">
        <f t="array" ref="H129">_xlfn.XLOOKUP(Table_Investimentos_Porcent[[#This Row],[Data]]&amp;Table_Investimentos_Porcent[[#This Row],[Nome]],Table_Investimentos_Main[Data]&amp;Table_Investimentos_Main[Nome],Table_Investimentos_Main[Moeda Base],"NOT FOUND")</f>
        <v>BTC</v>
      </c>
      <c r="I129" s="69">
        <v>1</v>
      </c>
      <c r="J129" s="18" cm="1">
        <f t="array" ref="J129">Table_Investimentos_Porcent[[#This Row],[Porcentagem]]*_xlfn.XLOOKUP(Table_Investimentos_Porcent[[#This Row],[Data]]&amp;Table_Investimentos_Porcent[[#This Row],[Nome]],Table_Investimentos_Main[Data]&amp;Table_Investimentos_Main[Nome],Table_Investimentos_Main[Total (R$)],"NOT FOUND")</f>
        <v>9030.4965642995994</v>
      </c>
      <c r="K129" s="80" cm="1">
        <f t="array" ref="K129">Table_Investimentos_Porcent[[#This Row],[Total (R$)]]/_xlfn.XLOOKUP(Table_Investimentos_Porcent[[#This Row],[Data]]&amp;Table_Investimentos_Porcent[[#This Row],[Nome]],Table_Investimentos_Main[Data]&amp;Table_Investimentos_Main[Nome],Table_Investimentos_Main[Cotação Dolar],"NOT FOUND")</f>
        <v>1554.3023346470911</v>
      </c>
      <c r="O129" s="3"/>
      <c r="P129" s="3"/>
      <c r="Q129" s="3"/>
      <c r="V129" s="5"/>
      <c r="W129" s="5"/>
    </row>
    <row r="130" spans="2:23" x14ac:dyDescent="0.2">
      <c r="B130" s="8">
        <v>45597</v>
      </c>
      <c r="C130" s="34" t="s">
        <v>53</v>
      </c>
      <c r="D130" s="5" t="s">
        <v>23</v>
      </c>
      <c r="E130" s="5"/>
      <c r="F130" s="5"/>
      <c r="G130" s="5" cm="1">
        <f t="array" ref="G130">_xlfn.XLOOKUP(Table_Investimentos_Porcent[[#This Row],[Data]]&amp;Table_Investimentos_Porcent[[#This Row],[Nome]],Table_Investimentos_Main[Data]&amp;Table_Investimentos_Main[Nome],Table_Investimentos_Main[Estratégia],"NOT FOUND")</f>
        <v>0</v>
      </c>
      <c r="H130" s="5" t="str" cm="1">
        <f t="array" ref="H130">_xlfn.XLOOKUP(Table_Investimentos_Porcent[[#This Row],[Data]]&amp;Table_Investimentos_Porcent[[#This Row],[Nome]],Table_Investimentos_Main[Data]&amp;Table_Investimentos_Main[Nome],Table_Investimentos_Main[Moeda Base],"NOT FOUND")</f>
        <v>USD</v>
      </c>
      <c r="I130" s="69">
        <v>1</v>
      </c>
      <c r="J130" s="18" cm="1">
        <f t="array" ref="J130">Table_Investimentos_Porcent[[#This Row],[Porcentagem]]*_xlfn.XLOOKUP(Table_Investimentos_Porcent[[#This Row],[Data]]&amp;Table_Investimentos_Porcent[[#This Row],[Nome]],Table_Investimentos_Main[Data]&amp;Table_Investimentos_Main[Nome],Table_Investimentos_Main[Total (R$)],"NOT FOUND")</f>
        <v>9987.39</v>
      </c>
      <c r="K130" s="80" cm="1">
        <f t="array" ref="K130">Table_Investimentos_Porcent[[#This Row],[Total (R$)]]/_xlfn.XLOOKUP(Table_Investimentos_Porcent[[#This Row],[Data]]&amp;Table_Investimentos_Porcent[[#This Row],[Nome]],Table_Investimentos_Main[Data]&amp;Table_Investimentos_Main[Nome],Table_Investimentos_Main[Cotação Dolar],"NOT FOUND")</f>
        <v>1719</v>
      </c>
      <c r="O130" s="3"/>
      <c r="P130" s="3"/>
      <c r="Q130" s="3"/>
      <c r="V130" s="5"/>
      <c r="W130" s="5"/>
    </row>
    <row r="131" spans="2:23" x14ac:dyDescent="0.2">
      <c r="B131" s="8">
        <v>45597</v>
      </c>
      <c r="C131" s="34" t="s">
        <v>44</v>
      </c>
      <c r="D131" s="5" t="s">
        <v>23</v>
      </c>
      <c r="E131" s="5"/>
      <c r="F131" s="5"/>
      <c r="G131" s="5" cm="1">
        <f t="array" ref="G131">_xlfn.XLOOKUP(Table_Investimentos_Porcent[[#This Row],[Data]]&amp;Table_Investimentos_Porcent[[#This Row],[Nome]],Table_Investimentos_Main[Data]&amp;Table_Investimentos_Main[Nome],Table_Investimentos_Main[Estratégia],"NOT FOUND")</f>
        <v>0</v>
      </c>
      <c r="H131" s="5" t="str" cm="1">
        <f t="array" ref="H131">_xlfn.XLOOKUP(Table_Investimentos_Porcent[[#This Row],[Data]]&amp;Table_Investimentos_Porcent[[#This Row],[Nome]],Table_Investimentos_Main[Data]&amp;Table_Investimentos_Main[Nome],Table_Investimentos_Main[Moeda Base],"NOT FOUND")</f>
        <v>USD</v>
      </c>
      <c r="I131" s="69">
        <v>1</v>
      </c>
      <c r="J131" s="18" cm="1">
        <f t="array" ref="J131">Table_Investimentos_Porcent[[#This Row],[Porcentagem]]*_xlfn.XLOOKUP(Table_Investimentos_Porcent[[#This Row],[Data]]&amp;Table_Investimentos_Porcent[[#This Row],[Nome]],Table_Investimentos_Main[Data]&amp;Table_Investimentos_Main[Nome],Table_Investimentos_Main[Total (R$)],"NOT FOUND")</f>
        <v>16912.91</v>
      </c>
      <c r="K131" s="80" cm="1">
        <f t="array" ref="K131">Table_Investimentos_Porcent[[#This Row],[Total (R$)]]/_xlfn.XLOOKUP(Table_Investimentos_Porcent[[#This Row],[Data]]&amp;Table_Investimentos_Porcent[[#This Row],[Nome]],Table_Investimentos_Main[Data]&amp;Table_Investimentos_Main[Nome],Table_Investimentos_Main[Cotação Dolar],"NOT FOUND")</f>
        <v>2911</v>
      </c>
      <c r="O131" s="3"/>
      <c r="P131" s="3"/>
      <c r="Q131" s="3"/>
      <c r="V131" s="5"/>
      <c r="W131" s="5"/>
    </row>
    <row r="132" spans="2:23" x14ac:dyDescent="0.2">
      <c r="B132" s="8">
        <v>45597</v>
      </c>
      <c r="C132" s="34" t="s">
        <v>49</v>
      </c>
      <c r="D132" s="5" t="s">
        <v>36</v>
      </c>
      <c r="E132" s="5"/>
      <c r="F132" s="5"/>
      <c r="G132" s="5" cm="1">
        <f t="array" ref="G132">_xlfn.XLOOKUP(Table_Investimentos_Porcent[[#This Row],[Data]]&amp;Table_Investimentos_Porcent[[#This Row],[Nome]],Table_Investimentos_Main[Data]&amp;Table_Investimentos_Main[Nome],Table_Investimentos_Main[Estratégia],"NOT FOUND")</f>
        <v>0</v>
      </c>
      <c r="H132" s="5" t="str" cm="1">
        <f t="array" ref="H132">_xlfn.XLOOKUP(Table_Investimentos_Porcent[[#This Row],[Data]]&amp;Table_Investimentos_Porcent[[#This Row],[Nome]],Table_Investimentos_Main[Data]&amp;Table_Investimentos_Main[Nome],Table_Investimentos_Main[Moeda Base],"NOT FOUND")</f>
        <v>USD</v>
      </c>
      <c r="I132" s="69">
        <v>1</v>
      </c>
      <c r="J132" s="18" cm="1">
        <f t="array" ref="J132">Table_Investimentos_Porcent[[#This Row],[Porcentagem]]*_xlfn.XLOOKUP(Table_Investimentos_Porcent[[#This Row],[Data]]&amp;Table_Investimentos_Porcent[[#This Row],[Nome]],Table_Investimentos_Main[Data]&amp;Table_Investimentos_Main[Nome],Table_Investimentos_Main[Total (R$)],"NOT FOUND")</f>
        <v>6896.4699999999993</v>
      </c>
      <c r="K132" s="80" cm="1">
        <f t="array" ref="K132">Table_Investimentos_Porcent[[#This Row],[Total (R$)]]/_xlfn.XLOOKUP(Table_Investimentos_Porcent[[#This Row],[Data]]&amp;Table_Investimentos_Porcent[[#This Row],[Nome]],Table_Investimentos_Main[Data]&amp;Table_Investimentos_Main[Nome],Table_Investimentos_Main[Cotação Dolar],"NOT FOUND")</f>
        <v>1187</v>
      </c>
      <c r="O132" s="3"/>
      <c r="P132" s="3"/>
      <c r="Q132" s="3"/>
      <c r="V132" s="5"/>
      <c r="W132" s="5"/>
    </row>
    <row r="133" spans="2:23" x14ac:dyDescent="0.2">
      <c r="B133" s="8">
        <v>45597</v>
      </c>
      <c r="C133" s="34" t="s">
        <v>51</v>
      </c>
      <c r="D133" s="5" t="s">
        <v>36</v>
      </c>
      <c r="E133" s="5"/>
      <c r="F133" s="5"/>
      <c r="G133" s="5" cm="1">
        <f t="array" ref="G133">_xlfn.XLOOKUP(Table_Investimentos_Porcent[[#This Row],[Data]]&amp;Table_Investimentos_Porcent[[#This Row],[Nome]],Table_Investimentos_Main[Data]&amp;Table_Investimentos_Main[Nome],Table_Investimentos_Main[Estratégia],"NOT FOUND")</f>
        <v>0</v>
      </c>
      <c r="H133" s="5" t="str" cm="1">
        <f t="array" ref="H133">_xlfn.XLOOKUP(Table_Investimentos_Porcent[[#This Row],[Data]]&amp;Table_Investimentos_Porcent[[#This Row],[Nome]],Table_Investimentos_Main[Data]&amp;Table_Investimentos_Main[Nome],Table_Investimentos_Main[Moeda Base],"NOT FOUND")</f>
        <v>USD</v>
      </c>
      <c r="I133" s="69">
        <v>1</v>
      </c>
      <c r="J133" s="18" cm="1">
        <f t="array" ref="J133">Table_Investimentos_Porcent[[#This Row],[Porcentagem]]*_xlfn.XLOOKUP(Table_Investimentos_Porcent[[#This Row],[Data]]&amp;Table_Investimentos_Porcent[[#This Row],[Nome]],Table_Investimentos_Main[Data]&amp;Table_Investimentos_Main[Nome],Table_Investimentos_Main[Total (R$)],"NOT FOUND")</f>
        <v>5503.5225</v>
      </c>
      <c r="K133" s="80" cm="1">
        <f t="array" ref="K133">Table_Investimentos_Porcent[[#This Row],[Total (R$)]]/_xlfn.XLOOKUP(Table_Investimentos_Porcent[[#This Row],[Data]]&amp;Table_Investimentos_Porcent[[#This Row],[Nome]],Table_Investimentos_Main[Data]&amp;Table_Investimentos_Main[Nome],Table_Investimentos_Main[Cotação Dolar],"NOT FOUND")</f>
        <v>947.25000000000011</v>
      </c>
      <c r="O133" s="3"/>
      <c r="P133" s="3"/>
      <c r="Q133" s="3"/>
      <c r="V133" s="5"/>
      <c r="W133" s="5"/>
    </row>
    <row r="134" spans="2:23" x14ac:dyDescent="0.2">
      <c r="B134" s="8">
        <v>45627</v>
      </c>
      <c r="C134" s="34" t="s">
        <v>47</v>
      </c>
      <c r="D134" s="5" t="s">
        <v>17</v>
      </c>
      <c r="E134" s="5"/>
      <c r="F134" s="5"/>
      <c r="G134" s="5" cm="1">
        <f t="array" ref="G134">_xlfn.XLOOKUP(Table_Investimentos_Porcent[[#This Row],[Data]]&amp;Table_Investimentos_Porcent[[#This Row],[Nome]],Table_Investimentos_Main[Data]&amp;Table_Investimentos_Main[Nome],Table_Investimentos_Main[Estratégia],"NOT FOUND")</f>
        <v>0</v>
      </c>
      <c r="H134" s="5" t="str" cm="1">
        <f t="array" ref="H134">_xlfn.XLOOKUP(Table_Investimentos_Porcent[[#This Row],[Data]]&amp;Table_Investimentos_Porcent[[#This Row],[Nome]],Table_Investimentos_Main[Data]&amp;Table_Investimentos_Main[Nome],Table_Investimentos_Main[Moeda Base],"NOT FOUND")</f>
        <v>BRL</v>
      </c>
      <c r="I134" s="69">
        <v>1</v>
      </c>
      <c r="J134" s="18" cm="1">
        <f t="array" ref="J134">Table_Investimentos_Porcent[[#This Row],[Porcentagem]]*_xlfn.XLOOKUP(Table_Investimentos_Porcent[[#This Row],[Data]]&amp;Table_Investimentos_Porcent[[#This Row],[Nome]],Table_Investimentos_Main[Data]&amp;Table_Investimentos_Main[Nome],Table_Investimentos_Main[Total (R$)],"NOT FOUND")</f>
        <v>3718.75</v>
      </c>
      <c r="K134" s="80" cm="1">
        <f t="array" ref="K134">Table_Investimentos_Porcent[[#This Row],[Total (R$)]]/_xlfn.XLOOKUP(Table_Investimentos_Porcent[[#This Row],[Data]]&amp;Table_Investimentos_Porcent[[#This Row],[Nome]],Table_Investimentos_Main[Data]&amp;Table_Investimentos_Main[Nome],Table_Investimentos_Main[Cotação Dolar],"NOT FOUND")</f>
        <v>600.76736672051697</v>
      </c>
      <c r="O134" s="3"/>
      <c r="P134" s="3"/>
      <c r="Q134" s="3"/>
      <c r="V134" s="5"/>
      <c r="W134" s="5"/>
    </row>
    <row r="135" spans="2:23" x14ac:dyDescent="0.2">
      <c r="B135" s="8">
        <v>45627</v>
      </c>
      <c r="C135" s="34" t="s">
        <v>45</v>
      </c>
      <c r="D135" s="5" t="s">
        <v>17</v>
      </c>
      <c r="E135" s="5"/>
      <c r="F135" s="5"/>
      <c r="G135" s="5" cm="1">
        <f t="array" ref="G135">_xlfn.XLOOKUP(Table_Investimentos_Porcent[[#This Row],[Data]]&amp;Table_Investimentos_Porcent[[#This Row],[Nome]],Table_Investimentos_Main[Data]&amp;Table_Investimentos_Main[Nome],Table_Investimentos_Main[Estratégia],"NOT FOUND")</f>
        <v>0</v>
      </c>
      <c r="H135" s="5" t="str" cm="1">
        <f t="array" ref="H135">_xlfn.XLOOKUP(Table_Investimentos_Porcent[[#This Row],[Data]]&amp;Table_Investimentos_Porcent[[#This Row],[Nome]],Table_Investimentos_Main[Data]&amp;Table_Investimentos_Main[Nome],Table_Investimentos_Main[Moeda Base],"NOT FOUND")</f>
        <v>BRL</v>
      </c>
      <c r="I135" s="69">
        <v>1</v>
      </c>
      <c r="J135" s="18" cm="1">
        <f t="array" ref="J135">Table_Investimentos_Porcent[[#This Row],[Porcentagem]]*_xlfn.XLOOKUP(Table_Investimentos_Porcent[[#This Row],[Data]]&amp;Table_Investimentos_Porcent[[#This Row],[Nome]],Table_Investimentos_Main[Data]&amp;Table_Investimentos_Main[Nome],Table_Investimentos_Main[Total (R$)],"NOT FOUND")</f>
        <v>4382</v>
      </c>
      <c r="K135" s="80" cm="1">
        <f t="array" ref="K135">Table_Investimentos_Porcent[[#This Row],[Total (R$)]]/_xlfn.XLOOKUP(Table_Investimentos_Porcent[[#This Row],[Data]]&amp;Table_Investimentos_Porcent[[#This Row],[Nome]],Table_Investimentos_Main[Data]&amp;Table_Investimentos_Main[Nome],Table_Investimentos_Main[Cotação Dolar],"NOT FOUND")</f>
        <v>707.91599353796437</v>
      </c>
      <c r="O135" s="3"/>
      <c r="P135" s="3"/>
      <c r="Q135" s="3"/>
      <c r="V135" s="5"/>
      <c r="W135" s="5"/>
    </row>
    <row r="136" spans="2:23" x14ac:dyDescent="0.2">
      <c r="B136" s="8">
        <v>45627</v>
      </c>
      <c r="C136" s="34" t="s">
        <v>41</v>
      </c>
      <c r="D136" s="5" t="s">
        <v>36</v>
      </c>
      <c r="E136" s="5"/>
      <c r="F136" s="5"/>
      <c r="G136" s="5" cm="1">
        <f t="array" ref="G136">_xlfn.XLOOKUP(Table_Investimentos_Porcent[[#This Row],[Data]]&amp;Table_Investimentos_Porcent[[#This Row],[Nome]],Table_Investimentos_Main[Data]&amp;Table_Investimentos_Main[Nome],Table_Investimentos_Main[Estratégia],"NOT FOUND")</f>
        <v>0</v>
      </c>
      <c r="H136" s="5" t="str" cm="1">
        <f t="array" ref="H136">_xlfn.XLOOKUP(Table_Investimentos_Porcent[[#This Row],[Data]]&amp;Table_Investimentos_Porcent[[#This Row],[Nome]],Table_Investimentos_Main[Data]&amp;Table_Investimentos_Main[Nome],Table_Investimentos_Main[Moeda Base],"NOT FOUND")</f>
        <v>BTC</v>
      </c>
      <c r="I136" s="69">
        <v>1</v>
      </c>
      <c r="J136" s="18" cm="1">
        <f t="array" ref="J136">Table_Investimentos_Porcent[[#This Row],[Porcentagem]]*_xlfn.XLOOKUP(Table_Investimentos_Porcent[[#This Row],[Data]]&amp;Table_Investimentos_Porcent[[#This Row],[Nome]],Table_Investimentos_Main[Data]&amp;Table_Investimentos_Main[Nome],Table_Investimentos_Main[Total (R$)],"NOT FOUND")</f>
        <v>150409.19329710002</v>
      </c>
      <c r="K136" s="80" cm="1">
        <f t="array" ref="K136">Table_Investimentos_Porcent[[#This Row],[Total (R$)]]/_xlfn.XLOOKUP(Table_Investimentos_Porcent[[#This Row],[Data]]&amp;Table_Investimentos_Porcent[[#This Row],[Nome]],Table_Investimentos_Main[Data]&amp;Table_Investimentos_Main[Nome],Table_Investimentos_Main[Cotação Dolar],"NOT FOUND")</f>
        <v>24298.738820210019</v>
      </c>
      <c r="O136" s="3"/>
      <c r="P136" s="3"/>
      <c r="Q136" s="3"/>
      <c r="V136" s="5"/>
      <c r="W136" s="5"/>
    </row>
    <row r="137" spans="2:23" x14ac:dyDescent="0.2">
      <c r="B137" s="8">
        <v>45627</v>
      </c>
      <c r="C137" s="34" t="s">
        <v>42</v>
      </c>
      <c r="D137" s="5" t="s">
        <v>36</v>
      </c>
      <c r="E137" s="5"/>
      <c r="F137" s="5"/>
      <c r="G137" s="5" cm="1">
        <f t="array" ref="G137">_xlfn.XLOOKUP(Table_Investimentos_Porcent[[#This Row],[Data]]&amp;Table_Investimentos_Porcent[[#This Row],[Nome]],Table_Investimentos_Main[Data]&amp;Table_Investimentos_Main[Nome],Table_Investimentos_Main[Estratégia],"NOT FOUND")</f>
        <v>0</v>
      </c>
      <c r="H137" s="5" t="str" cm="1">
        <f t="array" ref="H137">_xlfn.XLOOKUP(Table_Investimentos_Porcent[[#This Row],[Data]]&amp;Table_Investimentos_Porcent[[#This Row],[Nome]],Table_Investimentos_Main[Data]&amp;Table_Investimentos_Main[Nome],Table_Investimentos_Main[Moeda Base],"NOT FOUND")</f>
        <v>BTC</v>
      </c>
      <c r="I137" s="69">
        <v>1</v>
      </c>
      <c r="J137" s="18" cm="1">
        <f t="array" ref="J137">Table_Investimentos_Porcent[[#This Row],[Porcentagem]]*_xlfn.XLOOKUP(Table_Investimentos_Porcent[[#This Row],[Data]]&amp;Table_Investimentos_Porcent[[#This Row],[Nome]],Table_Investimentos_Main[Data]&amp;Table_Investimentos_Main[Nome],Table_Investimentos_Main[Total (R$)],"NOT FOUND")</f>
        <v>9227.6429801399991</v>
      </c>
      <c r="K137" s="80" cm="1">
        <f t="array" ref="K137">Table_Investimentos_Porcent[[#This Row],[Total (R$)]]/_xlfn.XLOOKUP(Table_Investimentos_Porcent[[#This Row],[Data]]&amp;Table_Investimentos_Porcent[[#This Row],[Nome]],Table_Investimentos_Main[Data]&amp;Table_Investimentos_Main[Nome],Table_Investimentos_Main[Cotação Dolar],"NOT FOUND")</f>
        <v>1490.7339224781904</v>
      </c>
      <c r="O137" s="3"/>
      <c r="P137" s="3"/>
      <c r="Q137" s="3"/>
      <c r="V137" s="5"/>
      <c r="W137" s="5"/>
    </row>
    <row r="138" spans="2:23" x14ac:dyDescent="0.2">
      <c r="B138" s="8">
        <v>45627</v>
      </c>
      <c r="C138" s="34" t="s">
        <v>53</v>
      </c>
      <c r="D138" s="5" t="s">
        <v>17</v>
      </c>
      <c r="E138" s="5"/>
      <c r="F138" s="5"/>
      <c r="G138" s="5" cm="1">
        <f t="array" ref="G138">_xlfn.XLOOKUP(Table_Investimentos_Porcent[[#This Row],[Data]]&amp;Table_Investimentos_Porcent[[#This Row],[Nome]],Table_Investimentos_Main[Data]&amp;Table_Investimentos_Main[Nome],Table_Investimentos_Main[Estratégia],"NOT FOUND")</f>
        <v>0</v>
      </c>
      <c r="H138" s="5" t="str" cm="1">
        <f t="array" ref="H138">_xlfn.XLOOKUP(Table_Investimentos_Porcent[[#This Row],[Data]]&amp;Table_Investimentos_Porcent[[#This Row],[Nome]],Table_Investimentos_Main[Data]&amp;Table_Investimentos_Main[Nome],Table_Investimentos_Main[Moeda Base],"NOT FOUND")</f>
        <v>USD</v>
      </c>
      <c r="I138" s="69">
        <v>1</v>
      </c>
      <c r="J138" s="18" cm="1">
        <f t="array" ref="J138">Table_Investimentos_Porcent[[#This Row],[Porcentagem]]*_xlfn.XLOOKUP(Table_Investimentos_Porcent[[#This Row],[Data]]&amp;Table_Investimentos_Porcent[[#This Row],[Nome]],Table_Investimentos_Main[Data]&amp;Table_Investimentos_Main[Nome],Table_Investimentos_Main[Total (R$)],"NOT FOUND")</f>
        <v>10640.61</v>
      </c>
      <c r="K138" s="80" cm="1">
        <f t="array" ref="K138">Table_Investimentos_Porcent[[#This Row],[Total (R$)]]/_xlfn.XLOOKUP(Table_Investimentos_Porcent[[#This Row],[Data]]&amp;Table_Investimentos_Porcent[[#This Row],[Nome]],Table_Investimentos_Main[Data]&amp;Table_Investimentos_Main[Nome],Table_Investimentos_Main[Cotação Dolar],"NOT FOUND")</f>
        <v>1719</v>
      </c>
      <c r="O138" s="3"/>
      <c r="P138" s="3"/>
      <c r="Q138" s="3"/>
      <c r="V138" s="5"/>
      <c r="W138" s="5"/>
    </row>
    <row r="139" spans="2:23" x14ac:dyDescent="0.2">
      <c r="B139" s="8">
        <v>45627</v>
      </c>
      <c r="C139" s="34" t="s">
        <v>44</v>
      </c>
      <c r="D139" s="5" t="s">
        <v>17</v>
      </c>
      <c r="E139" s="5"/>
      <c r="F139" s="5"/>
      <c r="G139" s="5" cm="1">
        <f t="array" ref="G139">_xlfn.XLOOKUP(Table_Investimentos_Porcent[[#This Row],[Data]]&amp;Table_Investimentos_Porcent[[#This Row],[Nome]],Table_Investimentos_Main[Data]&amp;Table_Investimentos_Main[Nome],Table_Investimentos_Main[Estratégia],"NOT FOUND")</f>
        <v>0</v>
      </c>
      <c r="H139" s="5" t="str" cm="1">
        <f t="array" ref="H139">_xlfn.XLOOKUP(Table_Investimentos_Porcent[[#This Row],[Data]]&amp;Table_Investimentos_Porcent[[#This Row],[Nome]],Table_Investimentos_Main[Data]&amp;Table_Investimentos_Main[Nome],Table_Investimentos_Main[Moeda Base],"NOT FOUND")</f>
        <v>USD</v>
      </c>
      <c r="I139" s="69">
        <v>1</v>
      </c>
      <c r="J139" s="18" cm="1">
        <f t="array" ref="J139">Table_Investimentos_Porcent[[#This Row],[Porcentagem]]*_xlfn.XLOOKUP(Table_Investimentos_Porcent[[#This Row],[Data]]&amp;Table_Investimentos_Porcent[[#This Row],[Nome]],Table_Investimentos_Main[Data]&amp;Table_Investimentos_Main[Nome],Table_Investimentos_Main[Total (R$)],"NOT FOUND")</f>
        <v>18217.170000000002</v>
      </c>
      <c r="K139" s="80" cm="1">
        <f t="array" ref="K139">Table_Investimentos_Porcent[[#This Row],[Total (R$)]]/_xlfn.XLOOKUP(Table_Investimentos_Porcent[[#This Row],[Data]]&amp;Table_Investimentos_Porcent[[#This Row],[Nome]],Table_Investimentos_Main[Data]&amp;Table_Investimentos_Main[Nome],Table_Investimentos_Main[Cotação Dolar],"NOT FOUND")</f>
        <v>2943</v>
      </c>
      <c r="O139" s="3"/>
      <c r="P139" s="3"/>
      <c r="Q139" s="3"/>
      <c r="V139" s="5"/>
      <c r="W139" s="5"/>
    </row>
    <row r="140" spans="2:23" x14ac:dyDescent="0.2">
      <c r="B140" s="8">
        <v>45627</v>
      </c>
      <c r="C140" s="34" t="s">
        <v>49</v>
      </c>
      <c r="D140" s="5" t="s">
        <v>36</v>
      </c>
      <c r="E140" s="5"/>
      <c r="F140" s="5"/>
      <c r="G140" s="5" cm="1">
        <f t="array" ref="G140">_xlfn.XLOOKUP(Table_Investimentos_Porcent[[#This Row],[Data]]&amp;Table_Investimentos_Porcent[[#This Row],[Nome]],Table_Investimentos_Main[Data]&amp;Table_Investimentos_Main[Nome],Table_Investimentos_Main[Estratégia],"NOT FOUND")</f>
        <v>0</v>
      </c>
      <c r="H140" s="5" t="str" cm="1">
        <f t="array" ref="H140">_xlfn.XLOOKUP(Table_Investimentos_Porcent[[#This Row],[Data]]&amp;Table_Investimentos_Porcent[[#This Row],[Nome]],Table_Investimentos_Main[Data]&amp;Table_Investimentos_Main[Nome],Table_Investimentos_Main[Moeda Base],"NOT FOUND")</f>
        <v>USD</v>
      </c>
      <c r="I140" s="69">
        <v>1</v>
      </c>
      <c r="J140" s="18" cm="1">
        <f t="array" ref="J140">Table_Investimentos_Porcent[[#This Row],[Porcentagem]]*_xlfn.XLOOKUP(Table_Investimentos_Porcent[[#This Row],[Data]]&amp;Table_Investimentos_Porcent[[#This Row],[Nome]],Table_Investimentos_Main[Data]&amp;Table_Investimentos_Main[Nome],Table_Investimentos_Main[Total (R$)],"NOT FOUND")</f>
        <v>5401.0844999999999</v>
      </c>
      <c r="K140" s="80" cm="1">
        <f t="array" ref="K140">Table_Investimentos_Porcent[[#This Row],[Total (R$)]]/_xlfn.XLOOKUP(Table_Investimentos_Porcent[[#This Row],[Data]]&amp;Table_Investimentos_Porcent[[#This Row],[Nome]],Table_Investimentos_Main[Data]&amp;Table_Investimentos_Main[Nome],Table_Investimentos_Main[Cotação Dolar],"NOT FOUND")</f>
        <v>872.55</v>
      </c>
      <c r="O140" s="3"/>
      <c r="P140" s="3"/>
      <c r="Q140" s="3"/>
      <c r="V140" s="5"/>
      <c r="W140" s="5"/>
    </row>
    <row r="141" spans="2:23" x14ac:dyDescent="0.2">
      <c r="B141" s="8">
        <v>45627</v>
      </c>
      <c r="C141" s="34" t="s">
        <v>51</v>
      </c>
      <c r="D141" s="5" t="s">
        <v>36</v>
      </c>
      <c r="E141" s="5"/>
      <c r="F141" s="5"/>
      <c r="G141" s="5" cm="1">
        <f t="array" ref="G141">_xlfn.XLOOKUP(Table_Investimentos_Porcent[[#This Row],[Data]]&amp;Table_Investimentos_Porcent[[#This Row],[Nome]],Table_Investimentos_Main[Data]&amp;Table_Investimentos_Main[Nome],Table_Investimentos_Main[Estratégia],"NOT FOUND")</f>
        <v>0</v>
      </c>
      <c r="H141" s="5" t="str" cm="1">
        <f t="array" ref="H141">_xlfn.XLOOKUP(Table_Investimentos_Porcent[[#This Row],[Data]]&amp;Table_Investimentos_Porcent[[#This Row],[Nome]],Table_Investimentos_Main[Data]&amp;Table_Investimentos_Main[Nome],Table_Investimentos_Main[Moeda Base],"NOT FOUND")</f>
        <v>USD</v>
      </c>
      <c r="I141" s="69">
        <v>1</v>
      </c>
      <c r="J141" s="18" cm="1">
        <f t="array" ref="J141">Table_Investimentos_Porcent[[#This Row],[Porcentagem]]*_xlfn.XLOOKUP(Table_Investimentos_Porcent[[#This Row],[Data]]&amp;Table_Investimentos_Porcent[[#This Row],[Nome]],Table_Investimentos_Main[Data]&amp;Table_Investimentos_Main[Nome],Table_Investimentos_Main[Total (R$)],"NOT FOUND")</f>
        <v>5895.2322000000004</v>
      </c>
      <c r="K141" s="80" cm="1">
        <f t="array" ref="K141">Table_Investimentos_Porcent[[#This Row],[Total (R$)]]/_xlfn.XLOOKUP(Table_Investimentos_Porcent[[#This Row],[Data]]&amp;Table_Investimentos_Porcent[[#This Row],[Nome]],Table_Investimentos_Main[Data]&amp;Table_Investimentos_Main[Nome],Table_Investimentos_Main[Cotação Dolar],"NOT FOUND")</f>
        <v>952.38</v>
      </c>
      <c r="O141" s="3"/>
      <c r="P141" s="3"/>
      <c r="Q141" s="3"/>
      <c r="V141" s="5"/>
      <c r="W141" s="5"/>
    </row>
    <row r="142" spans="2:23" x14ac:dyDescent="0.2">
      <c r="B142" s="8">
        <v>45627</v>
      </c>
      <c r="C142" s="34" t="s">
        <v>54</v>
      </c>
      <c r="D142" s="5" t="s">
        <v>36</v>
      </c>
      <c r="E142" s="5"/>
      <c r="F142" s="5"/>
      <c r="G142" s="5" cm="1">
        <f t="array" ref="G142">_xlfn.XLOOKUP(Table_Investimentos_Porcent[[#This Row],[Data]]&amp;Table_Investimentos_Porcent[[#This Row],[Nome]],Table_Investimentos_Main[Data]&amp;Table_Investimentos_Main[Nome],Table_Investimentos_Main[Estratégia],"NOT FOUND")</f>
        <v>0</v>
      </c>
      <c r="H142" s="5" t="str" cm="1">
        <f t="array" ref="H142">_xlfn.XLOOKUP(Table_Investimentos_Porcent[[#This Row],[Data]]&amp;Table_Investimentos_Porcent[[#This Row],[Nome]],Table_Investimentos_Main[Data]&amp;Table_Investimentos_Main[Nome],Table_Investimentos_Main[Moeda Base],"NOT FOUND")</f>
        <v>USD</v>
      </c>
      <c r="I142" s="69">
        <v>1</v>
      </c>
      <c r="J142" s="18" cm="1">
        <f t="array" ref="J142">Table_Investimentos_Porcent[[#This Row],[Porcentagem]]*_xlfn.XLOOKUP(Table_Investimentos_Porcent[[#This Row],[Data]]&amp;Table_Investimentos_Porcent[[#This Row],[Nome]],Table_Investimentos_Main[Data]&amp;Table_Investimentos_Main[Nome],Table_Investimentos_Main[Total (R$)],"NOT FOUND")</f>
        <v>3029.0146</v>
      </c>
      <c r="K142" s="80" cm="1">
        <f t="array" ref="K142">Table_Investimentos_Porcent[[#This Row],[Total (R$)]]/_xlfn.XLOOKUP(Table_Investimentos_Porcent[[#This Row],[Data]]&amp;Table_Investimentos_Porcent[[#This Row],[Nome]],Table_Investimentos_Main[Data]&amp;Table_Investimentos_Main[Nome],Table_Investimentos_Main[Cotação Dolar],"NOT FOUND")</f>
        <v>489.34</v>
      </c>
      <c r="O142" s="3"/>
      <c r="P142" s="3"/>
      <c r="Q142" s="3"/>
      <c r="V142" s="5"/>
      <c r="W142" s="5"/>
    </row>
    <row r="143" spans="2:23" x14ac:dyDescent="0.2">
      <c r="B143" s="8">
        <v>45627</v>
      </c>
      <c r="C143" s="34" t="s">
        <v>55</v>
      </c>
      <c r="D143" s="5" t="s">
        <v>36</v>
      </c>
      <c r="E143" s="5"/>
      <c r="F143" s="5"/>
      <c r="G143" s="5" cm="1">
        <f t="array" ref="G143">_xlfn.XLOOKUP(Table_Investimentos_Porcent[[#This Row],[Data]]&amp;Table_Investimentos_Porcent[[#This Row],[Nome]],Table_Investimentos_Main[Data]&amp;Table_Investimentos_Main[Nome],Table_Investimentos_Main[Estratégia],"NOT FOUND")</f>
        <v>0</v>
      </c>
      <c r="H143" s="5" t="str" cm="1">
        <f t="array" ref="H143">_xlfn.XLOOKUP(Table_Investimentos_Porcent[[#This Row],[Data]]&amp;Table_Investimentos_Porcent[[#This Row],[Nome]],Table_Investimentos_Main[Data]&amp;Table_Investimentos_Main[Nome],Table_Investimentos_Main[Moeda Base],"NOT FOUND")</f>
        <v>USD</v>
      </c>
      <c r="I143" s="69">
        <v>1</v>
      </c>
      <c r="J143" s="18" cm="1">
        <f t="array" ref="J143">Table_Investimentos_Porcent[[#This Row],[Porcentagem]]*_xlfn.XLOOKUP(Table_Investimentos_Porcent[[#This Row],[Data]]&amp;Table_Investimentos_Porcent[[#This Row],[Nome]],Table_Investimentos_Main[Data]&amp;Table_Investimentos_Main[Nome],Table_Investimentos_Main[Total (R$)],"NOT FOUND")</f>
        <v>3120.998</v>
      </c>
      <c r="K143" s="80" cm="1">
        <f t="array" ref="K143">Table_Investimentos_Porcent[[#This Row],[Total (R$)]]/_xlfn.XLOOKUP(Table_Investimentos_Porcent[[#This Row],[Data]]&amp;Table_Investimentos_Porcent[[#This Row],[Nome]],Table_Investimentos_Main[Data]&amp;Table_Investimentos_Main[Nome],Table_Investimentos_Main[Cotação Dolar],"NOT FOUND")</f>
        <v>504.2</v>
      </c>
      <c r="O143" s="3"/>
      <c r="P143" s="3"/>
      <c r="Q143" s="3"/>
      <c r="V143" s="5"/>
      <c r="W143" s="5"/>
    </row>
    <row r="144" spans="2:23" x14ac:dyDescent="0.2">
      <c r="B144" s="8">
        <v>45658</v>
      </c>
      <c r="C144" s="34" t="s">
        <v>45</v>
      </c>
      <c r="D144" s="5" t="s">
        <v>17</v>
      </c>
      <c r="E144" s="5"/>
      <c r="F144" s="5"/>
      <c r="G144" s="5" cm="1">
        <f t="array" ref="G144">_xlfn.XLOOKUP(Table_Investimentos_Porcent[[#This Row],[Data]]&amp;Table_Investimentos_Porcent[[#This Row],[Nome]],Table_Investimentos_Main[Data]&amp;Table_Investimentos_Main[Nome],Table_Investimentos_Main[Estratégia],"NOT FOUND")</f>
        <v>0</v>
      </c>
      <c r="H144" s="5" t="str" cm="1">
        <f t="array" ref="H144">_xlfn.XLOOKUP(Table_Investimentos_Porcent[[#This Row],[Data]]&amp;Table_Investimentos_Porcent[[#This Row],[Nome]],Table_Investimentos_Main[Data]&amp;Table_Investimentos_Main[Nome],Table_Investimentos_Main[Moeda Base],"NOT FOUND")</f>
        <v>BRL</v>
      </c>
      <c r="I144" s="69">
        <v>1</v>
      </c>
      <c r="J144" s="18" cm="1">
        <f t="array" ref="J144">Table_Investimentos_Porcent[[#This Row],[Porcentagem]]*_xlfn.XLOOKUP(Table_Investimentos_Porcent[[#This Row],[Data]]&amp;Table_Investimentos_Porcent[[#This Row],[Nome]],Table_Investimentos_Main[Data]&amp;Table_Investimentos_Main[Nome],Table_Investimentos_Main[Total (R$)],"NOT FOUND")</f>
        <v>344.92</v>
      </c>
      <c r="K144" s="80" cm="1">
        <f t="array" ref="K144">Table_Investimentos_Porcent[[#This Row],[Total (R$)]]/_xlfn.XLOOKUP(Table_Investimentos_Porcent[[#This Row],[Data]]&amp;Table_Investimentos_Porcent[[#This Row],[Nome]],Table_Investimentos_Main[Data]&amp;Table_Investimentos_Main[Nome],Table_Investimentos_Main[Cotação Dolar],"NOT FOUND")</f>
        <v>55.722132471728592</v>
      </c>
      <c r="O144" s="3"/>
      <c r="P144" s="3"/>
      <c r="Q144" s="3"/>
      <c r="V144" s="5"/>
      <c r="W144" s="5"/>
    </row>
    <row r="145" spans="2:23" x14ac:dyDescent="0.2">
      <c r="B145" s="8">
        <v>45658</v>
      </c>
      <c r="C145" s="34" t="s">
        <v>56</v>
      </c>
      <c r="D145" s="5" t="s">
        <v>17</v>
      </c>
      <c r="E145" s="5"/>
      <c r="F145" s="5"/>
      <c r="G145" s="5" cm="1">
        <f t="array" ref="G145">_xlfn.XLOOKUP(Table_Investimentos_Porcent[[#This Row],[Data]]&amp;Table_Investimentos_Porcent[[#This Row],[Nome]],Table_Investimentos_Main[Data]&amp;Table_Investimentos_Main[Nome],Table_Investimentos_Main[Estratégia],"NOT FOUND")</f>
        <v>0</v>
      </c>
      <c r="H145" s="5" t="str" cm="1">
        <f t="array" ref="H145">_xlfn.XLOOKUP(Table_Investimentos_Porcent[[#This Row],[Data]]&amp;Table_Investimentos_Porcent[[#This Row],[Nome]],Table_Investimentos_Main[Data]&amp;Table_Investimentos_Main[Nome],Table_Investimentos_Main[Moeda Base],"NOT FOUND")</f>
        <v>BRL</v>
      </c>
      <c r="I145" s="69">
        <v>1</v>
      </c>
      <c r="J145" s="18" cm="1">
        <f t="array" ref="J145">Table_Investimentos_Porcent[[#This Row],[Porcentagem]]*_xlfn.XLOOKUP(Table_Investimentos_Porcent[[#This Row],[Data]]&amp;Table_Investimentos_Porcent[[#This Row],[Nome]],Table_Investimentos_Main[Data]&amp;Table_Investimentos_Main[Nome],Table_Investimentos_Main[Total (R$)],"NOT FOUND")</f>
        <v>5074.8</v>
      </c>
      <c r="K145" s="80" cm="1">
        <f t="array" ref="K145">Table_Investimentos_Porcent[[#This Row],[Total (R$)]]/_xlfn.XLOOKUP(Table_Investimentos_Porcent[[#This Row],[Data]]&amp;Table_Investimentos_Porcent[[#This Row],[Nome]],Table_Investimentos_Main[Data]&amp;Table_Investimentos_Main[Nome],Table_Investimentos_Main[Cotação Dolar],"NOT FOUND")</f>
        <v>819.83844911147014</v>
      </c>
      <c r="O145" s="3"/>
      <c r="P145" s="3"/>
      <c r="Q145" s="3"/>
      <c r="V145" s="5"/>
      <c r="W145" s="5"/>
    </row>
    <row r="146" spans="2:23" x14ac:dyDescent="0.2">
      <c r="B146" s="8">
        <v>45658</v>
      </c>
      <c r="C146" s="34" t="s">
        <v>41</v>
      </c>
      <c r="D146" s="5" t="s">
        <v>36</v>
      </c>
      <c r="E146" s="5"/>
      <c r="F146" s="5"/>
      <c r="G146" s="5" cm="1">
        <f t="array" ref="G146">_xlfn.XLOOKUP(Table_Investimentos_Porcent[[#This Row],[Data]]&amp;Table_Investimentos_Porcent[[#This Row],[Nome]],Table_Investimentos_Main[Data]&amp;Table_Investimentos_Main[Nome],Table_Investimentos_Main[Estratégia],"NOT FOUND")</f>
        <v>0</v>
      </c>
      <c r="H146" s="5" t="str" cm="1">
        <f t="array" ref="H146">_xlfn.XLOOKUP(Table_Investimentos_Porcent[[#This Row],[Data]]&amp;Table_Investimentos_Porcent[[#This Row],[Nome]],Table_Investimentos_Main[Data]&amp;Table_Investimentos_Main[Nome],Table_Investimentos_Main[Moeda Base],"NOT FOUND")</f>
        <v>BTC</v>
      </c>
      <c r="I146" s="69">
        <v>1</v>
      </c>
      <c r="J146" s="18" cm="1">
        <f t="array" ref="J146">Table_Investimentos_Porcent[[#This Row],[Porcentagem]]*_xlfn.XLOOKUP(Table_Investimentos_Porcent[[#This Row],[Data]]&amp;Table_Investimentos_Porcent[[#This Row],[Nome]],Table_Investimentos_Main[Data]&amp;Table_Investimentos_Main[Nome],Table_Investimentos_Main[Total (R$)],"NOT FOUND")</f>
        <v>154063.64231265301</v>
      </c>
      <c r="K146" s="80" cm="1">
        <f t="array" ref="K146">Table_Investimentos_Porcent[[#This Row],[Total (R$)]]/_xlfn.XLOOKUP(Table_Investimentos_Porcent[[#This Row],[Data]]&amp;Table_Investimentos_Porcent[[#This Row],[Nome]],Table_Investimentos_Main[Data]&amp;Table_Investimentos_Main[Nome],Table_Investimentos_Main[Cotação Dolar],"NOT FOUND")</f>
        <v>24889.118305759774</v>
      </c>
      <c r="O146" s="3"/>
      <c r="P146" s="3"/>
      <c r="Q146" s="3"/>
      <c r="V146" s="5"/>
      <c r="W146" s="5"/>
    </row>
    <row r="147" spans="2:23" x14ac:dyDescent="0.2">
      <c r="B147" s="8">
        <v>45658</v>
      </c>
      <c r="C147" s="34" t="s">
        <v>42</v>
      </c>
      <c r="D147" s="5" t="s">
        <v>36</v>
      </c>
      <c r="E147" s="5"/>
      <c r="F147" s="5"/>
      <c r="G147" s="5" cm="1">
        <f t="array" ref="G147">_xlfn.XLOOKUP(Table_Investimentos_Porcent[[#This Row],[Data]]&amp;Table_Investimentos_Porcent[[#This Row],[Nome]],Table_Investimentos_Main[Data]&amp;Table_Investimentos_Main[Nome],Table_Investimentos_Main[Estratégia],"NOT FOUND")</f>
        <v>0</v>
      </c>
      <c r="H147" s="5" t="str" cm="1">
        <f t="array" ref="H147">_xlfn.XLOOKUP(Table_Investimentos_Porcent[[#This Row],[Data]]&amp;Table_Investimentos_Porcent[[#This Row],[Nome]],Table_Investimentos_Main[Data]&amp;Table_Investimentos_Main[Nome],Table_Investimentos_Main[Moeda Base],"NOT FOUND")</f>
        <v>BTC</v>
      </c>
      <c r="I147" s="69">
        <v>1</v>
      </c>
      <c r="J147" s="18" cm="1">
        <f t="array" ref="J147">Table_Investimentos_Porcent[[#This Row],[Porcentagem]]*_xlfn.XLOOKUP(Table_Investimentos_Porcent[[#This Row],[Data]]&amp;Table_Investimentos_Porcent[[#This Row],[Nome]],Table_Investimentos_Main[Data]&amp;Table_Investimentos_Main[Nome],Table_Investimentos_Main[Total (R$)],"NOT FOUND")</f>
        <v>12598.486132969801</v>
      </c>
      <c r="K147" s="80" cm="1">
        <f t="array" ref="K147">Table_Investimentos_Porcent[[#This Row],[Total (R$)]]/_xlfn.XLOOKUP(Table_Investimentos_Porcent[[#This Row],[Data]]&amp;Table_Investimentos_Porcent[[#This Row],[Nome]],Table_Investimentos_Main[Data]&amp;Table_Investimentos_Main[Nome],Table_Investimentos_Main[Cotação Dolar],"NOT FOUND")</f>
        <v>2035.2966289127303</v>
      </c>
      <c r="O147" s="3"/>
      <c r="P147" s="3"/>
      <c r="Q147" s="3"/>
      <c r="V147" s="5"/>
      <c r="W147" s="5"/>
    </row>
    <row r="148" spans="2:23" x14ac:dyDescent="0.2">
      <c r="B148" s="8">
        <v>45658</v>
      </c>
      <c r="C148" s="34" t="s">
        <v>53</v>
      </c>
      <c r="D148" s="5" t="s">
        <v>17</v>
      </c>
      <c r="E148" s="5"/>
      <c r="F148" s="5"/>
      <c r="G148" s="5" cm="1">
        <f t="array" ref="G148">_xlfn.XLOOKUP(Table_Investimentos_Porcent[[#This Row],[Data]]&amp;Table_Investimentos_Porcent[[#This Row],[Nome]],Table_Investimentos_Main[Data]&amp;Table_Investimentos_Main[Nome],Table_Investimentos_Main[Estratégia],"NOT FOUND")</f>
        <v>0</v>
      </c>
      <c r="H148" s="5" t="str" cm="1">
        <f t="array" ref="H148">_xlfn.XLOOKUP(Table_Investimentos_Porcent[[#This Row],[Data]]&amp;Table_Investimentos_Porcent[[#This Row],[Nome]],Table_Investimentos_Main[Data]&amp;Table_Investimentos_Main[Nome],Table_Investimentos_Main[Moeda Base],"NOT FOUND")</f>
        <v>USD</v>
      </c>
      <c r="I148" s="69">
        <v>1</v>
      </c>
      <c r="J148" s="18" cm="1">
        <f t="array" ref="J148">Table_Investimentos_Porcent[[#This Row],[Porcentagem]]*_xlfn.XLOOKUP(Table_Investimentos_Porcent[[#This Row],[Data]]&amp;Table_Investimentos_Porcent[[#This Row],[Nome]],Table_Investimentos_Main[Data]&amp;Table_Investimentos_Main[Nome],Table_Investimentos_Main[Total (R$)],"NOT FOUND")</f>
        <v>10640.61</v>
      </c>
      <c r="K148" s="80" cm="1">
        <f t="array" ref="K148">Table_Investimentos_Porcent[[#This Row],[Total (R$)]]/_xlfn.XLOOKUP(Table_Investimentos_Porcent[[#This Row],[Data]]&amp;Table_Investimentos_Porcent[[#This Row],[Nome]],Table_Investimentos_Main[Data]&amp;Table_Investimentos_Main[Nome],Table_Investimentos_Main[Cotação Dolar],"NOT FOUND")</f>
        <v>1719</v>
      </c>
      <c r="O148" s="3"/>
      <c r="P148" s="3"/>
      <c r="Q148" s="3"/>
      <c r="V148" s="5"/>
      <c r="W148" s="5"/>
    </row>
    <row r="149" spans="2:23" x14ac:dyDescent="0.2">
      <c r="B149" s="8">
        <v>45658</v>
      </c>
      <c r="C149" s="34" t="s">
        <v>44</v>
      </c>
      <c r="D149" s="5" t="s">
        <v>17</v>
      </c>
      <c r="E149" s="5"/>
      <c r="F149" s="5"/>
      <c r="G149" s="5" cm="1">
        <f t="array" ref="G149">_xlfn.XLOOKUP(Table_Investimentos_Porcent[[#This Row],[Data]]&amp;Table_Investimentos_Porcent[[#This Row],[Nome]],Table_Investimentos_Main[Data]&amp;Table_Investimentos_Main[Nome],Table_Investimentos_Main[Estratégia],"NOT FOUND")</f>
        <v>0</v>
      </c>
      <c r="H149" s="5" t="str" cm="1">
        <f t="array" ref="H149">_xlfn.XLOOKUP(Table_Investimentos_Porcent[[#This Row],[Data]]&amp;Table_Investimentos_Porcent[[#This Row],[Nome]],Table_Investimentos_Main[Data]&amp;Table_Investimentos_Main[Nome],Table_Investimentos_Main[Moeda Base],"NOT FOUND")</f>
        <v>USD</v>
      </c>
      <c r="I149" s="69">
        <v>1</v>
      </c>
      <c r="J149" s="18" cm="1">
        <f t="array" ref="J149">Table_Investimentos_Porcent[[#This Row],[Porcentagem]]*_xlfn.XLOOKUP(Table_Investimentos_Porcent[[#This Row],[Data]]&amp;Table_Investimentos_Porcent[[#This Row],[Nome]],Table_Investimentos_Main[Data]&amp;Table_Investimentos_Main[Nome],Table_Investimentos_Main[Total (R$)],"NOT FOUND")</f>
        <v>12715.1266</v>
      </c>
      <c r="K149" s="80" cm="1">
        <f t="array" ref="K149">Table_Investimentos_Porcent[[#This Row],[Total (R$)]]/_xlfn.XLOOKUP(Table_Investimentos_Porcent[[#This Row],[Data]]&amp;Table_Investimentos_Porcent[[#This Row],[Nome]],Table_Investimentos_Main[Data]&amp;Table_Investimentos_Main[Nome],Table_Investimentos_Main[Cotação Dolar],"NOT FOUND")</f>
        <v>2054.14</v>
      </c>
      <c r="O149" s="3"/>
      <c r="P149" s="3"/>
      <c r="Q149" s="3"/>
      <c r="V149" s="5"/>
      <c r="W149" s="5"/>
    </row>
    <row r="150" spans="2:23" x14ac:dyDescent="0.2">
      <c r="B150" s="8">
        <v>45658</v>
      </c>
      <c r="C150" s="34" t="s">
        <v>49</v>
      </c>
      <c r="D150" s="5" t="s">
        <v>36</v>
      </c>
      <c r="E150" s="5"/>
      <c r="F150" s="5"/>
      <c r="G150" s="5" cm="1">
        <f t="array" ref="G150">_xlfn.XLOOKUP(Table_Investimentos_Porcent[[#This Row],[Data]]&amp;Table_Investimentos_Porcent[[#This Row],[Nome]],Table_Investimentos_Main[Data]&amp;Table_Investimentos_Main[Nome],Table_Investimentos_Main[Estratégia],"NOT FOUND")</f>
        <v>0</v>
      </c>
      <c r="H150" s="5" t="str" cm="1">
        <f t="array" ref="H150">_xlfn.XLOOKUP(Table_Investimentos_Porcent[[#This Row],[Data]]&amp;Table_Investimentos_Porcent[[#This Row],[Nome]],Table_Investimentos_Main[Data]&amp;Table_Investimentos_Main[Nome],Table_Investimentos_Main[Moeda Base],"NOT FOUND")</f>
        <v>USD</v>
      </c>
      <c r="I150" s="69">
        <v>1</v>
      </c>
      <c r="J150" s="18" cm="1">
        <f t="array" ref="J150">Table_Investimentos_Porcent[[#This Row],[Porcentagem]]*_xlfn.XLOOKUP(Table_Investimentos_Porcent[[#This Row],[Data]]&amp;Table_Investimentos_Porcent[[#This Row],[Nome]],Table_Investimentos_Main[Data]&amp;Table_Investimentos_Main[Nome],Table_Investimentos_Main[Total (R$)],"NOT FOUND")</f>
        <v>8577.1836308784004</v>
      </c>
      <c r="K150" s="80" cm="1">
        <f t="array" ref="K150">Table_Investimentos_Porcent[[#This Row],[Total (R$)]]/_xlfn.XLOOKUP(Table_Investimentos_Porcent[[#This Row],[Data]]&amp;Table_Investimentos_Porcent[[#This Row],[Nome]],Table_Investimentos_Main[Data]&amp;Table_Investimentos_Main[Nome],Table_Investimentos_Main[Cotação Dolar],"NOT FOUND")</f>
        <v>1385.651636652407</v>
      </c>
      <c r="O150" s="3"/>
      <c r="P150" s="3"/>
      <c r="Q150" s="3"/>
      <c r="V150" s="5"/>
      <c r="W150" s="5"/>
    </row>
    <row r="151" spans="2:23" x14ac:dyDescent="0.2">
      <c r="B151" s="8">
        <v>45658</v>
      </c>
      <c r="C151" s="34" t="s">
        <v>51</v>
      </c>
      <c r="D151" s="5" t="s">
        <v>36</v>
      </c>
      <c r="E151" s="5"/>
      <c r="F151" s="5"/>
      <c r="G151" s="5" cm="1">
        <f t="array" ref="G151">_xlfn.XLOOKUP(Table_Investimentos_Porcent[[#This Row],[Data]]&amp;Table_Investimentos_Porcent[[#This Row],[Nome]],Table_Investimentos_Main[Data]&amp;Table_Investimentos_Main[Nome],Table_Investimentos_Main[Estratégia],"NOT FOUND")</f>
        <v>0</v>
      </c>
      <c r="H151" s="5" t="str" cm="1">
        <f t="array" ref="H151">_xlfn.XLOOKUP(Table_Investimentos_Porcent[[#This Row],[Data]]&amp;Table_Investimentos_Porcent[[#This Row],[Nome]],Table_Investimentos_Main[Data]&amp;Table_Investimentos_Main[Nome],Table_Investimentos_Main[Moeda Base],"NOT FOUND")</f>
        <v>USD</v>
      </c>
      <c r="I151" s="69">
        <v>1</v>
      </c>
      <c r="J151" s="18" cm="1">
        <f t="array" ref="J151">Table_Investimentos_Porcent[[#This Row],[Porcentagem]]*_xlfn.XLOOKUP(Table_Investimentos_Porcent[[#This Row],[Data]]&amp;Table_Investimentos_Porcent[[#This Row],[Nome]],Table_Investimentos_Main[Data]&amp;Table_Investimentos_Main[Nome],Table_Investimentos_Main[Total (R$)],"NOT FOUND")</f>
        <v>5793.9019000000008</v>
      </c>
      <c r="K151" s="80" cm="1">
        <f t="array" ref="K151">Table_Investimentos_Porcent[[#This Row],[Total (R$)]]/_xlfn.XLOOKUP(Table_Investimentos_Porcent[[#This Row],[Data]]&amp;Table_Investimentos_Porcent[[#This Row],[Nome]],Table_Investimentos_Main[Data]&amp;Table_Investimentos_Main[Nome],Table_Investimentos_Main[Cotação Dolar],"NOT FOUND")</f>
        <v>936.0100000000001</v>
      </c>
      <c r="O151" s="3"/>
      <c r="P151" s="3"/>
      <c r="Q151" s="3"/>
      <c r="V151" s="5"/>
      <c r="W151" s="5"/>
    </row>
    <row r="152" spans="2:23" x14ac:dyDescent="0.2">
      <c r="B152" s="8">
        <v>45658</v>
      </c>
      <c r="C152" s="34" t="s">
        <v>54</v>
      </c>
      <c r="D152" s="5" t="s">
        <v>36</v>
      </c>
      <c r="E152" s="5"/>
      <c r="F152" s="5"/>
      <c r="G152" s="5" cm="1">
        <f t="array" ref="G152">_xlfn.XLOOKUP(Table_Investimentos_Porcent[[#This Row],[Data]]&amp;Table_Investimentos_Porcent[[#This Row],[Nome]],Table_Investimentos_Main[Data]&amp;Table_Investimentos_Main[Nome],Table_Investimentos_Main[Estratégia],"NOT FOUND")</f>
        <v>0</v>
      </c>
      <c r="H152" s="5" t="str" cm="1">
        <f t="array" ref="H152">_xlfn.XLOOKUP(Table_Investimentos_Porcent[[#This Row],[Data]]&amp;Table_Investimentos_Porcent[[#This Row],[Nome]],Table_Investimentos_Main[Data]&amp;Table_Investimentos_Main[Nome],Table_Investimentos_Main[Moeda Base],"NOT FOUND")</f>
        <v>USD</v>
      </c>
      <c r="I152" s="69">
        <v>1</v>
      </c>
      <c r="J152" s="18" cm="1">
        <f t="array" ref="J152">Table_Investimentos_Porcent[[#This Row],[Porcentagem]]*_xlfn.XLOOKUP(Table_Investimentos_Porcent[[#This Row],[Data]]&amp;Table_Investimentos_Porcent[[#This Row],[Nome]],Table_Investimentos_Main[Data]&amp;Table_Investimentos_Main[Nome],Table_Investimentos_Main[Total (R$)],"NOT FOUND")</f>
        <v>2981.1040000000003</v>
      </c>
      <c r="K152" s="80" cm="1">
        <f t="array" ref="K152">Table_Investimentos_Porcent[[#This Row],[Total (R$)]]/_xlfn.XLOOKUP(Table_Investimentos_Porcent[[#This Row],[Data]]&amp;Table_Investimentos_Porcent[[#This Row],[Nome]],Table_Investimentos_Main[Data]&amp;Table_Investimentos_Main[Nome],Table_Investimentos_Main[Cotação Dolar],"NOT FOUND")</f>
        <v>481.6</v>
      </c>
      <c r="O152" s="3"/>
      <c r="P152" s="3"/>
      <c r="Q152" s="3"/>
      <c r="V152" s="5"/>
      <c r="W152" s="5"/>
    </row>
    <row r="153" spans="2:23" x14ac:dyDescent="0.2">
      <c r="B153" s="8">
        <v>45658</v>
      </c>
      <c r="C153" s="34" t="s">
        <v>55</v>
      </c>
      <c r="D153" s="5" t="s">
        <v>36</v>
      </c>
      <c r="E153" s="5"/>
      <c r="F153" s="5"/>
      <c r="G153" s="5" cm="1">
        <f t="array" ref="G153">_xlfn.XLOOKUP(Table_Investimentos_Porcent[[#This Row],[Data]]&amp;Table_Investimentos_Porcent[[#This Row],[Nome]],Table_Investimentos_Main[Data]&amp;Table_Investimentos_Main[Nome],Table_Investimentos_Main[Estratégia],"NOT FOUND")</f>
        <v>0</v>
      </c>
      <c r="H153" s="5" t="str" cm="1">
        <f t="array" ref="H153">_xlfn.XLOOKUP(Table_Investimentos_Porcent[[#This Row],[Data]]&amp;Table_Investimentos_Porcent[[#This Row],[Nome]],Table_Investimentos_Main[Data]&amp;Table_Investimentos_Main[Nome],Table_Investimentos_Main[Moeda Base],"NOT FOUND")</f>
        <v>USD</v>
      </c>
      <c r="I153" s="69">
        <v>1</v>
      </c>
      <c r="J153" s="18" cm="1">
        <f t="array" ref="J153">Table_Investimentos_Porcent[[#This Row],[Porcentagem]]*_xlfn.XLOOKUP(Table_Investimentos_Porcent[[#This Row],[Data]]&amp;Table_Investimentos_Porcent[[#This Row],[Nome]],Table_Investimentos_Main[Data]&amp;Table_Investimentos_Main[Nome],Table_Investimentos_Main[Total (R$)],"NOT FOUND")</f>
        <v>3255.6924000000004</v>
      </c>
      <c r="K153" s="80" cm="1">
        <f t="array" ref="K153">Table_Investimentos_Porcent[[#This Row],[Total (R$)]]/_xlfn.XLOOKUP(Table_Investimentos_Porcent[[#This Row],[Data]]&amp;Table_Investimentos_Porcent[[#This Row],[Nome]],Table_Investimentos_Main[Data]&amp;Table_Investimentos_Main[Nome],Table_Investimentos_Main[Cotação Dolar],"NOT FOUND")</f>
        <v>525.96</v>
      </c>
      <c r="O153" s="3"/>
      <c r="P153" s="3"/>
      <c r="Q153" s="3"/>
      <c r="V153" s="5"/>
      <c r="W153" s="5"/>
    </row>
    <row r="154" spans="2:23" x14ac:dyDescent="0.2">
      <c r="B154" s="8">
        <v>45839</v>
      </c>
      <c r="C154" s="34" t="s">
        <v>58</v>
      </c>
      <c r="D154" s="5" t="s">
        <v>17</v>
      </c>
      <c r="E154" s="5"/>
      <c r="F154" s="5"/>
      <c r="G154" s="5" cm="1">
        <f t="array" ref="G154">_xlfn.XLOOKUP(Table_Investimentos_Porcent[[#This Row],[Data]]&amp;Table_Investimentos_Porcent[[#This Row],[Nome]],Table_Investimentos_Main[Data]&amp;Table_Investimentos_Main[Nome],Table_Investimentos_Main[Estratégia],"NOT FOUND")</f>
        <v>0</v>
      </c>
      <c r="H154" s="5" t="str" cm="1">
        <f t="array" ref="H154">_xlfn.XLOOKUP(Table_Investimentos_Porcent[[#This Row],[Data]]&amp;Table_Investimentos_Porcent[[#This Row],[Nome]],Table_Investimentos_Main[Data]&amp;Table_Investimentos_Main[Nome],Table_Investimentos_Main[Moeda Base],"NOT FOUND")</f>
        <v>BRL</v>
      </c>
      <c r="I154" s="69">
        <v>1</v>
      </c>
      <c r="J154" s="18" cm="1">
        <f t="array" ref="J154">Table_Investimentos_Porcent[[#This Row],[Porcentagem]]*_xlfn.XLOOKUP(Table_Investimentos_Porcent[[#This Row],[Data]]&amp;Table_Investimentos_Porcent[[#This Row],[Nome]],Table_Investimentos_Main[Data]&amp;Table_Investimentos_Main[Nome],Table_Investimentos_Main[Total (R$)],"NOT FOUND")</f>
        <v>6474.0500000000011</v>
      </c>
      <c r="K154" s="80" cm="1">
        <f t="array" ref="K154">Table_Investimentos_Porcent[[#This Row],[Total (R$)]]/_xlfn.XLOOKUP(Table_Investimentos_Porcent[[#This Row],[Data]]&amp;Table_Investimentos_Porcent[[#This Row],[Nome]],Table_Investimentos_Main[Data]&amp;Table_Investimentos_Main[Nome],Table_Investimentos_Main[Cotação Dolar],"NOT FOUND")</f>
        <v>1168.6010830324913</v>
      </c>
      <c r="O154" s="3"/>
      <c r="P154" s="3"/>
      <c r="Q154" s="3"/>
      <c r="V154" s="5"/>
      <c r="W154" s="5"/>
    </row>
    <row r="155" spans="2:23" x14ac:dyDescent="0.2">
      <c r="B155" s="8">
        <v>45839</v>
      </c>
      <c r="C155" s="34" t="s">
        <v>44</v>
      </c>
      <c r="D155" s="5" t="s">
        <v>17</v>
      </c>
      <c r="E155" s="5"/>
      <c r="F155" s="5"/>
      <c r="G155" s="5" cm="1">
        <f t="array" ref="G155">_xlfn.XLOOKUP(Table_Investimentos_Porcent[[#This Row],[Data]]&amp;Table_Investimentos_Porcent[[#This Row],[Nome]],Table_Investimentos_Main[Data]&amp;Table_Investimentos_Main[Nome],Table_Investimentos_Main[Estratégia],"NOT FOUND")</f>
        <v>0</v>
      </c>
      <c r="H155" s="5" t="str" cm="1">
        <f t="array" ref="H155">_xlfn.XLOOKUP(Table_Investimentos_Porcent[[#This Row],[Data]]&amp;Table_Investimentos_Porcent[[#This Row],[Nome]],Table_Investimentos_Main[Data]&amp;Table_Investimentos_Main[Nome],Table_Investimentos_Main[Moeda Base],"NOT FOUND")</f>
        <v>USD</v>
      </c>
      <c r="I155" s="69">
        <v>1</v>
      </c>
      <c r="J155" s="18" cm="1">
        <f t="array" ref="J155">Table_Investimentos_Porcent[[#This Row],[Porcentagem]]*_xlfn.XLOOKUP(Table_Investimentos_Porcent[[#This Row],[Data]]&amp;Table_Investimentos_Porcent[[#This Row],[Nome]],Table_Investimentos_Main[Data]&amp;Table_Investimentos_Main[Nome],Table_Investimentos_Main[Total (R$)],"NOT FOUND")</f>
        <v>760.97440000000006</v>
      </c>
      <c r="K155" s="80" cm="1">
        <f t="array" ref="K155">Table_Investimentos_Porcent[[#This Row],[Total (R$)]]/_xlfn.XLOOKUP(Table_Investimentos_Porcent[[#This Row],[Data]]&amp;Table_Investimentos_Porcent[[#This Row],[Nome]],Table_Investimentos_Main[Data]&amp;Table_Investimentos_Main[Nome],Table_Investimentos_Main[Cotação Dolar],"NOT FOUND")</f>
        <v>137.36000000000001</v>
      </c>
      <c r="O155" s="3"/>
      <c r="P155" s="3"/>
      <c r="Q155" s="3"/>
      <c r="V155" s="5"/>
      <c r="W155" s="5"/>
    </row>
    <row r="156" spans="2:23" x14ac:dyDescent="0.2">
      <c r="B156" s="8">
        <v>45839</v>
      </c>
      <c r="C156" s="34" t="s">
        <v>44</v>
      </c>
      <c r="D156" s="5" t="s">
        <v>17</v>
      </c>
      <c r="E156" s="5"/>
      <c r="F156" s="5"/>
      <c r="G156" s="5" cm="1">
        <f t="array" ref="G156">_xlfn.XLOOKUP(Table_Investimentos_Porcent[[#This Row],[Data]]&amp;Table_Investimentos_Porcent[[#This Row],[Nome]],Table_Investimentos_Main[Data]&amp;Table_Investimentos_Main[Nome],Table_Investimentos_Main[Estratégia],"NOT FOUND")</f>
        <v>0</v>
      </c>
      <c r="H156" s="5" t="str" cm="1">
        <f t="array" ref="H156">_xlfn.XLOOKUP(Table_Investimentos_Porcent[[#This Row],[Data]]&amp;Table_Investimentos_Porcent[[#This Row],[Nome]],Table_Investimentos_Main[Data]&amp;Table_Investimentos_Main[Nome],Table_Investimentos_Main[Moeda Base],"NOT FOUND")</f>
        <v>USD</v>
      </c>
      <c r="I156" s="69">
        <v>1</v>
      </c>
      <c r="J156" s="18" cm="1">
        <f t="array" ref="J156">Table_Investimentos_Porcent[[#This Row],[Porcentagem]]*_xlfn.XLOOKUP(Table_Investimentos_Porcent[[#This Row],[Data]]&amp;Table_Investimentos_Porcent[[#This Row],[Nome]],Table_Investimentos_Main[Data]&amp;Table_Investimentos_Main[Nome],Table_Investimentos_Main[Total (R$)],"NOT FOUND")</f>
        <v>760.97440000000006</v>
      </c>
      <c r="K156" s="80" cm="1">
        <f t="array" ref="K156">Table_Investimentos_Porcent[[#This Row],[Total (R$)]]/_xlfn.XLOOKUP(Table_Investimentos_Porcent[[#This Row],[Data]]&amp;Table_Investimentos_Porcent[[#This Row],[Nome]],Table_Investimentos_Main[Data]&amp;Table_Investimentos_Main[Nome],Table_Investimentos_Main[Cotação Dolar],"NOT FOUND")</f>
        <v>137.36000000000001</v>
      </c>
      <c r="O156" s="3"/>
      <c r="P156" s="3"/>
      <c r="Q156" s="3"/>
      <c r="V156" s="5"/>
      <c r="W156" s="5"/>
    </row>
    <row r="157" spans="2:23" x14ac:dyDescent="0.2">
      <c r="B157" s="8">
        <v>45839</v>
      </c>
      <c r="C157" s="34" t="s">
        <v>60</v>
      </c>
      <c r="D157" s="5" t="s">
        <v>17</v>
      </c>
      <c r="E157" s="5"/>
      <c r="F157" s="5"/>
      <c r="G157" s="5" cm="1">
        <f t="array" ref="G157">_xlfn.XLOOKUP(Table_Investimentos_Porcent[[#This Row],[Data]]&amp;Table_Investimentos_Porcent[[#This Row],[Nome]],Table_Investimentos_Main[Data]&amp;Table_Investimentos_Main[Nome],Table_Investimentos_Main[Estratégia],"NOT FOUND")</f>
        <v>0</v>
      </c>
      <c r="H157" s="5" t="str" cm="1">
        <f t="array" ref="H157">_xlfn.XLOOKUP(Table_Investimentos_Porcent[[#This Row],[Data]]&amp;Table_Investimentos_Porcent[[#This Row],[Nome]],Table_Investimentos_Main[Data]&amp;Table_Investimentos_Main[Nome],Table_Investimentos_Main[Moeda Base],"NOT FOUND")</f>
        <v>BRL</v>
      </c>
      <c r="I157" s="69">
        <v>1</v>
      </c>
      <c r="J157" s="18" cm="1">
        <f t="array" ref="J157">Table_Investimentos_Porcent[[#This Row],[Porcentagem]]*_xlfn.XLOOKUP(Table_Investimentos_Porcent[[#This Row],[Data]]&amp;Table_Investimentos_Porcent[[#This Row],[Nome]],Table_Investimentos_Main[Data]&amp;Table_Investimentos_Main[Nome],Table_Investimentos_Main[Total (R$)],"NOT FOUND")</f>
        <v>1612.13</v>
      </c>
      <c r="K157" s="80" cm="1">
        <f t="array" ref="K157">Table_Investimentos_Porcent[[#This Row],[Total (R$)]]/_xlfn.XLOOKUP(Table_Investimentos_Porcent[[#This Row],[Data]]&amp;Table_Investimentos_Porcent[[#This Row],[Nome]],Table_Investimentos_Main[Data]&amp;Table_Investimentos_Main[Nome],Table_Investimentos_Main[Cotação Dolar],"NOT FOUND")</f>
        <v>290.99819494584841</v>
      </c>
      <c r="O157" s="3"/>
      <c r="P157" s="3"/>
      <c r="Q157" s="3"/>
      <c r="V157" s="5"/>
      <c r="W157" s="5"/>
    </row>
    <row r="158" spans="2:23" x14ac:dyDescent="0.2">
      <c r="B158" s="8">
        <v>45839</v>
      </c>
      <c r="C158" s="34" t="s">
        <v>61</v>
      </c>
      <c r="D158" s="5" t="s">
        <v>20</v>
      </c>
      <c r="E158" s="5"/>
      <c r="F158" s="5"/>
      <c r="G158" s="5" cm="1">
        <f t="array" ref="G158">_xlfn.XLOOKUP(Table_Investimentos_Porcent[[#This Row],[Data]]&amp;Table_Investimentos_Porcent[[#This Row],[Nome]],Table_Investimentos_Main[Data]&amp;Table_Investimentos_Main[Nome],Table_Investimentos_Main[Estratégia],"NOT FOUND")</f>
        <v>0</v>
      </c>
      <c r="H158" s="5" t="str" cm="1">
        <f t="array" ref="H158">_xlfn.XLOOKUP(Table_Investimentos_Porcent[[#This Row],[Data]]&amp;Table_Investimentos_Porcent[[#This Row],[Nome]],Table_Investimentos_Main[Data]&amp;Table_Investimentos_Main[Nome],Table_Investimentos_Main[Moeda Base],"NOT FOUND")</f>
        <v>BRL</v>
      </c>
      <c r="I158" s="69">
        <v>1</v>
      </c>
      <c r="J158" s="18" cm="1">
        <f t="array" ref="J158">Table_Investimentos_Porcent[[#This Row],[Porcentagem]]*_xlfn.XLOOKUP(Table_Investimentos_Porcent[[#This Row],[Data]]&amp;Table_Investimentos_Porcent[[#This Row],[Nome]],Table_Investimentos_Main[Data]&amp;Table_Investimentos_Main[Nome],Table_Investimentos_Main[Total (R$)],"NOT FOUND")</f>
        <v>4743.13</v>
      </c>
      <c r="K158" s="80" cm="1">
        <f t="array" ref="K158">Table_Investimentos_Porcent[[#This Row],[Total (R$)]]/_xlfn.XLOOKUP(Table_Investimentos_Porcent[[#This Row],[Data]]&amp;Table_Investimentos_Porcent[[#This Row],[Nome]],Table_Investimentos_Main[Data]&amp;Table_Investimentos_Main[Nome],Table_Investimentos_Main[Cotação Dolar],"NOT FOUND")</f>
        <v>856.16064981949455</v>
      </c>
      <c r="O158" s="3"/>
      <c r="P158" s="3"/>
      <c r="Q158" s="3"/>
      <c r="V158" s="5"/>
      <c r="W158" s="5"/>
    </row>
    <row r="159" spans="2:23" x14ac:dyDescent="0.2">
      <c r="B159" s="8">
        <v>45839</v>
      </c>
      <c r="C159" s="34" t="s">
        <v>62</v>
      </c>
      <c r="D159" s="5" t="s">
        <v>20</v>
      </c>
      <c r="E159" s="5"/>
      <c r="F159" s="5"/>
      <c r="G159" s="5" cm="1">
        <f t="array" ref="G159">_xlfn.XLOOKUP(Table_Investimentos_Porcent[[#This Row],[Data]]&amp;Table_Investimentos_Porcent[[#This Row],[Nome]],Table_Investimentos_Main[Data]&amp;Table_Investimentos_Main[Nome],Table_Investimentos_Main[Estratégia],"NOT FOUND")</f>
        <v>0</v>
      </c>
      <c r="H159" s="5" t="str" cm="1">
        <f t="array" ref="H159">_xlfn.XLOOKUP(Table_Investimentos_Porcent[[#This Row],[Data]]&amp;Table_Investimentos_Porcent[[#This Row],[Nome]],Table_Investimentos_Main[Data]&amp;Table_Investimentos_Main[Nome],Table_Investimentos_Main[Moeda Base],"NOT FOUND")</f>
        <v>BRL</v>
      </c>
      <c r="I159" s="69">
        <v>1</v>
      </c>
      <c r="J159" s="18" cm="1">
        <f t="array" ref="J159">Table_Investimentos_Porcent[[#This Row],[Porcentagem]]*_xlfn.XLOOKUP(Table_Investimentos_Porcent[[#This Row],[Data]]&amp;Table_Investimentos_Porcent[[#This Row],[Nome]],Table_Investimentos_Main[Data]&amp;Table_Investimentos_Main[Nome],Table_Investimentos_Main[Total (R$)],"NOT FOUND")</f>
        <v>1713.72</v>
      </c>
      <c r="K159" s="80" cm="1">
        <f t="array" ref="K159">Table_Investimentos_Porcent[[#This Row],[Total (R$)]]/_xlfn.XLOOKUP(Table_Investimentos_Porcent[[#This Row],[Data]]&amp;Table_Investimentos_Porcent[[#This Row],[Nome]],Table_Investimentos_Main[Data]&amp;Table_Investimentos_Main[Nome],Table_Investimentos_Main[Cotação Dolar],"NOT FOUND")</f>
        <v>309.33574007220216</v>
      </c>
      <c r="O159" s="3"/>
      <c r="P159" s="3"/>
      <c r="Q159" s="3"/>
      <c r="V159" s="5"/>
      <c r="W159" s="5"/>
    </row>
    <row r="160" spans="2:23" x14ac:dyDescent="0.2">
      <c r="B160" s="8">
        <v>45839</v>
      </c>
      <c r="C160" s="34" t="s">
        <v>63</v>
      </c>
      <c r="D160" s="5" t="s">
        <v>20</v>
      </c>
      <c r="E160" s="5"/>
      <c r="F160" s="5"/>
      <c r="G160" s="5" cm="1">
        <f t="array" ref="G160">_xlfn.XLOOKUP(Table_Investimentos_Porcent[[#This Row],[Data]]&amp;Table_Investimentos_Porcent[[#This Row],[Nome]],Table_Investimentos_Main[Data]&amp;Table_Investimentos_Main[Nome],Table_Investimentos_Main[Estratégia],"NOT FOUND")</f>
        <v>0</v>
      </c>
      <c r="H160" s="5" t="str" cm="1">
        <f t="array" ref="H160">_xlfn.XLOOKUP(Table_Investimentos_Porcent[[#This Row],[Data]]&amp;Table_Investimentos_Porcent[[#This Row],[Nome]],Table_Investimentos_Main[Data]&amp;Table_Investimentos_Main[Nome],Table_Investimentos_Main[Moeda Base],"NOT FOUND")</f>
        <v>BRL</v>
      </c>
      <c r="I160" s="69">
        <v>1</v>
      </c>
      <c r="J160" s="18" cm="1">
        <f t="array" ref="J160">Table_Investimentos_Porcent[[#This Row],[Porcentagem]]*_xlfn.XLOOKUP(Table_Investimentos_Porcent[[#This Row],[Data]]&amp;Table_Investimentos_Porcent[[#This Row],[Nome]],Table_Investimentos_Main[Data]&amp;Table_Investimentos_Main[Nome],Table_Investimentos_Main[Total (R$)],"NOT FOUND")</f>
        <v>825.81</v>
      </c>
      <c r="K160" s="80" cm="1">
        <f t="array" ref="K160">Table_Investimentos_Porcent[[#This Row],[Total (R$)]]/_xlfn.XLOOKUP(Table_Investimentos_Porcent[[#This Row],[Data]]&amp;Table_Investimentos_Porcent[[#This Row],[Nome]],Table_Investimentos_Main[Data]&amp;Table_Investimentos_Main[Nome],Table_Investimentos_Main[Cotação Dolar],"NOT FOUND")</f>
        <v>149.06317689530684</v>
      </c>
      <c r="O160" s="3"/>
      <c r="P160" s="3"/>
      <c r="Q160" s="3"/>
      <c r="V160" s="5"/>
      <c r="W160" s="5"/>
    </row>
    <row r="161" spans="2:23" x14ac:dyDescent="0.2">
      <c r="B161" s="8">
        <v>45839</v>
      </c>
      <c r="C161" s="34" t="s">
        <v>64</v>
      </c>
      <c r="D161" s="5" t="s">
        <v>20</v>
      </c>
      <c r="E161" s="5"/>
      <c r="F161" s="5"/>
      <c r="G161" s="5" cm="1">
        <f t="array" ref="G161">_xlfn.XLOOKUP(Table_Investimentos_Porcent[[#This Row],[Data]]&amp;Table_Investimentos_Porcent[[#This Row],[Nome]],Table_Investimentos_Main[Data]&amp;Table_Investimentos_Main[Nome],Table_Investimentos_Main[Estratégia],"NOT FOUND")</f>
        <v>0</v>
      </c>
      <c r="H161" s="5" t="str" cm="1">
        <f t="array" ref="H161">_xlfn.XLOOKUP(Table_Investimentos_Porcent[[#This Row],[Data]]&amp;Table_Investimentos_Porcent[[#This Row],[Nome]],Table_Investimentos_Main[Data]&amp;Table_Investimentos_Main[Nome],Table_Investimentos_Main[Moeda Base],"NOT FOUND")</f>
        <v>USD</v>
      </c>
      <c r="I161" s="69">
        <v>1</v>
      </c>
      <c r="J161" s="18" cm="1">
        <f t="array" ref="J161">Table_Investimentos_Porcent[[#This Row],[Porcentagem]]*_xlfn.XLOOKUP(Table_Investimentos_Porcent[[#This Row],[Data]]&amp;Table_Investimentos_Porcent[[#This Row],[Nome]],Table_Investimentos_Main[Data]&amp;Table_Investimentos_Main[Nome],Table_Investimentos_Main[Total (R$)],"NOT FOUND")</f>
        <v>5596.4526000000005</v>
      </c>
      <c r="K161" s="80" cm="1">
        <f t="array" ref="K161">Table_Investimentos_Porcent[[#This Row],[Total (R$)]]/_xlfn.XLOOKUP(Table_Investimentos_Porcent[[#This Row],[Data]]&amp;Table_Investimentos_Porcent[[#This Row],[Nome]],Table_Investimentos_Main[Data]&amp;Table_Investimentos_Main[Nome],Table_Investimentos_Main[Cotação Dolar],"NOT FOUND")</f>
        <v>1010.19</v>
      </c>
      <c r="O161" s="3"/>
      <c r="P161" s="3"/>
      <c r="Q161" s="3"/>
      <c r="V161" s="5"/>
      <c r="W161" s="5"/>
    </row>
    <row r="162" spans="2:23" x14ac:dyDescent="0.2">
      <c r="B162" s="8">
        <v>45839</v>
      </c>
      <c r="C162" s="34" t="s">
        <v>65</v>
      </c>
      <c r="D162" s="5" t="s">
        <v>20</v>
      </c>
      <c r="E162" s="5"/>
      <c r="F162" s="5"/>
      <c r="G162" s="5" cm="1">
        <f t="array" ref="G162">_xlfn.XLOOKUP(Table_Investimentos_Porcent[[#This Row],[Data]]&amp;Table_Investimentos_Porcent[[#This Row],[Nome]],Table_Investimentos_Main[Data]&amp;Table_Investimentos_Main[Nome],Table_Investimentos_Main[Estratégia],"NOT FOUND")</f>
        <v>0</v>
      </c>
      <c r="H162" s="5" t="str" cm="1">
        <f t="array" ref="H162">_xlfn.XLOOKUP(Table_Investimentos_Porcent[[#This Row],[Data]]&amp;Table_Investimentos_Porcent[[#This Row],[Nome]],Table_Investimentos_Main[Data]&amp;Table_Investimentos_Main[Nome],Table_Investimentos_Main[Moeda Base],"NOT FOUND")</f>
        <v>BRL</v>
      </c>
      <c r="I162" s="69">
        <v>1</v>
      </c>
      <c r="J162" s="18" cm="1">
        <f t="array" ref="J162">Table_Investimentos_Porcent[[#This Row],[Porcentagem]]*_xlfn.XLOOKUP(Table_Investimentos_Porcent[[#This Row],[Data]]&amp;Table_Investimentos_Porcent[[#This Row],[Nome]],Table_Investimentos_Main[Data]&amp;Table_Investimentos_Main[Nome],Table_Investimentos_Main[Total (R$)],"NOT FOUND")</f>
        <v>2503.8200000000002</v>
      </c>
      <c r="K162" s="80" cm="1">
        <f t="array" ref="K162">Table_Investimentos_Porcent[[#This Row],[Total (R$)]]/_xlfn.XLOOKUP(Table_Investimentos_Porcent[[#This Row],[Data]]&amp;Table_Investimentos_Porcent[[#This Row],[Nome]],Table_Investimentos_Main[Data]&amp;Table_Investimentos_Main[Nome],Table_Investimentos_Main[Cotação Dolar],"NOT FOUND")</f>
        <v>451.95306859205778</v>
      </c>
      <c r="O162" s="3"/>
      <c r="P162" s="3"/>
      <c r="Q162" s="3"/>
      <c r="V162" s="5"/>
      <c r="W162" s="5"/>
    </row>
    <row r="163" spans="2:23" x14ac:dyDescent="0.2">
      <c r="B163" s="8">
        <v>45839</v>
      </c>
      <c r="C163" s="34" t="s">
        <v>55</v>
      </c>
      <c r="D163" s="5" t="s">
        <v>36</v>
      </c>
      <c r="E163" s="5"/>
      <c r="F163" s="5"/>
      <c r="G163" s="5" cm="1">
        <f t="array" ref="G163">_xlfn.XLOOKUP(Table_Investimentos_Porcent[[#This Row],[Data]]&amp;Table_Investimentos_Porcent[[#This Row],[Nome]],Table_Investimentos_Main[Data]&amp;Table_Investimentos_Main[Nome],Table_Investimentos_Main[Estratégia],"NOT FOUND")</f>
        <v>0</v>
      </c>
      <c r="H163" s="5" t="str" cm="1">
        <f t="array" ref="H163">_xlfn.XLOOKUP(Table_Investimentos_Porcent[[#This Row],[Data]]&amp;Table_Investimentos_Porcent[[#This Row],[Nome]],Table_Investimentos_Main[Data]&amp;Table_Investimentos_Main[Nome],Table_Investimentos_Main[Moeda Base],"NOT FOUND")</f>
        <v>USD</v>
      </c>
      <c r="I163" s="69">
        <v>1</v>
      </c>
      <c r="J163" s="18" cm="1">
        <f t="array" ref="J163">Table_Investimentos_Porcent[[#This Row],[Porcentagem]]*_xlfn.XLOOKUP(Table_Investimentos_Porcent[[#This Row],[Data]]&amp;Table_Investimentos_Porcent[[#This Row],[Nome]],Table_Investimentos_Main[Data]&amp;Table_Investimentos_Main[Nome],Table_Investimentos_Main[Total (R$)],"NOT FOUND")</f>
        <v>2819.306</v>
      </c>
      <c r="K163" s="80" cm="1">
        <f t="array" ref="K163">Table_Investimentos_Porcent[[#This Row],[Total (R$)]]/_xlfn.XLOOKUP(Table_Investimentos_Porcent[[#This Row],[Data]]&amp;Table_Investimentos_Porcent[[#This Row],[Nome]],Table_Investimentos_Main[Data]&amp;Table_Investimentos_Main[Nome],Table_Investimentos_Main[Cotação Dolar],"NOT FOUND")</f>
        <v>508.9</v>
      </c>
      <c r="O163" s="3"/>
      <c r="P163" s="3"/>
      <c r="Q163" s="3"/>
      <c r="V163" s="5"/>
      <c r="W163" s="5"/>
    </row>
    <row r="164" spans="2:23" x14ac:dyDescent="0.2">
      <c r="B164" s="8">
        <v>45839</v>
      </c>
      <c r="C164" s="34" t="s">
        <v>51</v>
      </c>
      <c r="D164" s="5" t="s">
        <v>36</v>
      </c>
      <c r="E164" s="5"/>
      <c r="F164" s="5"/>
      <c r="G164" s="5" cm="1">
        <f t="array" ref="G164">_xlfn.XLOOKUP(Table_Investimentos_Porcent[[#This Row],[Data]]&amp;Table_Investimentos_Porcent[[#This Row],[Nome]],Table_Investimentos_Main[Data]&amp;Table_Investimentos_Main[Nome],Table_Investimentos_Main[Estratégia],"NOT FOUND")</f>
        <v>0</v>
      </c>
      <c r="H164" s="5" t="str" cm="1">
        <f t="array" ref="H164">_xlfn.XLOOKUP(Table_Investimentos_Porcent[[#This Row],[Data]]&amp;Table_Investimentos_Porcent[[#This Row],[Nome]],Table_Investimentos_Main[Data]&amp;Table_Investimentos_Main[Nome],Table_Investimentos_Main[Moeda Base],"NOT FOUND")</f>
        <v>USD</v>
      </c>
      <c r="I164" s="69">
        <v>1</v>
      </c>
      <c r="J164" s="18" cm="1">
        <f t="array" ref="J164">Table_Investimentos_Porcent[[#This Row],[Porcentagem]]*_xlfn.XLOOKUP(Table_Investimentos_Porcent[[#This Row],[Data]]&amp;Table_Investimentos_Porcent[[#This Row],[Nome]],Table_Investimentos_Main[Data]&amp;Table_Investimentos_Main[Nome],Table_Investimentos_Main[Total (R$)],"NOT FOUND")</f>
        <v>5640.8280000000004</v>
      </c>
      <c r="K164" s="80" cm="1">
        <f t="array" ref="K164">Table_Investimentos_Porcent[[#This Row],[Total (R$)]]/_xlfn.XLOOKUP(Table_Investimentos_Porcent[[#This Row],[Data]]&amp;Table_Investimentos_Porcent[[#This Row],[Nome]],Table_Investimentos_Main[Data]&amp;Table_Investimentos_Main[Nome],Table_Investimentos_Main[Cotação Dolar],"NOT FOUND")</f>
        <v>1018.2</v>
      </c>
      <c r="O164" s="3"/>
      <c r="P164" s="3"/>
      <c r="Q164" s="3"/>
      <c r="V164" s="5"/>
      <c r="W164" s="5"/>
    </row>
    <row r="165" spans="2:23" x14ac:dyDescent="0.2">
      <c r="B165" s="8">
        <v>45839</v>
      </c>
      <c r="C165" s="34" t="s">
        <v>54</v>
      </c>
      <c r="D165" s="5" t="s">
        <v>36</v>
      </c>
      <c r="E165" s="5"/>
      <c r="F165" s="5"/>
      <c r="G165" s="5" cm="1">
        <f t="array" ref="G165">_xlfn.XLOOKUP(Table_Investimentos_Porcent[[#This Row],[Data]]&amp;Table_Investimentos_Porcent[[#This Row],[Nome]],Table_Investimentos_Main[Data]&amp;Table_Investimentos_Main[Nome],Table_Investimentos_Main[Estratégia],"NOT FOUND")</f>
        <v>0</v>
      </c>
      <c r="H165" s="5" t="str" cm="1">
        <f t="array" ref="H165">_xlfn.XLOOKUP(Table_Investimentos_Porcent[[#This Row],[Data]]&amp;Table_Investimentos_Porcent[[#This Row],[Nome]],Table_Investimentos_Main[Data]&amp;Table_Investimentos_Main[Nome],Table_Investimentos_Main[Moeda Base],"NOT FOUND")</f>
        <v>USD</v>
      </c>
      <c r="I165" s="69">
        <v>1</v>
      </c>
      <c r="J165" s="18" cm="1">
        <f t="array" ref="J165">Table_Investimentos_Porcent[[#This Row],[Porcentagem]]*_xlfn.XLOOKUP(Table_Investimentos_Porcent[[#This Row],[Data]]&amp;Table_Investimentos_Porcent[[#This Row],[Nome]],Table_Investimentos_Main[Data]&amp;Table_Investimentos_Main[Nome],Table_Investimentos_Main[Total (R$)],"NOT FOUND")</f>
        <v>2887.6696000000002</v>
      </c>
      <c r="K165" s="80" cm="1">
        <f t="array" ref="K165">Table_Investimentos_Porcent[[#This Row],[Total (R$)]]/_xlfn.XLOOKUP(Table_Investimentos_Porcent[[#This Row],[Data]]&amp;Table_Investimentos_Porcent[[#This Row],[Nome]],Table_Investimentos_Main[Data]&amp;Table_Investimentos_Main[Nome],Table_Investimentos_Main[Cotação Dolar],"NOT FOUND")</f>
        <v>521.24</v>
      </c>
      <c r="O165" s="3"/>
      <c r="P165" s="3"/>
      <c r="Q165" s="3"/>
      <c r="V165" s="5"/>
      <c r="W165" s="5"/>
    </row>
    <row r="166" spans="2:23" x14ac:dyDescent="0.2">
      <c r="B166" s="8">
        <v>45839</v>
      </c>
      <c r="C166" s="34" t="s">
        <v>42</v>
      </c>
      <c r="D166" s="5" t="s">
        <v>36</v>
      </c>
      <c r="E166" s="5"/>
      <c r="F166" s="5"/>
      <c r="G166" s="5" cm="1">
        <f t="array" ref="G166">_xlfn.XLOOKUP(Table_Investimentos_Porcent[[#This Row],[Data]]&amp;Table_Investimentos_Porcent[[#This Row],[Nome]],Table_Investimentos_Main[Data]&amp;Table_Investimentos_Main[Nome],Table_Investimentos_Main[Estratégia],"NOT FOUND")</f>
        <v>0</v>
      </c>
      <c r="H166" s="5" t="str" cm="1">
        <f t="array" ref="H166">_xlfn.XLOOKUP(Table_Investimentos_Porcent[[#This Row],[Data]]&amp;Table_Investimentos_Porcent[[#This Row],[Nome]],Table_Investimentos_Main[Data]&amp;Table_Investimentos_Main[Nome],Table_Investimentos_Main[Moeda Base],"NOT FOUND")</f>
        <v>BTC</v>
      </c>
      <c r="I166" s="69">
        <v>1</v>
      </c>
      <c r="J166" s="18" cm="1">
        <f t="array" ref="J166">Table_Investimentos_Porcent[[#This Row],[Porcentagem]]*_xlfn.XLOOKUP(Table_Investimentos_Porcent[[#This Row],[Data]]&amp;Table_Investimentos_Porcent[[#This Row],[Nome]],Table_Investimentos_Main[Data]&amp;Table_Investimentos_Main[Nome],Table_Investimentos_Main[Total (R$)],"NOT FOUND")</f>
        <v>4321.6412896800002</v>
      </c>
      <c r="K166" s="80" cm="1">
        <f t="array" ref="K166">Table_Investimentos_Porcent[[#This Row],[Total (R$)]]/_xlfn.XLOOKUP(Table_Investimentos_Porcent[[#This Row],[Data]]&amp;Table_Investimentos_Porcent[[#This Row],[Nome]],Table_Investimentos_Main[Data]&amp;Table_Investimentos_Main[Nome],Table_Investimentos_Main[Cotação Dolar],"NOT FOUND")</f>
        <v>780.07965517689536</v>
      </c>
      <c r="O166" s="3"/>
      <c r="P166" s="3"/>
      <c r="Q166" s="3"/>
      <c r="V166" s="5"/>
      <c r="W166" s="5"/>
    </row>
    <row r="167" spans="2:23" x14ac:dyDescent="0.2">
      <c r="B167" s="8">
        <v>45839</v>
      </c>
      <c r="C167" s="34" t="s">
        <v>49</v>
      </c>
      <c r="D167" s="5" t="s">
        <v>36</v>
      </c>
      <c r="E167" s="5"/>
      <c r="F167" s="5"/>
      <c r="G167" s="5" cm="1">
        <f t="array" ref="G167">_xlfn.XLOOKUP(Table_Investimentos_Porcent[[#This Row],[Data]]&amp;Table_Investimentos_Porcent[[#This Row],[Nome]],Table_Investimentos_Main[Data]&amp;Table_Investimentos_Main[Nome],Table_Investimentos_Main[Estratégia],"NOT FOUND")</f>
        <v>0</v>
      </c>
      <c r="H167" s="5" t="str" cm="1">
        <f t="array" ref="H167">_xlfn.XLOOKUP(Table_Investimentos_Porcent[[#This Row],[Data]]&amp;Table_Investimentos_Porcent[[#This Row],[Nome]],Table_Investimentos_Main[Data]&amp;Table_Investimentos_Main[Nome],Table_Investimentos_Main[Moeda Base],"NOT FOUND")</f>
        <v>USD</v>
      </c>
      <c r="I167" s="69">
        <v>1</v>
      </c>
      <c r="J167" s="18" cm="1">
        <f t="array" ref="J167">Table_Investimentos_Porcent[[#This Row],[Porcentagem]]*_xlfn.XLOOKUP(Table_Investimentos_Porcent[[#This Row],[Data]]&amp;Table_Investimentos_Porcent[[#This Row],[Nome]],Table_Investimentos_Main[Data]&amp;Table_Investimentos_Main[Nome],Table_Investimentos_Main[Total (R$)],"NOT FOUND")</f>
        <v>5506.8771277631995</v>
      </c>
      <c r="K167" s="80" cm="1">
        <f t="array" ref="K167">Table_Investimentos_Porcent[[#This Row],[Total (R$)]]/_xlfn.XLOOKUP(Table_Investimentos_Porcent[[#This Row],[Data]]&amp;Table_Investimentos_Porcent[[#This Row],[Nome]],Table_Investimentos_Main[Data]&amp;Table_Investimentos_Main[Nome],Table_Investimentos_Main[Cotação Dolar],"NOT FOUND")</f>
        <v>994.02114219552334</v>
      </c>
      <c r="O167" s="3"/>
      <c r="P167" s="3"/>
      <c r="Q167" s="3"/>
      <c r="V167" s="5"/>
      <c r="W167" s="5"/>
    </row>
    <row r="168" spans="2:23" x14ac:dyDescent="0.2">
      <c r="B168" s="8">
        <v>45839</v>
      </c>
      <c r="C168" s="34" t="s">
        <v>41</v>
      </c>
      <c r="D168" s="5" t="s">
        <v>36</v>
      </c>
      <c r="E168" s="5"/>
      <c r="F168" s="5"/>
      <c r="G168" s="5" cm="1">
        <f t="array" ref="G168">_xlfn.XLOOKUP(Table_Investimentos_Porcent[[#This Row],[Data]]&amp;Table_Investimentos_Porcent[[#This Row],[Nome]],Table_Investimentos_Main[Data]&amp;Table_Investimentos_Main[Nome],Table_Investimentos_Main[Estratégia],"NOT FOUND")</f>
        <v>0</v>
      </c>
      <c r="H168" s="5" t="str" cm="1">
        <f t="array" ref="H168">_xlfn.XLOOKUP(Table_Investimentos_Porcent[[#This Row],[Data]]&amp;Table_Investimentos_Porcent[[#This Row],[Nome]],Table_Investimentos_Main[Data]&amp;Table_Investimentos_Main[Nome],Table_Investimentos_Main[Moeda Base],"NOT FOUND")</f>
        <v>BTC</v>
      </c>
      <c r="I168" s="69">
        <v>1</v>
      </c>
      <c r="J168" s="18" cm="1">
        <f t="array" ref="J168">Table_Investimentos_Porcent[[#This Row],[Porcentagem]]*_xlfn.XLOOKUP(Table_Investimentos_Porcent[[#This Row],[Data]]&amp;Table_Investimentos_Porcent[[#This Row],[Nome]],Table_Investimentos_Main[Data]&amp;Table_Investimentos_Main[Nome],Table_Investimentos_Main[Total (R$)],"NOT FOUND")</f>
        <v>179484.80616143998</v>
      </c>
      <c r="K168" s="80" cm="1">
        <f t="array" ref="K168">Table_Investimentos_Porcent[[#This Row],[Total (R$)]]/_xlfn.XLOOKUP(Table_Investimentos_Porcent[[#This Row],[Data]]&amp;Table_Investimentos_Porcent[[#This Row],[Nome]],Table_Investimentos_Main[Data]&amp;Table_Investimentos_Main[Nome],Table_Investimentos_Main[Cotação Dolar],"NOT FOUND")</f>
        <v>32397.979451523461</v>
      </c>
      <c r="O168" s="3"/>
      <c r="P168" s="3"/>
      <c r="Q168" s="3"/>
      <c r="V168" s="5"/>
      <c r="W168" s="5"/>
    </row>
    <row r="169" spans="2:23" x14ac:dyDescent="0.2">
      <c r="B169" s="8">
        <v>45870</v>
      </c>
      <c r="C169" s="34" t="s">
        <v>58</v>
      </c>
      <c r="D169" s="5" t="s">
        <v>17</v>
      </c>
      <c r="E169" s="5"/>
      <c r="F169" s="5"/>
      <c r="G169" s="5" cm="1">
        <f t="array" ref="G169">_xlfn.XLOOKUP(Table_Investimentos_Porcent[[#This Row],[Data]]&amp;Table_Investimentos_Porcent[[#This Row],[Nome]],Table_Investimentos_Main[Data]&amp;Table_Investimentos_Main[Nome],Table_Investimentos_Main[Estratégia],"NOT FOUND")</f>
        <v>0</v>
      </c>
      <c r="H169" s="5" t="str" cm="1">
        <f t="array" ref="H169">_xlfn.XLOOKUP(Table_Investimentos_Porcent[[#This Row],[Data]]&amp;Table_Investimentos_Porcent[[#This Row],[Nome]],Table_Investimentos_Main[Data]&amp;Table_Investimentos_Main[Nome],Table_Investimentos_Main[Moeda Base],"NOT FOUND")</f>
        <v>BRL</v>
      </c>
      <c r="I169" s="69">
        <v>1</v>
      </c>
      <c r="J169" s="18" cm="1">
        <f t="array" ref="J169">Table_Investimentos_Porcent[[#This Row],[Porcentagem]]*_xlfn.XLOOKUP(Table_Investimentos_Porcent[[#This Row],[Data]]&amp;Table_Investimentos_Porcent[[#This Row],[Nome]],Table_Investimentos_Main[Data]&amp;Table_Investimentos_Main[Nome],Table_Investimentos_Main[Total (R$)],"NOT FOUND")</f>
        <v>8993.9699999999993</v>
      </c>
      <c r="K169" s="80" cm="1">
        <f t="array" ref="K169">Table_Investimentos_Porcent[[#This Row],[Total (R$)]]/_xlfn.XLOOKUP(Table_Investimentos_Porcent[[#This Row],[Data]]&amp;Table_Investimentos_Porcent[[#This Row],[Nome]],Table_Investimentos_Main[Data]&amp;Table_Investimentos_Main[Nome],Table_Investimentos_Main[Cotação Dolar],"NOT FOUND")</f>
        <v>1632.2994555353901</v>
      </c>
      <c r="O169" s="3"/>
      <c r="P169" s="3"/>
      <c r="Q169" s="3"/>
      <c r="V169" s="5"/>
      <c r="W169" s="5"/>
    </row>
    <row r="170" spans="2:23" x14ac:dyDescent="0.2">
      <c r="B170" s="8">
        <v>45870</v>
      </c>
      <c r="C170" s="34" t="s">
        <v>21</v>
      </c>
      <c r="D170" s="5" t="s">
        <v>23</v>
      </c>
      <c r="E170" s="5"/>
      <c r="F170" s="5"/>
      <c r="G170" s="5" cm="1">
        <f t="array" ref="G170">_xlfn.XLOOKUP(Table_Investimentos_Porcent[[#This Row],[Data]]&amp;Table_Investimentos_Porcent[[#This Row],[Nome]],Table_Investimentos_Main[Data]&amp;Table_Investimentos_Main[Nome],Table_Investimentos_Main[Estratégia],"NOT FOUND")</f>
        <v>0</v>
      </c>
      <c r="H170" s="5" t="str" cm="1">
        <f t="array" ref="H170">_xlfn.XLOOKUP(Table_Investimentos_Porcent[[#This Row],[Data]]&amp;Table_Investimentos_Porcent[[#This Row],[Nome]],Table_Investimentos_Main[Data]&amp;Table_Investimentos_Main[Nome],Table_Investimentos_Main[Moeda Base],"NOT FOUND")</f>
        <v>USD</v>
      </c>
      <c r="I170" s="69">
        <v>1</v>
      </c>
      <c r="J170" s="18" cm="1">
        <f t="array" ref="J170">Table_Investimentos_Porcent[[#This Row],[Porcentagem]]*_xlfn.XLOOKUP(Table_Investimentos_Porcent[[#This Row],[Data]]&amp;Table_Investimentos_Porcent[[#This Row],[Nome]],Table_Investimentos_Main[Data]&amp;Table_Investimentos_Main[Nome],Table_Investimentos_Main[Total (R$)],"NOT FOUND")</f>
        <v>551.38569999999993</v>
      </c>
      <c r="K170" s="80" cm="1">
        <f t="array" ref="K170">Table_Investimentos_Porcent[[#This Row],[Total (R$)]]/_xlfn.XLOOKUP(Table_Investimentos_Porcent[[#This Row],[Data]]&amp;Table_Investimentos_Porcent[[#This Row],[Nome]],Table_Investimentos_Main[Data]&amp;Table_Investimentos_Main[Nome],Table_Investimentos_Main[Cotação Dolar],"NOT FOUND")</f>
        <v>100.07</v>
      </c>
      <c r="O170" s="3"/>
      <c r="P170" s="3"/>
      <c r="Q170" s="3"/>
      <c r="V170" s="5"/>
      <c r="W170" s="5"/>
    </row>
    <row r="171" spans="2:23" x14ac:dyDescent="0.2">
      <c r="B171" s="8">
        <v>45870</v>
      </c>
      <c r="C171" s="34" t="s">
        <v>44</v>
      </c>
      <c r="D171" s="5" t="s">
        <v>23</v>
      </c>
      <c r="E171" s="5"/>
      <c r="F171" s="5"/>
      <c r="G171" s="5" cm="1">
        <f t="array" ref="G171">_xlfn.XLOOKUP(Table_Investimentos_Porcent[[#This Row],[Data]]&amp;Table_Investimentos_Porcent[[#This Row],[Nome]],Table_Investimentos_Main[Data]&amp;Table_Investimentos_Main[Nome],Table_Investimentos_Main[Estratégia],"NOT FOUND")</f>
        <v>0</v>
      </c>
      <c r="H171" s="5" t="str" cm="1">
        <f t="array" ref="H171">_xlfn.XLOOKUP(Table_Investimentos_Porcent[[#This Row],[Data]]&amp;Table_Investimentos_Porcent[[#This Row],[Nome]],Table_Investimentos_Main[Data]&amp;Table_Investimentos_Main[Nome],Table_Investimentos_Main[Moeda Base],"NOT FOUND")</f>
        <v>USD</v>
      </c>
      <c r="I171" s="69">
        <v>1</v>
      </c>
      <c r="J171" s="18" cm="1">
        <f t="array" ref="J171">Table_Investimentos_Porcent[[#This Row],[Porcentagem]]*_xlfn.XLOOKUP(Table_Investimentos_Porcent[[#This Row],[Data]]&amp;Table_Investimentos_Porcent[[#This Row],[Nome]],Table_Investimentos_Main[Data]&amp;Table_Investimentos_Main[Nome],Table_Investimentos_Main[Total (R$)],"NOT FOUND")</f>
        <v>552.92849999999999</v>
      </c>
      <c r="K171" s="80" cm="1">
        <f t="array" ref="K171">Table_Investimentos_Porcent[[#This Row],[Total (R$)]]/_xlfn.XLOOKUP(Table_Investimentos_Porcent[[#This Row],[Data]]&amp;Table_Investimentos_Porcent[[#This Row],[Nome]],Table_Investimentos_Main[Data]&amp;Table_Investimentos_Main[Nome],Table_Investimentos_Main[Cotação Dolar],"NOT FOUND")</f>
        <v>100.35</v>
      </c>
      <c r="O171" s="3"/>
      <c r="P171" s="3"/>
      <c r="Q171" s="3"/>
      <c r="V171" s="5"/>
      <c r="W171" s="5"/>
    </row>
    <row r="172" spans="2:23" x14ac:dyDescent="0.2">
      <c r="B172" s="8">
        <v>45870</v>
      </c>
      <c r="C172" s="34" t="s">
        <v>44</v>
      </c>
      <c r="D172" s="5" t="s">
        <v>23</v>
      </c>
      <c r="E172" s="5"/>
      <c r="F172" s="5"/>
      <c r="G172" s="5" cm="1">
        <f t="array" ref="G172">_xlfn.XLOOKUP(Table_Investimentos_Porcent[[#This Row],[Data]]&amp;Table_Investimentos_Porcent[[#This Row],[Nome]],Table_Investimentos_Main[Data]&amp;Table_Investimentos_Main[Nome],Table_Investimentos_Main[Estratégia],"NOT FOUND")</f>
        <v>0</v>
      </c>
      <c r="H172" s="5" t="str" cm="1">
        <f t="array" ref="H172">_xlfn.XLOOKUP(Table_Investimentos_Porcent[[#This Row],[Data]]&amp;Table_Investimentos_Porcent[[#This Row],[Nome]],Table_Investimentos_Main[Data]&amp;Table_Investimentos_Main[Nome],Table_Investimentos_Main[Moeda Base],"NOT FOUND")</f>
        <v>USD</v>
      </c>
      <c r="I172" s="69">
        <v>1</v>
      </c>
      <c r="J172" s="18" cm="1">
        <f t="array" ref="J172">Table_Investimentos_Porcent[[#This Row],[Porcentagem]]*_xlfn.XLOOKUP(Table_Investimentos_Porcent[[#This Row],[Data]]&amp;Table_Investimentos_Porcent[[#This Row],[Nome]],Table_Investimentos_Main[Data]&amp;Table_Investimentos_Main[Nome],Table_Investimentos_Main[Total (R$)],"NOT FOUND")</f>
        <v>552.92849999999999</v>
      </c>
      <c r="K172" s="80" cm="1">
        <f t="array" ref="K172">Table_Investimentos_Porcent[[#This Row],[Total (R$)]]/_xlfn.XLOOKUP(Table_Investimentos_Porcent[[#This Row],[Data]]&amp;Table_Investimentos_Porcent[[#This Row],[Nome]],Table_Investimentos_Main[Data]&amp;Table_Investimentos_Main[Nome],Table_Investimentos_Main[Cotação Dolar],"NOT FOUND")</f>
        <v>100.35</v>
      </c>
      <c r="O172" s="3"/>
      <c r="P172" s="3"/>
      <c r="Q172" s="3"/>
      <c r="V172" s="5"/>
      <c r="W172" s="5"/>
    </row>
    <row r="173" spans="2:23" x14ac:dyDescent="0.2">
      <c r="B173" s="8">
        <v>45870</v>
      </c>
      <c r="C173" s="34" t="s">
        <v>61</v>
      </c>
      <c r="D173" s="5" t="s">
        <v>17</v>
      </c>
      <c r="E173" s="5"/>
      <c r="F173" s="5"/>
      <c r="G173" s="5" cm="1">
        <f t="array" ref="G173">_xlfn.XLOOKUP(Table_Investimentos_Porcent[[#This Row],[Data]]&amp;Table_Investimentos_Porcent[[#This Row],[Nome]],Table_Investimentos_Main[Data]&amp;Table_Investimentos_Main[Nome],Table_Investimentos_Main[Estratégia],"NOT FOUND")</f>
        <v>0</v>
      </c>
      <c r="H173" s="5" t="str" cm="1">
        <f t="array" ref="H173">_xlfn.XLOOKUP(Table_Investimentos_Porcent[[#This Row],[Data]]&amp;Table_Investimentos_Porcent[[#This Row],[Nome]],Table_Investimentos_Main[Data]&amp;Table_Investimentos_Main[Nome],Table_Investimentos_Main[Moeda Base],"NOT FOUND")</f>
        <v>BRL</v>
      </c>
      <c r="I173" s="69">
        <v>1</v>
      </c>
      <c r="J173" s="18" cm="1">
        <f t="array" ref="J173">Table_Investimentos_Porcent[[#This Row],[Porcentagem]]*_xlfn.XLOOKUP(Table_Investimentos_Porcent[[#This Row],[Data]]&amp;Table_Investimentos_Porcent[[#This Row],[Nome]],Table_Investimentos_Main[Data]&amp;Table_Investimentos_Main[Nome],Table_Investimentos_Main[Total (R$)],"NOT FOUND")</f>
        <v>4743.13</v>
      </c>
      <c r="K173" s="80" cm="1">
        <f t="array" ref="K173">Table_Investimentos_Porcent[[#This Row],[Total (R$)]]/_xlfn.XLOOKUP(Table_Investimentos_Porcent[[#This Row],[Data]]&amp;Table_Investimentos_Porcent[[#This Row],[Nome]],Table_Investimentos_Main[Data]&amp;Table_Investimentos_Main[Nome],Table_Investimentos_Main[Cotação Dolar],"NOT FOUND")</f>
        <v>860.82214156079863</v>
      </c>
      <c r="O173" s="3"/>
      <c r="P173" s="3"/>
      <c r="Q173" s="3"/>
      <c r="V173" s="5"/>
      <c r="W173" s="5"/>
    </row>
    <row r="174" spans="2:23" x14ac:dyDescent="0.2">
      <c r="B174" s="8">
        <v>45870</v>
      </c>
      <c r="C174" s="34" t="s">
        <v>62</v>
      </c>
      <c r="D174" s="5" t="s">
        <v>17</v>
      </c>
      <c r="E174" s="5"/>
      <c r="F174" s="5"/>
      <c r="G174" s="5" cm="1">
        <f t="array" ref="G174">_xlfn.XLOOKUP(Table_Investimentos_Porcent[[#This Row],[Data]]&amp;Table_Investimentos_Porcent[[#This Row],[Nome]],Table_Investimentos_Main[Data]&amp;Table_Investimentos_Main[Nome],Table_Investimentos_Main[Estratégia],"NOT FOUND")</f>
        <v>0</v>
      </c>
      <c r="H174" s="5" t="str" cm="1">
        <f t="array" ref="H174">_xlfn.XLOOKUP(Table_Investimentos_Porcent[[#This Row],[Data]]&amp;Table_Investimentos_Porcent[[#This Row],[Nome]],Table_Investimentos_Main[Data]&amp;Table_Investimentos_Main[Nome],Table_Investimentos_Main[Moeda Base],"NOT FOUND")</f>
        <v>BRL</v>
      </c>
      <c r="I174" s="69">
        <v>1</v>
      </c>
      <c r="J174" s="18" cm="1">
        <f t="array" ref="J174">Table_Investimentos_Porcent[[#This Row],[Porcentagem]]*_xlfn.XLOOKUP(Table_Investimentos_Porcent[[#This Row],[Data]]&amp;Table_Investimentos_Porcent[[#This Row],[Nome]],Table_Investimentos_Main[Data]&amp;Table_Investimentos_Main[Nome],Table_Investimentos_Main[Total (R$)],"NOT FOUND")</f>
        <v>1713.72</v>
      </c>
      <c r="K174" s="80" cm="1">
        <f t="array" ref="K174">Table_Investimentos_Porcent[[#This Row],[Total (R$)]]/_xlfn.XLOOKUP(Table_Investimentos_Porcent[[#This Row],[Data]]&amp;Table_Investimentos_Porcent[[#This Row],[Nome]],Table_Investimentos_Main[Data]&amp;Table_Investimentos_Main[Nome],Table_Investimentos_Main[Cotação Dolar],"NOT FOUND")</f>
        <v>311.01996370235935</v>
      </c>
      <c r="O174" s="3"/>
      <c r="P174" s="3"/>
      <c r="Q174" s="3"/>
      <c r="V174" s="5"/>
      <c r="W174" s="5"/>
    </row>
    <row r="175" spans="2:23" x14ac:dyDescent="0.2">
      <c r="B175" s="8">
        <v>45870</v>
      </c>
      <c r="C175" s="34" t="s">
        <v>63</v>
      </c>
      <c r="D175" s="5" t="s">
        <v>17</v>
      </c>
      <c r="E175" s="5"/>
      <c r="F175" s="5"/>
      <c r="G175" s="5" cm="1">
        <f t="array" ref="G175">_xlfn.XLOOKUP(Table_Investimentos_Porcent[[#This Row],[Data]]&amp;Table_Investimentos_Porcent[[#This Row],[Nome]],Table_Investimentos_Main[Data]&amp;Table_Investimentos_Main[Nome],Table_Investimentos_Main[Estratégia],"NOT FOUND")</f>
        <v>0</v>
      </c>
      <c r="H175" s="5" t="str" cm="1">
        <f t="array" ref="H175">_xlfn.XLOOKUP(Table_Investimentos_Porcent[[#This Row],[Data]]&amp;Table_Investimentos_Porcent[[#This Row],[Nome]],Table_Investimentos_Main[Data]&amp;Table_Investimentos_Main[Nome],Table_Investimentos_Main[Moeda Base],"NOT FOUND")</f>
        <v>BRL</v>
      </c>
      <c r="I175" s="69">
        <v>1</v>
      </c>
      <c r="J175" s="18" cm="1">
        <f t="array" ref="J175">Table_Investimentos_Porcent[[#This Row],[Porcentagem]]*_xlfn.XLOOKUP(Table_Investimentos_Porcent[[#This Row],[Data]]&amp;Table_Investimentos_Porcent[[#This Row],[Nome]],Table_Investimentos_Main[Data]&amp;Table_Investimentos_Main[Nome],Table_Investimentos_Main[Total (R$)],"NOT FOUND")</f>
        <v>825.81</v>
      </c>
      <c r="K175" s="80" cm="1">
        <f t="array" ref="K175">Table_Investimentos_Porcent[[#This Row],[Total (R$)]]/_xlfn.XLOOKUP(Table_Investimentos_Porcent[[#This Row],[Data]]&amp;Table_Investimentos_Porcent[[#This Row],[Nome]],Table_Investimentos_Main[Data]&amp;Table_Investimentos_Main[Nome],Table_Investimentos_Main[Cotação Dolar],"NOT FOUND")</f>
        <v>149.87477313974591</v>
      </c>
      <c r="O175" s="3"/>
      <c r="P175" s="3"/>
      <c r="Q175" s="3"/>
      <c r="V175" s="5"/>
      <c r="W175" s="5"/>
    </row>
    <row r="176" spans="2:23" x14ac:dyDescent="0.2">
      <c r="B176" s="8">
        <v>45870</v>
      </c>
      <c r="C176" s="34" t="s">
        <v>64</v>
      </c>
      <c r="D176" s="5" t="s">
        <v>17</v>
      </c>
      <c r="E176" s="5"/>
      <c r="F176" s="5"/>
      <c r="G176" s="5" cm="1">
        <f t="array" ref="G176">_xlfn.XLOOKUP(Table_Investimentos_Porcent[[#This Row],[Data]]&amp;Table_Investimentos_Porcent[[#This Row],[Nome]],Table_Investimentos_Main[Data]&amp;Table_Investimentos_Main[Nome],Table_Investimentos_Main[Estratégia],"NOT FOUND")</f>
        <v>0</v>
      </c>
      <c r="H176" s="5" t="str" cm="1">
        <f t="array" ref="H176">_xlfn.XLOOKUP(Table_Investimentos_Porcent[[#This Row],[Data]]&amp;Table_Investimentos_Porcent[[#This Row],[Nome]],Table_Investimentos_Main[Data]&amp;Table_Investimentos_Main[Nome],Table_Investimentos_Main[Moeda Base],"NOT FOUND")</f>
        <v>USD</v>
      </c>
      <c r="I176" s="69">
        <v>1</v>
      </c>
      <c r="J176" s="18" cm="1">
        <f t="array" ref="J176">Table_Investimentos_Porcent[[#This Row],[Porcentagem]]*_xlfn.XLOOKUP(Table_Investimentos_Porcent[[#This Row],[Data]]&amp;Table_Investimentos_Porcent[[#This Row],[Nome]],Table_Investimentos_Main[Data]&amp;Table_Investimentos_Main[Nome],Table_Investimentos_Main[Total (R$)],"NOT FOUND")</f>
        <v>5566.1468999999997</v>
      </c>
      <c r="K176" s="80" cm="1">
        <f t="array" ref="K176">Table_Investimentos_Porcent[[#This Row],[Total (R$)]]/_xlfn.XLOOKUP(Table_Investimentos_Porcent[[#This Row],[Data]]&amp;Table_Investimentos_Porcent[[#This Row],[Nome]],Table_Investimentos_Main[Data]&amp;Table_Investimentos_Main[Nome],Table_Investimentos_Main[Cotação Dolar],"NOT FOUND")</f>
        <v>1010.1899999999999</v>
      </c>
      <c r="O176" s="3"/>
      <c r="P176" s="3"/>
      <c r="Q176" s="3"/>
      <c r="V176" s="5"/>
      <c r="W176" s="5"/>
    </row>
    <row r="177" spans="2:23" x14ac:dyDescent="0.2">
      <c r="B177" s="8">
        <v>45870</v>
      </c>
      <c r="C177" s="34" t="s">
        <v>65</v>
      </c>
      <c r="D177" s="5" t="s">
        <v>20</v>
      </c>
      <c r="E177" s="5"/>
      <c r="F177" s="5"/>
      <c r="G177" s="5" cm="1">
        <f t="array" ref="G177">_xlfn.XLOOKUP(Table_Investimentos_Porcent[[#This Row],[Data]]&amp;Table_Investimentos_Porcent[[#This Row],[Nome]],Table_Investimentos_Main[Data]&amp;Table_Investimentos_Main[Nome],Table_Investimentos_Main[Estratégia],"NOT FOUND")</f>
        <v>0</v>
      </c>
      <c r="H177" s="5" t="str" cm="1">
        <f t="array" ref="H177">_xlfn.XLOOKUP(Table_Investimentos_Porcent[[#This Row],[Data]]&amp;Table_Investimentos_Porcent[[#This Row],[Nome]],Table_Investimentos_Main[Data]&amp;Table_Investimentos_Main[Nome],Table_Investimentos_Main[Moeda Base],"NOT FOUND")</f>
        <v>BRL</v>
      </c>
      <c r="I177" s="69">
        <v>1</v>
      </c>
      <c r="J177" s="18" cm="1">
        <f t="array" ref="J177">Table_Investimentos_Porcent[[#This Row],[Porcentagem]]*_xlfn.XLOOKUP(Table_Investimentos_Porcent[[#This Row],[Data]]&amp;Table_Investimentos_Porcent[[#This Row],[Nome]],Table_Investimentos_Main[Data]&amp;Table_Investimentos_Main[Nome],Table_Investimentos_Main[Total (R$)],"NOT FOUND")</f>
        <v>2503.8200000000002</v>
      </c>
      <c r="K177" s="80" cm="1">
        <f t="array" ref="K177">Table_Investimentos_Porcent[[#This Row],[Total (R$)]]/_xlfn.XLOOKUP(Table_Investimentos_Porcent[[#This Row],[Data]]&amp;Table_Investimentos_Porcent[[#This Row],[Nome]],Table_Investimentos_Main[Data]&amp;Table_Investimentos_Main[Nome],Table_Investimentos_Main[Cotação Dolar],"NOT FOUND")</f>
        <v>454.41379310344831</v>
      </c>
      <c r="O177" s="3"/>
      <c r="P177" s="3"/>
      <c r="Q177" s="3"/>
      <c r="V177" s="5"/>
      <c r="W177" s="5"/>
    </row>
    <row r="178" spans="2:23" x14ac:dyDescent="0.2">
      <c r="B178" s="8">
        <v>45870</v>
      </c>
      <c r="C178" s="34" t="s">
        <v>55</v>
      </c>
      <c r="D178" s="5" t="s">
        <v>36</v>
      </c>
      <c r="E178" s="5"/>
      <c r="F178" s="5"/>
      <c r="G178" s="5" cm="1">
        <f t="array" ref="G178">_xlfn.XLOOKUP(Table_Investimentos_Porcent[[#This Row],[Data]]&amp;Table_Investimentos_Porcent[[#This Row],[Nome]],Table_Investimentos_Main[Data]&amp;Table_Investimentos_Main[Nome],Table_Investimentos_Main[Estratégia],"NOT FOUND")</f>
        <v>0</v>
      </c>
      <c r="H178" s="5" t="str" cm="1">
        <f t="array" ref="H178">_xlfn.XLOOKUP(Table_Investimentos_Porcent[[#This Row],[Data]]&amp;Table_Investimentos_Porcent[[#This Row],[Nome]],Table_Investimentos_Main[Data]&amp;Table_Investimentos_Main[Nome],Table_Investimentos_Main[Moeda Base],"NOT FOUND")</f>
        <v>USD</v>
      </c>
      <c r="I178" s="69">
        <v>1</v>
      </c>
      <c r="J178" s="18" cm="1">
        <f t="array" ref="J178">Table_Investimentos_Porcent[[#This Row],[Porcentagem]]*_xlfn.XLOOKUP(Table_Investimentos_Porcent[[#This Row],[Data]]&amp;Table_Investimentos_Porcent[[#This Row],[Nome]],Table_Investimentos_Main[Data]&amp;Table_Investimentos_Main[Nome],Table_Investimentos_Main[Total (R$)],"NOT FOUND")</f>
        <v>2804.0389999999998</v>
      </c>
      <c r="K178" s="80" cm="1">
        <f t="array" ref="K178">Table_Investimentos_Porcent[[#This Row],[Total (R$)]]/_xlfn.XLOOKUP(Table_Investimentos_Porcent[[#This Row],[Data]]&amp;Table_Investimentos_Porcent[[#This Row],[Nome]],Table_Investimentos_Main[Data]&amp;Table_Investimentos_Main[Nome],Table_Investimentos_Main[Cotação Dolar],"NOT FOUND")</f>
        <v>508.9</v>
      </c>
      <c r="O178" s="3"/>
      <c r="P178" s="3"/>
      <c r="Q178" s="3"/>
      <c r="V178" s="5"/>
      <c r="W178" s="5"/>
    </row>
    <row r="179" spans="2:23" x14ac:dyDescent="0.2">
      <c r="B179" s="8">
        <v>45870</v>
      </c>
      <c r="C179" s="34" t="s">
        <v>51</v>
      </c>
      <c r="D179" s="5" t="s">
        <v>36</v>
      </c>
      <c r="E179" s="5"/>
      <c r="F179" s="5"/>
      <c r="G179" s="5" cm="1">
        <f t="array" ref="G179">_xlfn.XLOOKUP(Table_Investimentos_Porcent[[#This Row],[Data]]&amp;Table_Investimentos_Porcent[[#This Row],[Nome]],Table_Investimentos_Main[Data]&amp;Table_Investimentos_Main[Nome],Table_Investimentos_Main[Estratégia],"NOT FOUND")</f>
        <v>0</v>
      </c>
      <c r="H179" s="5" t="str" cm="1">
        <f t="array" ref="H179">_xlfn.XLOOKUP(Table_Investimentos_Porcent[[#This Row],[Data]]&amp;Table_Investimentos_Porcent[[#This Row],[Nome]],Table_Investimentos_Main[Data]&amp;Table_Investimentos_Main[Nome],Table_Investimentos_Main[Moeda Base],"NOT FOUND")</f>
        <v>USD</v>
      </c>
      <c r="I179" s="69">
        <v>1</v>
      </c>
      <c r="J179" s="18" cm="1">
        <f t="array" ref="J179">Table_Investimentos_Porcent[[#This Row],[Porcentagem]]*_xlfn.XLOOKUP(Table_Investimentos_Porcent[[#This Row],[Data]]&amp;Table_Investimentos_Porcent[[#This Row],[Nome]],Table_Investimentos_Main[Data]&amp;Table_Investimentos_Main[Nome],Table_Investimentos_Main[Total (R$)],"NOT FOUND")</f>
        <v>5610.2820000000002</v>
      </c>
      <c r="K179" s="80" cm="1">
        <f t="array" ref="K179">Table_Investimentos_Porcent[[#This Row],[Total (R$)]]/_xlfn.XLOOKUP(Table_Investimentos_Porcent[[#This Row],[Data]]&amp;Table_Investimentos_Porcent[[#This Row],[Nome]],Table_Investimentos_Main[Data]&amp;Table_Investimentos_Main[Nome],Table_Investimentos_Main[Cotação Dolar],"NOT FOUND")</f>
        <v>1018.2</v>
      </c>
      <c r="O179" s="3"/>
      <c r="P179" s="3"/>
      <c r="Q179" s="3"/>
      <c r="V179" s="5"/>
      <c r="W179" s="5"/>
    </row>
    <row r="180" spans="2:23" x14ac:dyDescent="0.2">
      <c r="B180" s="8">
        <v>45870</v>
      </c>
      <c r="C180" s="34" t="s">
        <v>54</v>
      </c>
      <c r="D180" s="5" t="s">
        <v>36</v>
      </c>
      <c r="E180" s="5"/>
      <c r="F180" s="5"/>
      <c r="G180" s="5" cm="1">
        <f t="array" ref="G180">_xlfn.XLOOKUP(Table_Investimentos_Porcent[[#This Row],[Data]]&amp;Table_Investimentos_Porcent[[#This Row],[Nome]],Table_Investimentos_Main[Data]&amp;Table_Investimentos_Main[Nome],Table_Investimentos_Main[Estratégia],"NOT FOUND")</f>
        <v>0</v>
      </c>
      <c r="H180" s="5" t="str" cm="1">
        <f t="array" ref="H180">_xlfn.XLOOKUP(Table_Investimentos_Porcent[[#This Row],[Data]]&amp;Table_Investimentos_Porcent[[#This Row],[Nome]],Table_Investimentos_Main[Data]&amp;Table_Investimentos_Main[Nome],Table_Investimentos_Main[Moeda Base],"NOT FOUND")</f>
        <v>USD</v>
      </c>
      <c r="I180" s="69">
        <v>1</v>
      </c>
      <c r="J180" s="18" cm="1">
        <f t="array" ref="J180">Table_Investimentos_Porcent[[#This Row],[Porcentagem]]*_xlfn.XLOOKUP(Table_Investimentos_Porcent[[#This Row],[Data]]&amp;Table_Investimentos_Porcent[[#This Row],[Nome]],Table_Investimentos_Main[Data]&amp;Table_Investimentos_Main[Nome],Table_Investimentos_Main[Total (R$)],"NOT FOUND")</f>
        <v>2872.0324000000001</v>
      </c>
      <c r="K180" s="80" cm="1">
        <f t="array" ref="K180">Table_Investimentos_Porcent[[#This Row],[Total (R$)]]/_xlfn.XLOOKUP(Table_Investimentos_Porcent[[#This Row],[Data]]&amp;Table_Investimentos_Porcent[[#This Row],[Nome]],Table_Investimentos_Main[Data]&amp;Table_Investimentos_Main[Nome],Table_Investimentos_Main[Cotação Dolar],"NOT FOUND")</f>
        <v>521.24</v>
      </c>
      <c r="O180" s="3"/>
      <c r="P180" s="3"/>
      <c r="Q180" s="3"/>
      <c r="V180" s="5"/>
      <c r="W180" s="5"/>
    </row>
    <row r="181" spans="2:23" x14ac:dyDescent="0.2">
      <c r="B181" s="8">
        <v>45870</v>
      </c>
      <c r="C181" s="34" t="s">
        <v>42</v>
      </c>
      <c r="D181" s="5" t="s">
        <v>13</v>
      </c>
      <c r="E181" s="5"/>
      <c r="F181" s="5"/>
      <c r="G181" s="5" cm="1">
        <f t="array" ref="G181">_xlfn.XLOOKUP(Table_Investimentos_Porcent[[#This Row],[Data]]&amp;Table_Investimentos_Porcent[[#This Row],[Nome]],Table_Investimentos_Main[Data]&amp;Table_Investimentos_Main[Nome],Table_Investimentos_Main[Estratégia],"NOT FOUND")</f>
        <v>0</v>
      </c>
      <c r="H181" s="5" t="str" cm="1">
        <f t="array" ref="H181">_xlfn.XLOOKUP(Table_Investimentos_Porcent[[#This Row],[Data]]&amp;Table_Investimentos_Porcent[[#This Row],[Nome]],Table_Investimentos_Main[Data]&amp;Table_Investimentos_Main[Nome],Table_Investimentos_Main[Moeda Base],"NOT FOUND")</f>
        <v>BTC</v>
      </c>
      <c r="I181" s="69">
        <v>1</v>
      </c>
      <c r="J181" s="18" cm="1">
        <f t="array" ref="J181">Table_Investimentos_Porcent[[#This Row],[Porcentagem]]*_xlfn.XLOOKUP(Table_Investimentos_Porcent[[#This Row],[Data]]&amp;Table_Investimentos_Porcent[[#This Row],[Nome]],Table_Investimentos_Main[Data]&amp;Table_Investimentos_Main[Nome],Table_Investimentos_Main[Total (R$)],"NOT FOUND")</f>
        <v>4191.8031955799997</v>
      </c>
      <c r="K181" s="80" cm="1">
        <f t="array" ref="K181">Table_Investimentos_Porcent[[#This Row],[Total (R$)]]/_xlfn.XLOOKUP(Table_Investimentos_Porcent[[#This Row],[Data]]&amp;Table_Investimentos_Porcent[[#This Row],[Nome]],Table_Investimentos_Main[Data]&amp;Table_Investimentos_Main[Nome],Table_Investimentos_Main[Cotação Dolar],"NOT FOUND")</f>
        <v>760.76283041379304</v>
      </c>
      <c r="O181" s="3"/>
      <c r="P181" s="3"/>
      <c r="Q181" s="3"/>
      <c r="V181" s="5"/>
      <c r="W181" s="5"/>
    </row>
    <row r="182" spans="2:23" x14ac:dyDescent="0.2">
      <c r="B182" s="8">
        <v>45870</v>
      </c>
      <c r="C182" s="34" t="s">
        <v>49</v>
      </c>
      <c r="D182" s="5" t="s">
        <v>13</v>
      </c>
      <c r="E182" s="5"/>
      <c r="F182" s="5"/>
      <c r="G182" s="5" cm="1">
        <f t="array" ref="G182">_xlfn.XLOOKUP(Table_Investimentos_Porcent[[#This Row],[Data]]&amp;Table_Investimentos_Porcent[[#This Row],[Nome]],Table_Investimentos_Main[Data]&amp;Table_Investimentos_Main[Nome],Table_Investimentos_Main[Estratégia],"NOT FOUND")</f>
        <v>0</v>
      </c>
      <c r="H182" s="5" t="str" cm="1">
        <f t="array" ref="H182">_xlfn.XLOOKUP(Table_Investimentos_Porcent[[#This Row],[Data]]&amp;Table_Investimentos_Porcent[[#This Row],[Nome]],Table_Investimentos_Main[Data]&amp;Table_Investimentos_Main[Nome],Table_Investimentos_Main[Moeda Base],"NOT FOUND")</f>
        <v>USD</v>
      </c>
      <c r="I182" s="69">
        <v>1</v>
      </c>
      <c r="J182" s="18" cm="1">
        <f t="array" ref="J182">Table_Investimentos_Porcent[[#This Row],[Porcentagem]]*_xlfn.XLOOKUP(Table_Investimentos_Porcent[[#This Row],[Data]]&amp;Table_Investimentos_Porcent[[#This Row],[Nome]],Table_Investimentos_Main[Data]&amp;Table_Investimentos_Main[Nome],Table_Investimentos_Main[Total (R$)],"NOT FOUND")</f>
        <v>4981.2226850399993</v>
      </c>
      <c r="K182" s="80" cm="1">
        <f t="array" ref="K182">Table_Investimentos_Porcent[[#This Row],[Total (R$)]]/_xlfn.XLOOKUP(Table_Investimentos_Porcent[[#This Row],[Data]]&amp;Table_Investimentos_Porcent[[#This Row],[Nome]],Table_Investimentos_Main[Data]&amp;Table_Investimentos_Main[Nome],Table_Investimentos_Main[Cotação Dolar],"NOT FOUND")</f>
        <v>904.03315517967326</v>
      </c>
      <c r="O182" s="3"/>
      <c r="P182" s="3"/>
      <c r="Q182" s="3"/>
      <c r="V182" s="5"/>
      <c r="W182" s="5"/>
    </row>
    <row r="183" spans="2:23" x14ac:dyDescent="0.2">
      <c r="B183" s="8">
        <v>45870</v>
      </c>
      <c r="C183" s="34" t="s">
        <v>41</v>
      </c>
      <c r="D183" s="5" t="s">
        <v>13</v>
      </c>
      <c r="E183" s="5"/>
      <c r="F183" s="5"/>
      <c r="G183" s="5" cm="1">
        <f t="array" ref="G183">_xlfn.XLOOKUP(Table_Investimentos_Porcent[[#This Row],[Data]]&amp;Table_Investimentos_Porcent[[#This Row],[Nome]],Table_Investimentos_Main[Data]&amp;Table_Investimentos_Main[Nome],Table_Investimentos_Main[Estratégia],"NOT FOUND")</f>
        <v>0</v>
      </c>
      <c r="H183" s="5" t="str" cm="1">
        <f t="array" ref="H183">_xlfn.XLOOKUP(Table_Investimentos_Porcent[[#This Row],[Data]]&amp;Table_Investimentos_Porcent[[#This Row],[Nome]],Table_Investimentos_Main[Data]&amp;Table_Investimentos_Main[Nome],Table_Investimentos_Main[Moeda Base],"NOT FOUND")</f>
        <v>BTC</v>
      </c>
      <c r="I183" s="69">
        <v>1</v>
      </c>
      <c r="J183" s="18" cm="1">
        <f t="array" ref="J183">Table_Investimentos_Porcent[[#This Row],[Porcentagem]]*_xlfn.XLOOKUP(Table_Investimentos_Porcent[[#This Row],[Data]]&amp;Table_Investimentos_Porcent[[#This Row],[Nome]],Table_Investimentos_Main[Data]&amp;Table_Investimentos_Main[Nome],Table_Investimentos_Main[Total (R$)],"NOT FOUND")</f>
        <v>174092.41850363999</v>
      </c>
      <c r="K183" s="80" cm="1">
        <f t="array" ref="K183">Table_Investimentos_Porcent[[#This Row],[Total (R$)]]/_xlfn.XLOOKUP(Table_Investimentos_Porcent[[#This Row],[Data]]&amp;Table_Investimentos_Porcent[[#This Row],[Nome]],Table_Investimentos_Main[Data]&amp;Table_Investimentos_Main[Nome],Table_Investimentos_Main[Cotação Dolar],"NOT FOUND")</f>
        <v>31595.72023659528</v>
      </c>
      <c r="O183" s="3"/>
      <c r="P183" s="3"/>
      <c r="Q183" s="3"/>
      <c r="V183" s="5"/>
      <c r="W183" s="5"/>
    </row>
    <row r="184" spans="2:23" x14ac:dyDescent="0.2">
      <c r="B184" s="8">
        <v>45901</v>
      </c>
      <c r="C184" s="34" t="s">
        <v>58</v>
      </c>
      <c r="D184" s="5" t="s">
        <v>17</v>
      </c>
      <c r="E184" s="5"/>
      <c r="F184" s="5"/>
      <c r="G184" s="5" cm="1">
        <f t="array" ref="G184">_xlfn.XLOOKUP(Table_Investimentos_Porcent[[#This Row],[Data]]&amp;Table_Investimentos_Porcent[[#This Row],[Nome]],Table_Investimentos_Main[Data]&amp;Table_Investimentos_Main[Nome],Table_Investimentos_Main[Estratégia],"NOT FOUND")</f>
        <v>0</v>
      </c>
      <c r="H184" s="5" t="str" cm="1">
        <f t="array" ref="H184">_xlfn.XLOOKUP(Table_Investimentos_Porcent[[#This Row],[Data]]&amp;Table_Investimentos_Porcent[[#This Row],[Nome]],Table_Investimentos_Main[Data]&amp;Table_Investimentos_Main[Nome],Table_Investimentos_Main[Moeda Base],"NOT FOUND")</f>
        <v>BRL</v>
      </c>
      <c r="I184" s="69">
        <v>1</v>
      </c>
      <c r="J184" s="18" cm="1">
        <f t="array" ref="J184">Table_Investimentos_Porcent[[#This Row],[Porcentagem]]*_xlfn.XLOOKUP(Table_Investimentos_Porcent[[#This Row],[Data]]&amp;Table_Investimentos_Porcent[[#This Row],[Nome]],Table_Investimentos_Main[Data]&amp;Table_Investimentos_Main[Nome],Table_Investimentos_Main[Total (R$)],"NOT FOUND")</f>
        <v>8993.9699999999993</v>
      </c>
      <c r="K184" s="80" cm="1">
        <f t="array" ref="K184">Table_Investimentos_Porcent[[#This Row],[Total (R$)]]/_xlfn.XLOOKUP(Table_Investimentos_Porcent[[#This Row],[Data]]&amp;Table_Investimentos_Porcent[[#This Row],[Nome]],Table_Investimentos_Main[Data]&amp;Table_Investimentos_Main[Nome],Table_Investimentos_Main[Cotação Dolar],"NOT FOUND")</f>
        <v>1662.4713493530498</v>
      </c>
      <c r="O184" s="3"/>
      <c r="P184" s="3"/>
      <c r="Q184" s="3"/>
      <c r="V184" s="5"/>
      <c r="W184" s="5"/>
    </row>
    <row r="185" spans="2:23" x14ac:dyDescent="0.2">
      <c r="B185" s="8">
        <v>45901</v>
      </c>
      <c r="C185" s="34" t="s">
        <v>61</v>
      </c>
      <c r="D185" s="5" t="s">
        <v>17</v>
      </c>
      <c r="E185" s="5"/>
      <c r="F185" s="5"/>
      <c r="G185" s="5" cm="1">
        <f t="array" ref="G185">_xlfn.XLOOKUP(Table_Investimentos_Porcent[[#This Row],[Data]]&amp;Table_Investimentos_Porcent[[#This Row],[Nome]],Table_Investimentos_Main[Data]&amp;Table_Investimentos_Main[Nome],Table_Investimentos_Main[Estratégia],"NOT FOUND")</f>
        <v>0</v>
      </c>
      <c r="H185" s="5" t="str" cm="1">
        <f t="array" ref="H185">_xlfn.XLOOKUP(Table_Investimentos_Porcent[[#This Row],[Data]]&amp;Table_Investimentos_Porcent[[#This Row],[Nome]],Table_Investimentos_Main[Data]&amp;Table_Investimentos_Main[Nome],Table_Investimentos_Main[Moeda Base],"NOT FOUND")</f>
        <v>BRL</v>
      </c>
      <c r="I185" s="69">
        <v>1</v>
      </c>
      <c r="J185" s="18" cm="1">
        <f t="array" ref="J185">Table_Investimentos_Porcent[[#This Row],[Porcentagem]]*_xlfn.XLOOKUP(Table_Investimentos_Porcent[[#This Row],[Data]]&amp;Table_Investimentos_Porcent[[#This Row],[Nome]],Table_Investimentos_Main[Data]&amp;Table_Investimentos_Main[Nome],Table_Investimentos_Main[Total (R$)],"NOT FOUND")</f>
        <v>4811.0600000000004</v>
      </c>
      <c r="K185" s="80" cm="1">
        <f t="array" ref="K185">Table_Investimentos_Porcent[[#This Row],[Total (R$)]]/_xlfn.XLOOKUP(Table_Investimentos_Porcent[[#This Row],[Data]]&amp;Table_Investimentos_Porcent[[#This Row],[Nome]],Table_Investimentos_Main[Data]&amp;Table_Investimentos_Main[Nome],Table_Investimentos_Main[Cotação Dolar],"NOT FOUND")</f>
        <v>889.29020332717198</v>
      </c>
      <c r="O185" s="3"/>
      <c r="P185" s="3"/>
      <c r="Q185" s="3"/>
      <c r="V185" s="5"/>
      <c r="W185" s="5"/>
    </row>
    <row r="186" spans="2:23" x14ac:dyDescent="0.2">
      <c r="B186" s="8">
        <v>45901</v>
      </c>
      <c r="C186" s="34" t="s">
        <v>67</v>
      </c>
      <c r="D186" s="5" t="s">
        <v>17</v>
      </c>
      <c r="E186" s="5"/>
      <c r="F186" s="5"/>
      <c r="G186" s="5" cm="1">
        <f t="array" ref="G186">_xlfn.XLOOKUP(Table_Investimentos_Porcent[[#This Row],[Data]]&amp;Table_Investimentos_Porcent[[#This Row],[Nome]],Table_Investimentos_Main[Data]&amp;Table_Investimentos_Main[Nome],Table_Investimentos_Main[Estratégia],"NOT FOUND")</f>
        <v>0</v>
      </c>
      <c r="H186" s="5" t="str" cm="1">
        <f t="array" ref="H186">_xlfn.XLOOKUP(Table_Investimentos_Porcent[[#This Row],[Data]]&amp;Table_Investimentos_Porcent[[#This Row],[Nome]],Table_Investimentos_Main[Data]&amp;Table_Investimentos_Main[Nome],Table_Investimentos_Main[Moeda Base],"NOT FOUND")</f>
        <v>USD</v>
      </c>
      <c r="I186" s="69">
        <v>1</v>
      </c>
      <c r="J186" s="18" cm="1">
        <f t="array" ref="J186">Table_Investimentos_Porcent[[#This Row],[Porcentagem]]*_xlfn.XLOOKUP(Table_Investimentos_Porcent[[#This Row],[Data]]&amp;Table_Investimentos_Porcent[[#This Row],[Nome]],Table_Investimentos_Main[Data]&amp;Table_Investimentos_Main[Nome],Table_Investimentos_Main[Total (R$)],"NOT FOUND")</f>
        <v>2903.0060000000003</v>
      </c>
      <c r="K186" s="80" cm="1">
        <f t="array" ref="K186">Table_Investimentos_Porcent[[#This Row],[Total (R$)]]/_xlfn.XLOOKUP(Table_Investimentos_Porcent[[#This Row],[Data]]&amp;Table_Investimentos_Porcent[[#This Row],[Nome]],Table_Investimentos_Main[Data]&amp;Table_Investimentos_Main[Nome],Table_Investimentos_Main[Cotação Dolar],"NOT FOUND")</f>
        <v>536.6</v>
      </c>
      <c r="O186" s="3"/>
      <c r="P186" s="3"/>
      <c r="Q186" s="3"/>
      <c r="V186" s="5"/>
      <c r="W186" s="5"/>
    </row>
    <row r="187" spans="2:23" x14ac:dyDescent="0.2">
      <c r="B187" s="8">
        <v>45901</v>
      </c>
      <c r="C187" s="34" t="s">
        <v>21</v>
      </c>
      <c r="D187" s="5" t="s">
        <v>17</v>
      </c>
      <c r="E187" s="5"/>
      <c r="F187" s="5"/>
      <c r="G187" s="5" cm="1">
        <f t="array" ref="G187">_xlfn.XLOOKUP(Table_Investimentos_Porcent[[#This Row],[Data]]&amp;Table_Investimentos_Porcent[[#This Row],[Nome]],Table_Investimentos_Main[Data]&amp;Table_Investimentos_Main[Nome],Table_Investimentos_Main[Estratégia],"NOT FOUND")</f>
        <v>0</v>
      </c>
      <c r="H187" s="5" t="str" cm="1">
        <f t="array" ref="H187">_xlfn.XLOOKUP(Table_Investimentos_Porcent[[#This Row],[Data]]&amp;Table_Investimentos_Porcent[[#This Row],[Nome]],Table_Investimentos_Main[Data]&amp;Table_Investimentos_Main[Nome],Table_Investimentos_Main[Moeda Base],"NOT FOUND")</f>
        <v>USD</v>
      </c>
      <c r="I187" s="69">
        <v>1</v>
      </c>
      <c r="J187" s="18" cm="1">
        <f t="array" ref="J187">Table_Investimentos_Porcent[[#This Row],[Porcentagem]]*_xlfn.XLOOKUP(Table_Investimentos_Porcent[[#This Row],[Data]]&amp;Table_Investimentos_Porcent[[#This Row],[Nome]],Table_Investimentos_Main[Data]&amp;Table_Investimentos_Main[Nome],Table_Investimentos_Main[Total (R$)],"NOT FOUND")</f>
        <v>548.84450000000004</v>
      </c>
      <c r="K187" s="80" cm="1">
        <f t="array" ref="K187">Table_Investimentos_Porcent[[#This Row],[Total (R$)]]/_xlfn.XLOOKUP(Table_Investimentos_Porcent[[#This Row],[Data]]&amp;Table_Investimentos_Porcent[[#This Row],[Nome]],Table_Investimentos_Main[Data]&amp;Table_Investimentos_Main[Nome],Table_Investimentos_Main[Cotação Dolar],"NOT FOUND")</f>
        <v>101.45</v>
      </c>
      <c r="O187" s="3"/>
      <c r="P187" s="3"/>
      <c r="Q187" s="3"/>
      <c r="V187" s="5"/>
      <c r="W187" s="5"/>
    </row>
    <row r="188" spans="2:23" x14ac:dyDescent="0.2">
      <c r="B188" s="8">
        <v>45901</v>
      </c>
      <c r="C188" s="34" t="s">
        <v>44</v>
      </c>
      <c r="D188" s="5" t="s">
        <v>17</v>
      </c>
      <c r="E188" s="5"/>
      <c r="F188" s="5"/>
      <c r="G188" s="5" cm="1">
        <f t="array" ref="G188">_xlfn.XLOOKUP(Table_Investimentos_Porcent[[#This Row],[Data]]&amp;Table_Investimentos_Porcent[[#This Row],[Nome]],Table_Investimentos_Main[Data]&amp;Table_Investimentos_Main[Nome],Table_Investimentos_Main[Estratégia],"NOT FOUND")</f>
        <v>0</v>
      </c>
      <c r="H188" s="5" t="str" cm="1">
        <f t="array" ref="H188">_xlfn.XLOOKUP(Table_Investimentos_Porcent[[#This Row],[Data]]&amp;Table_Investimentos_Porcent[[#This Row],[Nome]],Table_Investimentos_Main[Data]&amp;Table_Investimentos_Main[Nome],Table_Investimentos_Main[Moeda Base],"NOT FOUND")</f>
        <v>USD</v>
      </c>
      <c r="I188" s="69">
        <v>1</v>
      </c>
      <c r="J188" s="18" cm="1">
        <f t="array" ref="J188">Table_Investimentos_Porcent[[#This Row],[Porcentagem]]*_xlfn.XLOOKUP(Table_Investimentos_Porcent[[#This Row],[Data]]&amp;Table_Investimentos_Porcent[[#This Row],[Nome]],Table_Investimentos_Main[Data]&amp;Table_Investimentos_Main[Nome],Table_Investimentos_Main[Total (R$)],"NOT FOUND")</f>
        <v>547.00509999999997</v>
      </c>
      <c r="K188" s="80" cm="1">
        <f t="array" ref="K188">Table_Investimentos_Porcent[[#This Row],[Total (R$)]]/_xlfn.XLOOKUP(Table_Investimentos_Porcent[[#This Row],[Data]]&amp;Table_Investimentos_Porcent[[#This Row],[Nome]],Table_Investimentos_Main[Data]&amp;Table_Investimentos_Main[Nome],Table_Investimentos_Main[Cotação Dolar],"NOT FOUND")</f>
        <v>101.10999999999999</v>
      </c>
      <c r="O188" s="3"/>
      <c r="P188" s="3"/>
      <c r="Q188" s="3"/>
      <c r="V188" s="5"/>
      <c r="W188" s="5"/>
    </row>
    <row r="189" spans="2:23" x14ac:dyDescent="0.2">
      <c r="B189" s="8">
        <v>45901</v>
      </c>
      <c r="C189" s="34" t="s">
        <v>44</v>
      </c>
      <c r="D189" s="5" t="s">
        <v>17</v>
      </c>
      <c r="E189" s="5"/>
      <c r="F189" s="5"/>
      <c r="G189" s="5" cm="1">
        <f t="array" ref="G189">_xlfn.XLOOKUP(Table_Investimentos_Porcent[[#This Row],[Data]]&amp;Table_Investimentos_Porcent[[#This Row],[Nome]],Table_Investimentos_Main[Data]&amp;Table_Investimentos_Main[Nome],Table_Investimentos_Main[Estratégia],"NOT FOUND")</f>
        <v>0</v>
      </c>
      <c r="H189" s="5" t="str" cm="1">
        <f t="array" ref="H189">_xlfn.XLOOKUP(Table_Investimentos_Porcent[[#This Row],[Data]]&amp;Table_Investimentos_Porcent[[#This Row],[Nome]],Table_Investimentos_Main[Data]&amp;Table_Investimentos_Main[Nome],Table_Investimentos_Main[Moeda Base],"NOT FOUND")</f>
        <v>USD</v>
      </c>
      <c r="I189" s="69">
        <v>1</v>
      </c>
      <c r="J189" s="18" cm="1">
        <f t="array" ref="J189">Table_Investimentos_Porcent[[#This Row],[Porcentagem]]*_xlfn.XLOOKUP(Table_Investimentos_Porcent[[#This Row],[Data]]&amp;Table_Investimentos_Porcent[[#This Row],[Nome]],Table_Investimentos_Main[Data]&amp;Table_Investimentos_Main[Nome],Table_Investimentos_Main[Total (R$)],"NOT FOUND")</f>
        <v>547.00509999999997</v>
      </c>
      <c r="K189" s="80" cm="1">
        <f t="array" ref="K189">Table_Investimentos_Porcent[[#This Row],[Total (R$)]]/_xlfn.XLOOKUP(Table_Investimentos_Porcent[[#This Row],[Data]]&amp;Table_Investimentos_Porcent[[#This Row],[Nome]],Table_Investimentos_Main[Data]&amp;Table_Investimentos_Main[Nome],Table_Investimentos_Main[Cotação Dolar],"NOT FOUND")</f>
        <v>101.10999999999999</v>
      </c>
      <c r="O189" s="3"/>
      <c r="P189" s="3"/>
      <c r="Q189" s="3"/>
      <c r="V189" s="5"/>
      <c r="W189" s="5"/>
    </row>
    <row r="190" spans="2:23" x14ac:dyDescent="0.2">
      <c r="B190" s="8">
        <v>45901</v>
      </c>
      <c r="C190" s="34" t="s">
        <v>44</v>
      </c>
      <c r="D190" s="5" t="s">
        <v>17</v>
      </c>
      <c r="E190" s="5"/>
      <c r="F190" s="5"/>
      <c r="G190" s="5" cm="1">
        <f t="array" ref="G190">_xlfn.XLOOKUP(Table_Investimentos_Porcent[[#This Row],[Data]]&amp;Table_Investimentos_Porcent[[#This Row],[Nome]],Table_Investimentos_Main[Data]&amp;Table_Investimentos_Main[Nome],Table_Investimentos_Main[Estratégia],"NOT FOUND")</f>
        <v>0</v>
      </c>
      <c r="H190" s="5" t="str" cm="1">
        <f t="array" ref="H190">_xlfn.XLOOKUP(Table_Investimentos_Porcent[[#This Row],[Data]]&amp;Table_Investimentos_Porcent[[#This Row],[Nome]],Table_Investimentos_Main[Data]&amp;Table_Investimentos_Main[Nome],Table_Investimentos_Main[Moeda Base],"NOT FOUND")</f>
        <v>USD</v>
      </c>
      <c r="I190" s="69">
        <v>1</v>
      </c>
      <c r="J190" s="18" cm="1">
        <f t="array" ref="J190">Table_Investimentos_Porcent[[#This Row],[Porcentagem]]*_xlfn.XLOOKUP(Table_Investimentos_Porcent[[#This Row],[Data]]&amp;Table_Investimentos_Porcent[[#This Row],[Nome]],Table_Investimentos_Main[Data]&amp;Table_Investimentos_Main[Nome],Table_Investimentos_Main[Total (R$)],"NOT FOUND")</f>
        <v>547.00509999999997</v>
      </c>
      <c r="K190" s="80" cm="1">
        <f t="array" ref="K190">Table_Investimentos_Porcent[[#This Row],[Total (R$)]]/_xlfn.XLOOKUP(Table_Investimentos_Porcent[[#This Row],[Data]]&amp;Table_Investimentos_Porcent[[#This Row],[Nome]],Table_Investimentos_Main[Data]&amp;Table_Investimentos_Main[Nome],Table_Investimentos_Main[Cotação Dolar],"NOT FOUND")</f>
        <v>101.10999999999999</v>
      </c>
      <c r="O190" s="3"/>
      <c r="P190" s="3"/>
      <c r="Q190" s="3"/>
      <c r="V190" s="5"/>
      <c r="W190" s="5"/>
    </row>
    <row r="191" spans="2:23" x14ac:dyDescent="0.2">
      <c r="B191" s="8">
        <v>45901</v>
      </c>
      <c r="C191" s="34" t="s">
        <v>42</v>
      </c>
      <c r="D191" s="5" t="s">
        <v>13</v>
      </c>
      <c r="E191" s="5"/>
      <c r="F191" s="5"/>
      <c r="G191" s="5" cm="1">
        <f t="array" ref="G191">_xlfn.XLOOKUP(Table_Investimentos_Porcent[[#This Row],[Data]]&amp;Table_Investimentos_Porcent[[#This Row],[Nome]],Table_Investimentos_Main[Data]&amp;Table_Investimentos_Main[Nome],Table_Investimentos_Main[Estratégia],"NOT FOUND")</f>
        <v>0</v>
      </c>
      <c r="H191" s="5" t="str" cm="1">
        <f t="array" ref="H191">_xlfn.XLOOKUP(Table_Investimentos_Porcent[[#This Row],[Data]]&amp;Table_Investimentos_Porcent[[#This Row],[Nome]],Table_Investimentos_Main[Data]&amp;Table_Investimentos_Main[Nome],Table_Investimentos_Main[Moeda Base],"NOT FOUND")</f>
        <v>BTC</v>
      </c>
      <c r="I191" s="69">
        <v>1</v>
      </c>
      <c r="J191" s="18" cm="1">
        <f t="array" ref="J191">Table_Investimentos_Porcent[[#This Row],[Porcentagem]]*_xlfn.XLOOKUP(Table_Investimentos_Porcent[[#This Row],[Data]]&amp;Table_Investimentos_Porcent[[#This Row],[Nome]],Table_Investimentos_Main[Data]&amp;Table_Investimentos_Main[Nome],Table_Investimentos_Main[Total (R$)],"NOT FOUND")</f>
        <v>4744.3517845446595</v>
      </c>
      <c r="K191" s="80" cm="1">
        <f t="array" ref="K191">Table_Investimentos_Porcent[[#This Row],[Total (R$)]]/_xlfn.XLOOKUP(Table_Investimentos_Porcent[[#This Row],[Data]]&amp;Table_Investimentos_Porcent[[#This Row],[Nome]],Table_Investimentos_Main[Data]&amp;Table_Investimentos_Main[Nome],Table_Investimentos_Main[Cotação Dolar],"NOT FOUND")</f>
        <v>876.9596644259999</v>
      </c>
      <c r="O191" s="3"/>
      <c r="P191" s="3"/>
      <c r="Q191" s="3"/>
      <c r="V191" s="5"/>
      <c r="W191" s="5"/>
    </row>
    <row r="192" spans="2:23" x14ac:dyDescent="0.2">
      <c r="B192" s="8">
        <v>45901</v>
      </c>
      <c r="C192" s="34" t="s">
        <v>49</v>
      </c>
      <c r="D192" s="5" t="s">
        <v>13</v>
      </c>
      <c r="E192" s="5"/>
      <c r="F192" s="5"/>
      <c r="G192" s="5" cm="1">
        <f t="array" ref="G192">_xlfn.XLOOKUP(Table_Investimentos_Porcent[[#This Row],[Data]]&amp;Table_Investimentos_Porcent[[#This Row],[Nome]],Table_Investimentos_Main[Data]&amp;Table_Investimentos_Main[Nome],Table_Investimentos_Main[Estratégia],"NOT FOUND")</f>
        <v>0</v>
      </c>
      <c r="H192" s="5" t="str" cm="1">
        <f t="array" ref="H192">_xlfn.XLOOKUP(Table_Investimentos_Porcent[[#This Row],[Data]]&amp;Table_Investimentos_Porcent[[#This Row],[Nome]],Table_Investimentos_Main[Data]&amp;Table_Investimentos_Main[Nome],Table_Investimentos_Main[Moeda Base],"NOT FOUND")</f>
        <v>USD</v>
      </c>
      <c r="I192" s="69">
        <v>1</v>
      </c>
      <c r="J192" s="18" cm="1">
        <f t="array" ref="J192">Table_Investimentos_Porcent[[#This Row],[Porcentagem]]*_xlfn.XLOOKUP(Table_Investimentos_Porcent[[#This Row],[Data]]&amp;Table_Investimentos_Porcent[[#This Row],[Nome]],Table_Investimentos_Main[Data]&amp;Table_Investimentos_Main[Nome],Table_Investimentos_Main[Total (R$)],"NOT FOUND")</f>
        <v>1145.7673880785001</v>
      </c>
      <c r="K192" s="80" cm="1">
        <f t="array" ref="K192">Table_Investimentos_Porcent[[#This Row],[Total (R$)]]/_xlfn.XLOOKUP(Table_Investimentos_Porcent[[#This Row],[Data]]&amp;Table_Investimentos_Porcent[[#This Row],[Nome]],Table_Investimentos_Main[Data]&amp;Table_Investimentos_Main[Nome],Table_Investimentos_Main[Cotação Dolar],"NOT FOUND")</f>
        <v>211.78694788881702</v>
      </c>
      <c r="O192" s="3"/>
      <c r="P192" s="3"/>
      <c r="Q192" s="3"/>
      <c r="V192" s="5"/>
      <c r="W192" s="5"/>
    </row>
    <row r="193" spans="2:23" x14ac:dyDescent="0.2">
      <c r="B193" s="8">
        <v>45901</v>
      </c>
      <c r="C193" s="34" t="s">
        <v>41</v>
      </c>
      <c r="D193" s="5" t="s">
        <v>13</v>
      </c>
      <c r="E193" s="5"/>
      <c r="F193" s="5"/>
      <c r="G193" s="5" cm="1">
        <f t="array" ref="G193">_xlfn.XLOOKUP(Table_Investimentos_Porcent[[#This Row],[Data]]&amp;Table_Investimentos_Porcent[[#This Row],[Nome]],Table_Investimentos_Main[Data]&amp;Table_Investimentos_Main[Nome],Table_Investimentos_Main[Estratégia],"NOT FOUND")</f>
        <v>0</v>
      </c>
      <c r="H193" s="5" t="str" cm="1">
        <f t="array" ref="H193">_xlfn.XLOOKUP(Table_Investimentos_Porcent[[#This Row],[Data]]&amp;Table_Investimentos_Porcent[[#This Row],[Nome]],Table_Investimentos_Main[Data]&amp;Table_Investimentos_Main[Nome],Table_Investimentos_Main[Moeda Base],"NOT FOUND")</f>
        <v>BTC</v>
      </c>
      <c r="I193" s="69">
        <v>1</v>
      </c>
      <c r="J193" s="18" cm="1">
        <f t="array" ref="J193">Table_Investimentos_Porcent[[#This Row],[Porcentagem]]*_xlfn.XLOOKUP(Table_Investimentos_Porcent[[#This Row],[Data]]&amp;Table_Investimentos_Porcent[[#This Row],[Nome]],Table_Investimentos_Main[Data]&amp;Table_Investimentos_Main[Nome],Table_Investimentos_Main[Total (R$)],"NOT FOUND")</f>
        <v>167880.98735536454</v>
      </c>
      <c r="K193" s="80" cm="1">
        <f t="array" ref="K193">Table_Investimentos_Porcent[[#This Row],[Total (R$)]]/_xlfn.XLOOKUP(Table_Investimentos_Porcent[[#This Row],[Data]]&amp;Table_Investimentos_Porcent[[#This Row],[Nome]],Table_Investimentos_Main[Data]&amp;Table_Investimentos_Main[Nome],Table_Investimentos_Main[Cotação Dolar],"NOT FOUND")</f>
        <v>31031.605795815998</v>
      </c>
      <c r="O193" s="3"/>
      <c r="P193" s="3"/>
      <c r="Q193" s="3"/>
      <c r="V193" s="5"/>
      <c r="W193" s="5"/>
    </row>
    <row r="194" spans="2:23" x14ac:dyDescent="0.2">
      <c r="B194" s="8">
        <v>45901</v>
      </c>
      <c r="C194" s="34" t="s">
        <v>68</v>
      </c>
      <c r="D194" s="5" t="s">
        <v>20</v>
      </c>
      <c r="E194" s="5"/>
      <c r="F194" s="5"/>
      <c r="G194" s="5" cm="1">
        <f t="array" ref="G194">_xlfn.XLOOKUP(Table_Investimentos_Porcent[[#This Row],[Data]]&amp;Table_Investimentos_Porcent[[#This Row],[Nome]],Table_Investimentos_Main[Data]&amp;Table_Investimentos_Main[Nome],Table_Investimentos_Main[Estratégia],"NOT FOUND")</f>
        <v>0</v>
      </c>
      <c r="H194" s="5" t="str" cm="1">
        <f t="array" ref="H194">_xlfn.XLOOKUP(Table_Investimentos_Porcent[[#This Row],[Data]]&amp;Table_Investimentos_Porcent[[#This Row],[Nome]],Table_Investimentos_Main[Data]&amp;Table_Investimentos_Main[Nome],Table_Investimentos_Main[Moeda Base],"NOT FOUND")</f>
        <v>BRL</v>
      </c>
      <c r="I194" s="69">
        <v>1</v>
      </c>
      <c r="J194" s="18" cm="1">
        <f t="array" ref="J194">Table_Investimentos_Porcent[[#This Row],[Porcentagem]]*_xlfn.XLOOKUP(Table_Investimentos_Porcent[[#This Row],[Data]]&amp;Table_Investimentos_Porcent[[#This Row],[Nome]],Table_Investimentos_Main[Data]&amp;Table_Investimentos_Main[Nome],Table_Investimentos_Main[Total (R$)],"NOT FOUND")</f>
        <v>9081.18</v>
      </c>
      <c r="K194" s="80" cm="1">
        <f t="array" ref="K194">Table_Investimentos_Porcent[[#This Row],[Total (R$)]]/_xlfn.XLOOKUP(Table_Investimentos_Porcent[[#This Row],[Data]]&amp;Table_Investimentos_Porcent[[#This Row],[Nome]],Table_Investimentos_Main[Data]&amp;Table_Investimentos_Main[Nome],Table_Investimentos_Main[Cotação Dolar],"NOT FOUND")</f>
        <v>1678.5914972273567</v>
      </c>
      <c r="O194" s="3"/>
      <c r="P194" s="3"/>
      <c r="Q194" s="3"/>
      <c r="V194" s="5"/>
      <c r="W194" s="5"/>
    </row>
    <row r="195" spans="2:23" x14ac:dyDescent="0.2">
      <c r="B195" s="8">
        <v>45901</v>
      </c>
      <c r="C195" s="34" t="s">
        <v>69</v>
      </c>
      <c r="D195" s="5" t="s">
        <v>20</v>
      </c>
      <c r="E195" s="5"/>
      <c r="F195" s="5"/>
      <c r="G195" s="5" cm="1">
        <f t="array" ref="G195">_xlfn.XLOOKUP(Table_Investimentos_Porcent[[#This Row],[Data]]&amp;Table_Investimentos_Porcent[[#This Row],[Nome]],Table_Investimentos_Main[Data]&amp;Table_Investimentos_Main[Nome],Table_Investimentos_Main[Estratégia],"NOT FOUND")</f>
        <v>0</v>
      </c>
      <c r="H195" s="5" t="str" cm="1">
        <f t="array" ref="H195">_xlfn.XLOOKUP(Table_Investimentos_Porcent[[#This Row],[Data]]&amp;Table_Investimentos_Porcent[[#This Row],[Nome]],Table_Investimentos_Main[Data]&amp;Table_Investimentos_Main[Nome],Table_Investimentos_Main[Moeda Base],"NOT FOUND")</f>
        <v>BRL</v>
      </c>
      <c r="I195" s="69">
        <v>1</v>
      </c>
      <c r="J195" s="18" cm="1">
        <f t="array" ref="J195">Table_Investimentos_Porcent[[#This Row],[Porcentagem]]*_xlfn.XLOOKUP(Table_Investimentos_Porcent[[#This Row],[Data]]&amp;Table_Investimentos_Porcent[[#This Row],[Nome]],Table_Investimentos_Main[Data]&amp;Table_Investimentos_Main[Nome],Table_Investimentos_Main[Total (R$)],"NOT FOUND")</f>
        <v>4425.32</v>
      </c>
      <c r="K195" s="80" cm="1">
        <f t="array" ref="K195">Table_Investimentos_Porcent[[#This Row],[Total (R$)]]/_xlfn.XLOOKUP(Table_Investimentos_Porcent[[#This Row],[Data]]&amp;Table_Investimentos_Porcent[[#This Row],[Nome]],Table_Investimentos_Main[Data]&amp;Table_Investimentos_Main[Nome],Table_Investimentos_Main[Cotação Dolar],"NOT FOUND")</f>
        <v>817.98890942698699</v>
      </c>
      <c r="O195" s="3"/>
      <c r="P195" s="3"/>
      <c r="Q195" s="3"/>
      <c r="V195" s="5"/>
      <c r="W195" s="5"/>
    </row>
    <row r="196" spans="2:23" x14ac:dyDescent="0.2">
      <c r="B196" s="8">
        <v>45901</v>
      </c>
      <c r="C196" s="34" t="s">
        <v>55</v>
      </c>
      <c r="D196" s="5" t="s">
        <v>36</v>
      </c>
      <c r="E196" s="5"/>
      <c r="F196" s="5"/>
      <c r="G196" s="5" cm="1">
        <f t="array" ref="G196">_xlfn.XLOOKUP(Table_Investimentos_Porcent[[#This Row],[Data]]&amp;Table_Investimentos_Porcent[[#This Row],[Nome]],Table_Investimentos_Main[Data]&amp;Table_Investimentos_Main[Nome],Table_Investimentos_Main[Estratégia],"NOT FOUND")</f>
        <v>0</v>
      </c>
      <c r="H196" s="5" t="str" cm="1">
        <f t="array" ref="H196">_xlfn.XLOOKUP(Table_Investimentos_Porcent[[#This Row],[Data]]&amp;Table_Investimentos_Porcent[[#This Row],[Nome]],Table_Investimentos_Main[Data]&amp;Table_Investimentos_Main[Nome],Table_Investimentos_Main[Moeda Base],"NOT FOUND")</f>
        <v>USD</v>
      </c>
      <c r="I196" s="69">
        <v>1</v>
      </c>
      <c r="J196" s="18" cm="1">
        <f t="array" ref="J196">Table_Investimentos_Porcent[[#This Row],[Porcentagem]]*_xlfn.XLOOKUP(Table_Investimentos_Porcent[[#This Row],[Data]]&amp;Table_Investimentos_Porcent[[#This Row],[Nome]],Table_Investimentos_Main[Data]&amp;Table_Investimentos_Main[Nome],Table_Investimentos_Main[Total (R$)],"NOT FOUND")</f>
        <v>2631.8027000000002</v>
      </c>
      <c r="K196" s="80" cm="1">
        <f t="array" ref="K196">Table_Investimentos_Porcent[[#This Row],[Total (R$)]]/_xlfn.XLOOKUP(Table_Investimentos_Porcent[[#This Row],[Data]]&amp;Table_Investimentos_Porcent[[#This Row],[Nome]],Table_Investimentos_Main[Data]&amp;Table_Investimentos_Main[Nome],Table_Investimentos_Main[Cotação Dolar],"NOT FOUND")</f>
        <v>486.47</v>
      </c>
      <c r="O196" s="3"/>
      <c r="P196" s="3"/>
      <c r="Q196" s="3"/>
      <c r="V196" s="5"/>
      <c r="W196" s="5"/>
    </row>
    <row r="197" spans="2:23" x14ac:dyDescent="0.2">
      <c r="B197" s="8">
        <v>45901</v>
      </c>
      <c r="C197" s="34" t="s">
        <v>51</v>
      </c>
      <c r="D197" s="5" t="s">
        <v>36</v>
      </c>
      <c r="E197" s="5"/>
      <c r="F197" s="5"/>
      <c r="G197" s="5" cm="1">
        <f t="array" ref="G197">_xlfn.XLOOKUP(Table_Investimentos_Porcent[[#This Row],[Data]]&amp;Table_Investimentos_Porcent[[#This Row],[Nome]],Table_Investimentos_Main[Data]&amp;Table_Investimentos_Main[Nome],Table_Investimentos_Main[Estratégia],"NOT FOUND")</f>
        <v>0</v>
      </c>
      <c r="H197" s="5" t="str" cm="1">
        <f t="array" ref="H197">_xlfn.XLOOKUP(Table_Investimentos_Porcent[[#This Row],[Data]]&amp;Table_Investimentos_Porcent[[#This Row],[Nome]],Table_Investimentos_Main[Data]&amp;Table_Investimentos_Main[Nome],Table_Investimentos_Main[Moeda Base],"NOT FOUND")</f>
        <v>USD</v>
      </c>
      <c r="I197" s="69">
        <v>1</v>
      </c>
      <c r="J197" s="18" cm="1">
        <f t="array" ref="J197">Table_Investimentos_Porcent[[#This Row],[Porcentagem]]*_xlfn.XLOOKUP(Table_Investimentos_Porcent[[#This Row],[Data]]&amp;Table_Investimentos_Porcent[[#This Row],[Nome]],Table_Investimentos_Main[Data]&amp;Table_Investimentos_Main[Nome],Table_Investimentos_Main[Total (R$)],"NOT FOUND")</f>
        <v>5605.5715000000009</v>
      </c>
      <c r="K197" s="80" cm="1">
        <f t="array" ref="K197">Table_Investimentos_Porcent[[#This Row],[Total (R$)]]/_xlfn.XLOOKUP(Table_Investimentos_Porcent[[#This Row],[Data]]&amp;Table_Investimentos_Porcent[[#This Row],[Nome]],Table_Investimentos_Main[Data]&amp;Table_Investimentos_Main[Nome],Table_Investimentos_Main[Cotação Dolar],"NOT FOUND")</f>
        <v>1036.1500000000001</v>
      </c>
      <c r="O197" s="3"/>
      <c r="P197" s="3"/>
      <c r="Q197" s="3"/>
      <c r="V197" s="5"/>
      <c r="W197" s="5"/>
    </row>
    <row r="198" spans="2:23" x14ac:dyDescent="0.2">
      <c r="B198" s="8">
        <v>45901</v>
      </c>
      <c r="C198" s="34" t="s">
        <v>70</v>
      </c>
      <c r="D198" s="5" t="s">
        <v>23</v>
      </c>
      <c r="E198" s="5"/>
      <c r="F198" s="5"/>
      <c r="G198" s="5" cm="1">
        <f t="array" ref="G198">_xlfn.XLOOKUP(Table_Investimentos_Porcent[[#This Row],[Data]]&amp;Table_Investimentos_Porcent[[#This Row],[Nome]],Table_Investimentos_Main[Data]&amp;Table_Investimentos_Main[Nome],Table_Investimentos_Main[Estratégia],"NOT FOUND")</f>
        <v>0</v>
      </c>
      <c r="H198" s="5" t="str" cm="1">
        <f t="array" ref="H198">_xlfn.XLOOKUP(Table_Investimentos_Porcent[[#This Row],[Data]]&amp;Table_Investimentos_Porcent[[#This Row],[Nome]],Table_Investimentos_Main[Data]&amp;Table_Investimentos_Main[Nome],Table_Investimentos_Main[Moeda Base],"NOT FOUND")</f>
        <v>USD</v>
      </c>
      <c r="I198" s="69">
        <v>1</v>
      </c>
      <c r="J198" s="18" cm="1">
        <f t="array" ref="J198">Table_Investimentos_Porcent[[#This Row],[Porcentagem]]*_xlfn.XLOOKUP(Table_Investimentos_Porcent[[#This Row],[Data]]&amp;Table_Investimentos_Porcent[[#This Row],[Nome]],Table_Investimentos_Main[Data]&amp;Table_Investimentos_Main[Nome],Table_Investimentos_Main[Total (R$)],"NOT FOUND")</f>
        <v>5410</v>
      </c>
      <c r="K198" s="80" cm="1">
        <f t="array" ref="K198">Table_Investimentos_Porcent[[#This Row],[Total (R$)]]/_xlfn.XLOOKUP(Table_Investimentos_Porcent[[#This Row],[Data]]&amp;Table_Investimentos_Porcent[[#This Row],[Nome]],Table_Investimentos_Main[Data]&amp;Table_Investimentos_Main[Nome],Table_Investimentos_Main[Cotação Dolar],"NOT FOUND")</f>
        <v>1000</v>
      </c>
      <c r="O198" s="3"/>
      <c r="P198" s="3"/>
      <c r="Q198" s="3"/>
      <c r="V198" s="5"/>
      <c r="W198" s="5"/>
    </row>
    <row r="199" spans="2:23" x14ac:dyDescent="0.2">
      <c r="B199" s="8">
        <v>45901</v>
      </c>
      <c r="C199" s="34" t="s">
        <v>70</v>
      </c>
      <c r="D199" s="5" t="s">
        <v>23</v>
      </c>
      <c r="E199" s="5"/>
      <c r="F199" s="5"/>
      <c r="G199" s="5" cm="1">
        <f t="array" ref="G199">_xlfn.XLOOKUP(Table_Investimentos_Porcent[[#This Row],[Data]]&amp;Table_Investimentos_Porcent[[#This Row],[Nome]],Table_Investimentos_Main[Data]&amp;Table_Investimentos_Main[Nome],Table_Investimentos_Main[Estratégia],"NOT FOUND")</f>
        <v>0</v>
      </c>
      <c r="H199" s="5" t="str" cm="1">
        <f t="array" ref="H199">_xlfn.XLOOKUP(Table_Investimentos_Porcent[[#This Row],[Data]]&amp;Table_Investimentos_Porcent[[#This Row],[Nome]],Table_Investimentos_Main[Data]&amp;Table_Investimentos_Main[Nome],Table_Investimentos_Main[Moeda Base],"NOT FOUND")</f>
        <v>USD</v>
      </c>
      <c r="I199" s="69">
        <v>1</v>
      </c>
      <c r="J199" s="18" cm="1">
        <f t="array" ref="J199">Table_Investimentos_Porcent[[#This Row],[Porcentagem]]*_xlfn.XLOOKUP(Table_Investimentos_Porcent[[#This Row],[Data]]&amp;Table_Investimentos_Porcent[[#This Row],[Nome]],Table_Investimentos_Main[Data]&amp;Table_Investimentos_Main[Nome],Table_Investimentos_Main[Total (R$)],"NOT FOUND")</f>
        <v>5410</v>
      </c>
      <c r="K199" s="80" cm="1">
        <f t="array" ref="K199">Table_Investimentos_Porcent[[#This Row],[Total (R$)]]/_xlfn.XLOOKUP(Table_Investimentos_Porcent[[#This Row],[Data]]&amp;Table_Investimentos_Porcent[[#This Row],[Nome]],Table_Investimentos_Main[Data]&amp;Table_Investimentos_Main[Nome],Table_Investimentos_Main[Cotação Dolar],"NOT FOUND")</f>
        <v>1000</v>
      </c>
      <c r="O199" s="3"/>
      <c r="P199" s="3"/>
      <c r="Q199" s="3"/>
      <c r="V199" s="5"/>
      <c r="W199" s="5"/>
    </row>
    <row r="200" spans="2:23" x14ac:dyDescent="0.2">
      <c r="B200" s="8">
        <v>45931</v>
      </c>
      <c r="C200" s="34" t="s">
        <v>41</v>
      </c>
      <c r="D200" s="5" t="s">
        <v>13</v>
      </c>
      <c r="E200" s="5"/>
      <c r="F200" s="5"/>
      <c r="G200" s="5" cm="1">
        <f t="array" ref="G200">_xlfn.XLOOKUP(Table_Investimentos_Porcent[[#This Row],[Data]]&amp;Table_Investimentos_Porcent[[#This Row],[Nome]],Table_Investimentos_Main[Data]&amp;Table_Investimentos_Main[Nome],Table_Investimentos_Main[Estratégia],"NOT FOUND")</f>
        <v>0</v>
      </c>
      <c r="H200" s="5" t="str" cm="1">
        <f t="array" ref="H200">_xlfn.XLOOKUP(Table_Investimentos_Porcent[[#This Row],[Data]]&amp;Table_Investimentos_Porcent[[#This Row],[Nome]],Table_Investimentos_Main[Data]&amp;Table_Investimentos_Main[Nome],Table_Investimentos_Main[Moeda Base],"NOT FOUND")</f>
        <v>BTC</v>
      </c>
      <c r="I200" s="69">
        <v>1</v>
      </c>
      <c r="J200" s="18" cm="1">
        <f t="array" ref="J200">Table_Investimentos_Porcent[[#This Row],[Porcentagem]]*_xlfn.XLOOKUP(Table_Investimentos_Porcent[[#This Row],[Data]]&amp;Table_Investimentos_Porcent[[#This Row],[Nome]],Table_Investimentos_Main[Data]&amp;Table_Investimentos_Main[Nome],Table_Investimentos_Main[Total (R$)],"NOT FOUND")</f>
        <v>165713.19835555999</v>
      </c>
      <c r="K200" s="80" cm="1">
        <f t="array" ref="K200">Table_Investimentos_Porcent[[#This Row],[Total (R$)]]/_xlfn.XLOOKUP(Table_Investimentos_Porcent[[#This Row],[Data]]&amp;Table_Investimentos_Porcent[[#This Row],[Nome]],Table_Investimentos_Main[Data]&amp;Table_Investimentos_Main[Nome],Table_Investimentos_Main[Cotação Dolar],"NOT FOUND")</f>
        <v>30931.645640713778</v>
      </c>
      <c r="O200" s="3"/>
      <c r="P200" s="3"/>
      <c r="Q200" s="3"/>
      <c r="V200" s="5"/>
      <c r="W200" s="5"/>
    </row>
    <row r="201" spans="2:23" x14ac:dyDescent="0.2">
      <c r="B201" s="8">
        <v>45931</v>
      </c>
      <c r="C201" s="34" t="s">
        <v>42</v>
      </c>
      <c r="D201" s="5" t="s">
        <v>20</v>
      </c>
      <c r="E201" s="5"/>
      <c r="F201" s="5"/>
      <c r="G201" s="5" cm="1">
        <f t="array" ref="G201">_xlfn.XLOOKUP(Table_Investimentos_Porcent[[#This Row],[Data]]&amp;Table_Investimentos_Porcent[[#This Row],[Nome]],Table_Investimentos_Main[Data]&amp;Table_Investimentos_Main[Nome],Table_Investimentos_Main[Estratégia],"NOT FOUND")</f>
        <v>0</v>
      </c>
      <c r="H201" s="5" t="str" cm="1">
        <f t="array" ref="H201">_xlfn.XLOOKUP(Table_Investimentos_Porcent[[#This Row],[Data]]&amp;Table_Investimentos_Porcent[[#This Row],[Nome]],Table_Investimentos_Main[Data]&amp;Table_Investimentos_Main[Nome],Table_Investimentos_Main[Moeda Base],"NOT FOUND")</f>
        <v>BTC</v>
      </c>
      <c r="I201" s="69">
        <v>1</v>
      </c>
      <c r="J201" s="18" cm="1">
        <f t="array" ref="J201">Table_Investimentos_Porcent[[#This Row],[Porcentagem]]*_xlfn.XLOOKUP(Table_Investimentos_Porcent[[#This Row],[Data]]&amp;Table_Investimentos_Porcent[[#This Row],[Nome]],Table_Investimentos_Main[Data]&amp;Table_Investimentos_Main[Nome],Table_Investimentos_Main[Total (R$)],"NOT FOUND")</f>
        <v>4683.0896144099997</v>
      </c>
      <c r="K201" s="80" cm="1">
        <f t="array" ref="K201">Table_Investimentos_Porcent[[#This Row],[Total (R$)]]/_xlfn.XLOOKUP(Table_Investimentos_Porcent[[#This Row],[Data]]&amp;Table_Investimentos_Porcent[[#This Row],[Nome]],Table_Investimentos_Main[Data]&amp;Table_Investimentos_Main[Nome],Table_Investimentos_Main[Cotação Dolar],"NOT FOUND")</f>
        <v>874.13476955426131</v>
      </c>
      <c r="O201" s="3"/>
      <c r="P201" s="3"/>
      <c r="Q201" s="3"/>
      <c r="V201" s="5"/>
      <c r="W201" s="5"/>
    </row>
    <row r="202" spans="2:23" x14ac:dyDescent="0.2">
      <c r="B202" s="8">
        <v>45931</v>
      </c>
      <c r="C202" s="34" t="s">
        <v>55</v>
      </c>
      <c r="D202" s="5" t="s">
        <v>36</v>
      </c>
      <c r="E202" s="5"/>
      <c r="F202" s="5"/>
      <c r="G202" s="5" cm="1">
        <f t="array" ref="G202">_xlfn.XLOOKUP(Table_Investimentos_Porcent[[#This Row],[Data]]&amp;Table_Investimentos_Porcent[[#This Row],[Nome]],Table_Investimentos_Main[Data]&amp;Table_Investimentos_Main[Nome],Table_Investimentos_Main[Estratégia],"NOT FOUND")</f>
        <v>0</v>
      </c>
      <c r="H202" s="5" t="str" cm="1">
        <f t="array" ref="H202">_xlfn.XLOOKUP(Table_Investimentos_Porcent[[#This Row],[Data]]&amp;Table_Investimentos_Porcent[[#This Row],[Nome]],Table_Investimentos_Main[Data]&amp;Table_Investimentos_Main[Nome],Table_Investimentos_Main[Moeda Base],"NOT FOUND")</f>
        <v>USD</v>
      </c>
      <c r="I202" s="69">
        <v>1</v>
      </c>
      <c r="J202" s="18" cm="1">
        <f t="array" ref="J202">Table_Investimentos_Porcent[[#This Row],[Porcentagem]]*_xlfn.XLOOKUP(Table_Investimentos_Porcent[[#This Row],[Data]]&amp;Table_Investimentos_Porcent[[#This Row],[Nome]],Table_Investimentos_Main[Data]&amp;Table_Investimentos_Main[Nome],Table_Investimentos_Main[Total (R$)],"NOT FOUND")</f>
        <v>2998.0715723139601</v>
      </c>
      <c r="K202" s="80" cm="1">
        <f t="array" ref="K202">Table_Investimentos_Porcent[[#This Row],[Total (R$)]]/_xlfn.XLOOKUP(Table_Investimentos_Porcent[[#This Row],[Data]]&amp;Table_Investimentos_Porcent[[#This Row],[Nome]],Table_Investimentos_Main[Data]&amp;Table_Investimentos_Main[Nome],Table_Investimentos_Main[Cotação Dolar],"NOT FOUND")</f>
        <v>559.61316539999996</v>
      </c>
      <c r="O202" s="3"/>
      <c r="P202" s="3"/>
      <c r="Q202" s="3"/>
      <c r="V202" s="5"/>
      <c r="W202" s="5"/>
    </row>
    <row r="203" spans="2:23" x14ac:dyDescent="0.2">
      <c r="B203" s="8">
        <v>45931</v>
      </c>
      <c r="C203" s="34" t="s">
        <v>70</v>
      </c>
      <c r="D203" s="5" t="s">
        <v>23</v>
      </c>
      <c r="E203" s="5"/>
      <c r="F203" s="5"/>
      <c r="G203" s="5" cm="1">
        <f t="array" ref="G203">_xlfn.XLOOKUP(Table_Investimentos_Porcent[[#This Row],[Data]]&amp;Table_Investimentos_Porcent[[#This Row],[Nome]],Table_Investimentos_Main[Data]&amp;Table_Investimentos_Main[Nome],Table_Investimentos_Main[Estratégia],"NOT FOUND")</f>
        <v>0</v>
      </c>
      <c r="H203" s="5" t="str" cm="1">
        <f t="array" ref="H203">_xlfn.XLOOKUP(Table_Investimentos_Porcent[[#This Row],[Data]]&amp;Table_Investimentos_Porcent[[#This Row],[Nome]],Table_Investimentos_Main[Data]&amp;Table_Investimentos_Main[Nome],Table_Investimentos_Main[Moeda Base],"NOT FOUND")</f>
        <v>USD</v>
      </c>
      <c r="I203" s="69">
        <v>1</v>
      </c>
      <c r="J203" s="18" cm="1">
        <f t="array" ref="J203">Table_Investimentos_Porcent[[#This Row],[Porcentagem]]*_xlfn.XLOOKUP(Table_Investimentos_Porcent[[#This Row],[Data]]&amp;Table_Investimentos_Porcent[[#This Row],[Nome]],Table_Investimentos_Main[Data]&amp;Table_Investimentos_Main[Nome],Table_Investimentos_Main[Total (R$)],"NOT FOUND")</f>
        <v>5804.9111485860803</v>
      </c>
      <c r="K203" s="80" cm="1">
        <f t="array" ref="K203">Table_Investimentos_Porcent[[#This Row],[Total (R$)]]/_xlfn.XLOOKUP(Table_Investimentos_Porcent[[#This Row],[Data]]&amp;Table_Investimentos_Porcent[[#This Row],[Nome]],Table_Investimentos_Main[Data]&amp;Table_Investimentos_Main[Nome],Table_Investimentos_Main[Cotação Dolar],"NOT FOUND")</f>
        <v>1083.5314048953001</v>
      </c>
      <c r="O203" s="3"/>
      <c r="P203" s="3"/>
      <c r="Q203" s="3"/>
      <c r="V203" s="5"/>
      <c r="W203" s="5"/>
    </row>
    <row r="204" spans="2:23" x14ac:dyDescent="0.2">
      <c r="B204" s="8">
        <v>45931</v>
      </c>
      <c r="C204" s="34" t="s">
        <v>51</v>
      </c>
      <c r="D204" s="5" t="s">
        <v>36</v>
      </c>
      <c r="E204" s="5"/>
      <c r="F204" s="5"/>
      <c r="G204" s="5" cm="1">
        <f t="array" ref="G204">_xlfn.XLOOKUP(Table_Investimentos_Porcent[[#This Row],[Data]]&amp;Table_Investimentos_Porcent[[#This Row],[Nome]],Table_Investimentos_Main[Data]&amp;Table_Investimentos_Main[Nome],Table_Investimentos_Main[Estratégia],"NOT FOUND")</f>
        <v>0</v>
      </c>
      <c r="H204" s="5" t="str" cm="1">
        <f t="array" ref="H204">_xlfn.XLOOKUP(Table_Investimentos_Porcent[[#This Row],[Data]]&amp;Table_Investimentos_Porcent[[#This Row],[Nome]],Table_Investimentos_Main[Data]&amp;Table_Investimentos_Main[Nome],Table_Investimentos_Main[Moeda Base],"NOT FOUND")</f>
        <v>USD</v>
      </c>
      <c r="I204" s="69">
        <v>1</v>
      </c>
      <c r="J204" s="18" cm="1">
        <f t="array" ref="J204">Table_Investimentos_Porcent[[#This Row],[Porcentagem]]*_xlfn.XLOOKUP(Table_Investimentos_Porcent[[#This Row],[Data]]&amp;Table_Investimentos_Porcent[[#This Row],[Nome]],Table_Investimentos_Main[Data]&amp;Table_Investimentos_Main[Nome],Table_Investimentos_Main[Total (R$)],"NOT FOUND")</f>
        <v>5896.2072320415</v>
      </c>
      <c r="K204" s="80" cm="1">
        <f t="array" ref="K204">Table_Investimentos_Porcent[[#This Row],[Total (R$)]]/_xlfn.XLOOKUP(Table_Investimentos_Porcent[[#This Row],[Data]]&amp;Table_Investimentos_Porcent[[#This Row],[Nome]],Table_Investimentos_Main[Data]&amp;Table_Investimentos_Main[Nome],Table_Investimentos_Main[Cotação Dolar],"NOT FOUND")</f>
        <v>1100.5725224999999</v>
      </c>
      <c r="O204" s="3"/>
      <c r="P204" s="3"/>
      <c r="Q204" s="3"/>
      <c r="V204" s="5"/>
      <c r="W204" s="5"/>
    </row>
    <row r="205" spans="2:23" x14ac:dyDescent="0.2">
      <c r="B205" s="8">
        <v>45931</v>
      </c>
      <c r="C205" s="34" t="s">
        <v>61</v>
      </c>
      <c r="D205" s="5" t="s">
        <v>17</v>
      </c>
      <c r="E205" s="5"/>
      <c r="F205" s="5"/>
      <c r="G205" s="5" cm="1">
        <f t="array" ref="G205">_xlfn.XLOOKUP(Table_Investimentos_Porcent[[#This Row],[Data]]&amp;Table_Investimentos_Porcent[[#This Row],[Nome]],Table_Investimentos_Main[Data]&amp;Table_Investimentos_Main[Nome],Table_Investimentos_Main[Estratégia],"NOT FOUND")</f>
        <v>0</v>
      </c>
      <c r="H205" s="5" t="str" cm="1">
        <f t="array" ref="H205">_xlfn.XLOOKUP(Table_Investimentos_Porcent[[#This Row],[Data]]&amp;Table_Investimentos_Porcent[[#This Row],[Nome]],Table_Investimentos_Main[Data]&amp;Table_Investimentos_Main[Nome],Table_Investimentos_Main[Moeda Base],"NOT FOUND")</f>
        <v>BRL</v>
      </c>
      <c r="I205" s="69">
        <v>1</v>
      </c>
      <c r="J205" s="18" cm="1">
        <f t="array" ref="J205">Table_Investimentos_Porcent[[#This Row],[Porcentagem]]*_xlfn.XLOOKUP(Table_Investimentos_Porcent[[#This Row],[Data]]&amp;Table_Investimentos_Porcent[[#This Row],[Nome]],Table_Investimentos_Main[Data]&amp;Table_Investimentos_Main[Nome],Table_Investimentos_Main[Total (R$)],"NOT FOUND")</f>
        <v>4873.03</v>
      </c>
      <c r="K205" s="80" cm="1">
        <f t="array" ref="K205">Table_Investimentos_Porcent[[#This Row],[Total (R$)]]/_xlfn.XLOOKUP(Table_Investimentos_Porcent[[#This Row],[Data]]&amp;Table_Investimentos_Porcent[[#This Row],[Nome]],Table_Investimentos_Main[Data]&amp;Table_Investimentos_Main[Nome],Table_Investimentos_Main[Cotação Dolar],"NOT FOUND")</f>
        <v>909.58860641355875</v>
      </c>
      <c r="O205" s="3"/>
      <c r="P205" s="3"/>
      <c r="Q205" s="3"/>
      <c r="V205" s="5"/>
      <c r="W205" s="5"/>
    </row>
    <row r="206" spans="2:23" x14ac:dyDescent="0.2">
      <c r="B206" s="8">
        <v>45931</v>
      </c>
      <c r="C206" s="34" t="s">
        <v>58</v>
      </c>
      <c r="D206" s="5" t="s">
        <v>17</v>
      </c>
      <c r="E206" s="5"/>
      <c r="F206" s="5"/>
      <c r="G206" s="5" cm="1">
        <f t="array" ref="G206">_xlfn.XLOOKUP(Table_Investimentos_Porcent[[#This Row],[Data]]&amp;Table_Investimentos_Porcent[[#This Row],[Nome]],Table_Investimentos_Main[Data]&amp;Table_Investimentos_Main[Nome],Table_Investimentos_Main[Estratégia],"NOT FOUND")</f>
        <v>0</v>
      </c>
      <c r="H206" s="5" t="str" cm="1">
        <f t="array" ref="H206">_xlfn.XLOOKUP(Table_Investimentos_Porcent[[#This Row],[Data]]&amp;Table_Investimentos_Porcent[[#This Row],[Nome]],Table_Investimentos_Main[Data]&amp;Table_Investimentos_Main[Nome],Table_Investimentos_Main[Moeda Base],"NOT FOUND")</f>
        <v>BRL</v>
      </c>
      <c r="I206" s="69">
        <v>1</v>
      </c>
      <c r="J206" s="18" cm="1">
        <f t="array" ref="J206">Table_Investimentos_Porcent[[#This Row],[Porcentagem]]*_xlfn.XLOOKUP(Table_Investimentos_Porcent[[#This Row],[Data]]&amp;Table_Investimentos_Porcent[[#This Row],[Nome]],Table_Investimentos_Main[Data]&amp;Table_Investimentos_Main[Nome],Table_Investimentos_Main[Total (R$)],"NOT FOUND")</f>
        <v>6798.4</v>
      </c>
      <c r="K206" s="80" cm="1">
        <f t="array" ref="K206">Table_Investimentos_Porcent[[#This Row],[Total (R$)]]/_xlfn.XLOOKUP(Table_Investimentos_Porcent[[#This Row],[Data]]&amp;Table_Investimentos_Porcent[[#This Row],[Nome]],Table_Investimentos_Main[Data]&amp;Table_Investimentos_Main[Nome],Table_Investimentos_Main[Cotação Dolar],"NOT FOUND")</f>
        <v>1268.9737559263822</v>
      </c>
      <c r="O206" s="3"/>
      <c r="P206" s="3"/>
      <c r="Q206" s="3"/>
      <c r="V206" s="5"/>
      <c r="W206" s="5"/>
    </row>
    <row r="207" spans="2:23" x14ac:dyDescent="0.2">
      <c r="B207" s="8">
        <v>45931</v>
      </c>
      <c r="C207" s="34" t="s">
        <v>69</v>
      </c>
      <c r="D207" s="5" t="s">
        <v>20</v>
      </c>
      <c r="E207" s="5"/>
      <c r="F207" s="5"/>
      <c r="G207" s="5" cm="1">
        <f t="array" ref="G207">_xlfn.XLOOKUP(Table_Investimentos_Porcent[[#This Row],[Data]]&amp;Table_Investimentos_Porcent[[#This Row],[Nome]],Table_Investimentos_Main[Data]&amp;Table_Investimentos_Main[Nome],Table_Investimentos_Main[Estratégia],"NOT FOUND")</f>
        <v>0</v>
      </c>
      <c r="H207" s="5" t="str" cm="1">
        <f t="array" ref="H207">_xlfn.XLOOKUP(Table_Investimentos_Porcent[[#This Row],[Data]]&amp;Table_Investimentos_Porcent[[#This Row],[Nome]],Table_Investimentos_Main[Data]&amp;Table_Investimentos_Main[Nome],Table_Investimentos_Main[Moeda Base],"NOT FOUND")</f>
        <v>BRL</v>
      </c>
      <c r="I207" s="69">
        <v>1</v>
      </c>
      <c r="J207" s="18" cm="1">
        <f t="array" ref="J207">Table_Investimentos_Porcent[[#This Row],[Porcentagem]]*_xlfn.XLOOKUP(Table_Investimentos_Porcent[[#This Row],[Data]]&amp;Table_Investimentos_Porcent[[#This Row],[Nome]],Table_Investimentos_Main[Data]&amp;Table_Investimentos_Main[Nome],Table_Investimentos_Main[Total (R$)],"NOT FOUND")</f>
        <v>4425.32</v>
      </c>
      <c r="K207" s="80" cm="1">
        <f t="array" ref="K207">Table_Investimentos_Porcent[[#This Row],[Total (R$)]]/_xlfn.XLOOKUP(Table_Investimentos_Porcent[[#This Row],[Data]]&amp;Table_Investimentos_Porcent[[#This Row],[Nome]],Table_Investimentos_Main[Data]&amp;Table_Investimentos_Main[Nome],Table_Investimentos_Main[Cotação Dolar],"NOT FOUND")</f>
        <v>826.0200843692835</v>
      </c>
      <c r="O207" s="3"/>
      <c r="P207" s="3"/>
      <c r="Q207" s="3"/>
      <c r="V207" s="5"/>
      <c r="W207" s="5"/>
    </row>
    <row r="208" spans="2:23" x14ac:dyDescent="0.2">
      <c r="B208" s="8">
        <v>45931</v>
      </c>
      <c r="C208" s="34" t="s">
        <v>49</v>
      </c>
      <c r="D208" s="5" t="s">
        <v>13</v>
      </c>
      <c r="E208" s="5"/>
      <c r="F208" s="5"/>
      <c r="G208" s="5" cm="1">
        <f t="array" ref="G208">_xlfn.XLOOKUP(Table_Investimentos_Porcent[[#This Row],[Data]]&amp;Table_Investimentos_Porcent[[#This Row],[Nome]],Table_Investimentos_Main[Data]&amp;Table_Investimentos_Main[Nome],Table_Investimentos_Main[Estratégia],"NOT FOUND")</f>
        <v>0</v>
      </c>
      <c r="H208" s="5" t="str" cm="1">
        <f t="array" ref="H208">_xlfn.XLOOKUP(Table_Investimentos_Porcent[[#This Row],[Data]]&amp;Table_Investimentos_Porcent[[#This Row],[Nome]],Table_Investimentos_Main[Data]&amp;Table_Investimentos_Main[Nome],Table_Investimentos_Main[Moeda Base],"NOT FOUND")</f>
        <v>USD</v>
      </c>
      <c r="I208" s="69">
        <v>1</v>
      </c>
      <c r="J208" s="18" cm="1">
        <f t="array" ref="J208">Table_Investimentos_Porcent[[#This Row],[Porcentagem]]*_xlfn.XLOOKUP(Table_Investimentos_Porcent[[#This Row],[Data]]&amp;Table_Investimentos_Porcent[[#This Row],[Nome]],Table_Investimentos_Main[Data]&amp;Table_Investimentos_Main[Nome],Table_Investimentos_Main[Total (R$)],"NOT FOUND")</f>
        <v>6372.7435999999998</v>
      </c>
      <c r="K208" s="80" cm="1">
        <f t="array" ref="K208">Table_Investimentos_Porcent[[#This Row],[Total (R$)]]/_xlfn.XLOOKUP(Table_Investimentos_Porcent[[#This Row],[Data]]&amp;Table_Investimentos_Porcent[[#This Row],[Nome]],Table_Investimentos_Main[Data]&amp;Table_Investimentos_Main[Nome],Table_Investimentos_Main[Cotação Dolar],"NOT FOUND")</f>
        <v>1189.5217082913352</v>
      </c>
      <c r="O208" s="3"/>
      <c r="P208" s="3"/>
      <c r="Q208" s="3"/>
      <c r="V208" s="5"/>
      <c r="W208" s="5"/>
    </row>
    <row r="209" spans="2:23" x14ac:dyDescent="0.2">
      <c r="B209" s="8">
        <v>45931</v>
      </c>
      <c r="C209" s="34" t="s">
        <v>68</v>
      </c>
      <c r="D209" s="5" t="s">
        <v>20</v>
      </c>
      <c r="E209" s="5"/>
      <c r="F209" s="5"/>
      <c r="G209" s="5" cm="1">
        <f t="array" ref="G209">_xlfn.XLOOKUP(Table_Investimentos_Porcent[[#This Row],[Data]]&amp;Table_Investimentos_Porcent[[#This Row],[Nome]],Table_Investimentos_Main[Data]&amp;Table_Investimentos_Main[Nome],Table_Investimentos_Main[Estratégia],"NOT FOUND")</f>
        <v>0</v>
      </c>
      <c r="H209" s="5" t="str" cm="1">
        <f t="array" ref="H209">_xlfn.XLOOKUP(Table_Investimentos_Porcent[[#This Row],[Data]]&amp;Table_Investimentos_Porcent[[#This Row],[Nome]],Table_Investimentos_Main[Data]&amp;Table_Investimentos_Main[Nome],Table_Investimentos_Main[Moeda Base],"NOT FOUND")</f>
        <v>BRL</v>
      </c>
      <c r="I209" s="69">
        <v>1</v>
      </c>
      <c r="J209" s="18" cm="1">
        <f t="array" ref="J209">Table_Investimentos_Porcent[[#This Row],[Porcentagem]]*_xlfn.XLOOKUP(Table_Investimentos_Porcent[[#This Row],[Data]]&amp;Table_Investimentos_Porcent[[#This Row],[Nome]],Table_Investimentos_Main[Data]&amp;Table_Investimentos_Main[Nome],Table_Investimentos_Main[Total (R$)],"NOT FOUND")</f>
        <v>9560.19</v>
      </c>
      <c r="K209" s="80" cm="1">
        <f t="array" ref="K209">Table_Investimentos_Porcent[[#This Row],[Total (R$)]]/_xlfn.XLOOKUP(Table_Investimentos_Porcent[[#This Row],[Data]]&amp;Table_Investimentos_Porcent[[#This Row],[Nome]],Table_Investimentos_Main[Data]&amp;Table_Investimentos_Main[Nome],Table_Investimentos_Main[Cotação Dolar],"NOT FOUND")</f>
        <v>1784.4831448090492</v>
      </c>
      <c r="O209" s="3"/>
      <c r="P209" s="3"/>
      <c r="Q209" s="3"/>
      <c r="V209" s="5"/>
      <c r="W209" s="5"/>
    </row>
    <row r="210" spans="2:23" x14ac:dyDescent="0.2">
      <c r="B210" s="8">
        <v>45931</v>
      </c>
      <c r="C210" s="34" t="s">
        <v>64</v>
      </c>
      <c r="D210" s="5" t="s">
        <v>17</v>
      </c>
      <c r="E210" s="5"/>
      <c r="F210" s="5"/>
      <c r="G210" s="5" cm="1">
        <f t="array" ref="G210">_xlfn.XLOOKUP(Table_Investimentos_Porcent[[#This Row],[Data]]&amp;Table_Investimentos_Porcent[[#This Row],[Nome]],Table_Investimentos_Main[Data]&amp;Table_Investimentos_Main[Nome],Table_Investimentos_Main[Estratégia],"NOT FOUND")</f>
        <v>0</v>
      </c>
      <c r="H210" s="5" t="str" cm="1">
        <f t="array" ref="H210">_xlfn.XLOOKUP(Table_Investimentos_Porcent[[#This Row],[Data]]&amp;Table_Investimentos_Porcent[[#This Row],[Nome]],Table_Investimentos_Main[Data]&amp;Table_Investimentos_Main[Nome],Table_Investimentos_Main[Moeda Base],"NOT FOUND")</f>
        <v>USD</v>
      </c>
      <c r="I210" s="69">
        <v>1</v>
      </c>
      <c r="J210" s="18" cm="1">
        <f t="array" ref="J210">Table_Investimentos_Porcent[[#This Row],[Porcentagem]]*_xlfn.XLOOKUP(Table_Investimentos_Porcent[[#This Row],[Data]]&amp;Table_Investimentos_Porcent[[#This Row],[Nome]],Table_Investimentos_Main[Data]&amp;Table_Investimentos_Main[Nome],Table_Investimentos_Main[Total (R$)],"NOT FOUND")</f>
        <v>4869.7694520000005</v>
      </c>
      <c r="K210" s="80" cm="1">
        <f t="array" ref="K210">Table_Investimentos_Porcent[[#This Row],[Total (R$)]]/_xlfn.XLOOKUP(Table_Investimentos_Porcent[[#This Row],[Data]]&amp;Table_Investimentos_Porcent[[#This Row],[Nome]],Table_Investimentos_Main[Data]&amp;Table_Investimentos_Main[Nome],Table_Investimentos_Main[Cotação Dolar],"NOT FOUND")</f>
        <v>908.98</v>
      </c>
      <c r="O210" s="3"/>
      <c r="P210" s="3"/>
      <c r="Q210" s="3"/>
      <c r="V210" s="5"/>
      <c r="W210" s="5"/>
    </row>
    <row r="211" spans="2:23" x14ac:dyDescent="0.2">
      <c r="B211" s="8">
        <v>45931</v>
      </c>
      <c r="C211" s="34" t="s">
        <v>44</v>
      </c>
      <c r="D211" s="5" t="s">
        <v>17</v>
      </c>
      <c r="E211" s="5"/>
      <c r="F211" s="5"/>
      <c r="G211" s="5" cm="1">
        <f t="array" ref="G211">_xlfn.XLOOKUP(Table_Investimentos_Porcent[[#This Row],[Data]]&amp;Table_Investimentos_Porcent[[#This Row],[Nome]],Table_Investimentos_Main[Data]&amp;Table_Investimentos_Main[Nome],Table_Investimentos_Main[Estratégia],"NOT FOUND")</f>
        <v>0</v>
      </c>
      <c r="H211" s="5" t="str" cm="1">
        <f t="array" ref="H211">_xlfn.XLOOKUP(Table_Investimentos_Porcent[[#This Row],[Data]]&amp;Table_Investimentos_Porcent[[#This Row],[Nome]],Table_Investimentos_Main[Data]&amp;Table_Investimentos_Main[Nome],Table_Investimentos_Main[Moeda Base],"NOT FOUND")</f>
        <v>USD</v>
      </c>
      <c r="I211" s="69">
        <v>1</v>
      </c>
      <c r="J211" s="18" cm="1">
        <f t="array" ref="J211">Table_Investimentos_Porcent[[#This Row],[Porcentagem]]*_xlfn.XLOOKUP(Table_Investimentos_Porcent[[#This Row],[Data]]&amp;Table_Investimentos_Porcent[[#This Row],[Nome]],Table_Investimentos_Main[Data]&amp;Table_Investimentos_Main[Nome],Table_Investimentos_Main[Total (R$)],"NOT FOUND")</f>
        <v>8916.6958379999996</v>
      </c>
      <c r="K211" s="80" cm="1">
        <f t="array" ref="K211">Table_Investimentos_Porcent[[#This Row],[Total (R$)]]/_xlfn.XLOOKUP(Table_Investimentos_Porcent[[#This Row],[Data]]&amp;Table_Investimentos_Porcent[[#This Row],[Nome]],Table_Investimentos_Main[Data]&amp;Table_Investimentos_Main[Nome],Table_Investimentos_Main[Cotação Dolar],"NOT FOUND")</f>
        <v>1664.37</v>
      </c>
      <c r="O211" s="3"/>
      <c r="P211" s="3"/>
      <c r="Q211" s="3"/>
      <c r="V211" s="5"/>
      <c r="W211" s="5"/>
    </row>
    <row r="212" spans="2:23" x14ac:dyDescent="0.2">
      <c r="B212" s="8">
        <v>45931</v>
      </c>
      <c r="C212" s="34" t="s">
        <v>21</v>
      </c>
      <c r="D212" s="5" t="s">
        <v>17</v>
      </c>
      <c r="E212" s="5"/>
      <c r="F212" s="5"/>
      <c r="G212" s="5" cm="1">
        <f t="array" ref="G212">_xlfn.XLOOKUP(Table_Investimentos_Porcent[[#This Row],[Data]]&amp;Table_Investimentos_Porcent[[#This Row],[Nome]],Table_Investimentos_Main[Data]&amp;Table_Investimentos_Main[Nome],Table_Investimentos_Main[Estratégia],"NOT FOUND")</f>
        <v>0</v>
      </c>
      <c r="H212" s="5" t="str" cm="1">
        <f t="array" ref="H212">_xlfn.XLOOKUP(Table_Investimentos_Porcent[[#This Row],[Data]]&amp;Table_Investimentos_Porcent[[#This Row],[Nome]],Table_Investimentos_Main[Data]&amp;Table_Investimentos_Main[Nome],Table_Investimentos_Main[Moeda Base],"NOT FOUND")</f>
        <v>USD</v>
      </c>
      <c r="I212" s="69">
        <v>1</v>
      </c>
      <c r="J212" s="18" cm="1">
        <f t="array" ref="J212">Table_Investimentos_Porcent[[#This Row],[Porcentagem]]*_xlfn.XLOOKUP(Table_Investimentos_Porcent[[#This Row],[Data]]&amp;Table_Investimentos_Porcent[[#This Row],[Nome]],Table_Investimentos_Main[Data]&amp;Table_Investimentos_Main[Nome],Table_Investimentos_Main[Total (R$)],"NOT FOUND")</f>
        <v>547.94415720000006</v>
      </c>
      <c r="K212" s="80" cm="1">
        <f t="array" ref="K212">Table_Investimentos_Porcent[[#This Row],[Total (R$)]]/_xlfn.XLOOKUP(Table_Investimentos_Porcent[[#This Row],[Data]]&amp;Table_Investimentos_Porcent[[#This Row],[Nome]],Table_Investimentos_Main[Data]&amp;Table_Investimentos_Main[Nome],Table_Investimentos_Main[Cotação Dolar],"NOT FOUND")</f>
        <v>102.27800000000001</v>
      </c>
      <c r="O212" s="3"/>
      <c r="P212" s="3"/>
      <c r="Q212" s="3"/>
      <c r="V212" s="5"/>
      <c r="W212" s="5"/>
    </row>
    <row r="213" spans="2:23" x14ac:dyDescent="0.2">
      <c r="B213" s="8">
        <v>45962</v>
      </c>
      <c r="C213" s="34" t="s">
        <v>41</v>
      </c>
      <c r="D213" s="5" t="s">
        <v>13</v>
      </c>
      <c r="E213" s="5"/>
      <c r="F213" s="5"/>
      <c r="G213" s="5" cm="1">
        <f t="array" ref="G213">_xlfn.XLOOKUP(Table_Investimentos_Porcent[[#This Row],[Data]]&amp;Table_Investimentos_Porcent[[#This Row],[Nome]],Table_Investimentos_Main[Data]&amp;Table_Investimentos_Main[Nome],Table_Investimentos_Main[Estratégia],"NOT FOUND")</f>
        <v>0</v>
      </c>
      <c r="H213" s="5" t="str" cm="1">
        <f t="array" ref="H213">_xlfn.XLOOKUP(Table_Investimentos_Porcent[[#This Row],[Data]]&amp;Table_Investimentos_Porcent[[#This Row],[Nome]],Table_Investimentos_Main[Data]&amp;Table_Investimentos_Main[Nome],Table_Investimentos_Main[Moeda Base],"NOT FOUND")</f>
        <v>BTC</v>
      </c>
      <c r="I213" s="69">
        <v>1</v>
      </c>
      <c r="J213" s="18" cm="1">
        <f t="array" ref="J213">Table_Investimentos_Porcent[[#This Row],[Porcentagem]]*_xlfn.XLOOKUP(Table_Investimentos_Porcent[[#This Row],[Data]]&amp;Table_Investimentos_Porcent[[#This Row],[Nome]],Table_Investimentos_Main[Data]&amp;Table_Investimentos_Main[Nome],Table_Investimentos_Main[Total (R$)],"NOT FOUND")</f>
        <v>156966.38524412</v>
      </c>
      <c r="K213" s="80" cm="1">
        <f t="array" ref="K213">Table_Investimentos_Porcent[[#This Row],[Total (R$)]]/_xlfn.XLOOKUP(Table_Investimentos_Porcent[[#This Row],[Data]]&amp;Table_Investimentos_Porcent[[#This Row],[Nome]],Table_Investimentos_Main[Data]&amp;Table_Investimentos_Main[Nome],Table_Investimentos_Main[Cotação Dolar],"NOT FOUND")</f>
        <v>29255.299743564319</v>
      </c>
      <c r="O213" s="3"/>
      <c r="P213" s="3"/>
      <c r="Q213" s="3"/>
      <c r="V213" s="5"/>
      <c r="W213" s="5"/>
    </row>
    <row r="214" spans="2:23" x14ac:dyDescent="0.2">
      <c r="B214" s="8">
        <v>45962</v>
      </c>
      <c r="C214" s="34" t="s">
        <v>42</v>
      </c>
      <c r="D214" s="5" t="s">
        <v>20</v>
      </c>
      <c r="E214" s="5"/>
      <c r="F214" s="5"/>
      <c r="G214" s="5" cm="1">
        <f t="array" ref="G214">_xlfn.XLOOKUP(Table_Investimentos_Porcent[[#This Row],[Data]]&amp;Table_Investimentos_Porcent[[#This Row],[Nome]],Table_Investimentos_Main[Data]&amp;Table_Investimentos_Main[Nome],Table_Investimentos_Main[Estratégia],"NOT FOUND")</f>
        <v>0</v>
      </c>
      <c r="H214" s="5" t="str" cm="1">
        <f t="array" ref="H214">_xlfn.XLOOKUP(Table_Investimentos_Porcent[[#This Row],[Data]]&amp;Table_Investimentos_Porcent[[#This Row],[Nome]],Table_Investimentos_Main[Data]&amp;Table_Investimentos_Main[Nome],Table_Investimentos_Main[Moeda Base],"NOT FOUND")</f>
        <v>BTC</v>
      </c>
      <c r="I214" s="69">
        <v>1</v>
      </c>
      <c r="J214" s="18" cm="1">
        <f t="array" ref="J214">Table_Investimentos_Porcent[[#This Row],[Porcentagem]]*_xlfn.XLOOKUP(Table_Investimentos_Porcent[[#This Row],[Data]]&amp;Table_Investimentos_Porcent[[#This Row],[Nome]],Table_Investimentos_Main[Data]&amp;Table_Investimentos_Main[Nome],Table_Investimentos_Main[Total (R$)],"NOT FOUND")</f>
        <v>4435.9028480699999</v>
      </c>
      <c r="K214" s="80" cm="1">
        <f t="array" ref="K214">Table_Investimentos_Porcent[[#This Row],[Total (R$)]]/_xlfn.XLOOKUP(Table_Investimentos_Porcent[[#This Row],[Data]]&amp;Table_Investimentos_Porcent[[#This Row],[Nome]],Table_Investimentos_Main[Data]&amp;Table_Investimentos_Main[Nome],Table_Investimentos_Main[Cotação Dolar],"NOT FOUND")</f>
        <v>826.7608841968912</v>
      </c>
      <c r="O214" s="3"/>
      <c r="P214" s="3"/>
      <c r="Q214" s="3"/>
      <c r="V214" s="5"/>
      <c r="W214" s="5"/>
    </row>
    <row r="215" spans="2:23" x14ac:dyDescent="0.2">
      <c r="B215" s="8">
        <v>45962</v>
      </c>
      <c r="C215" s="34" t="s">
        <v>55</v>
      </c>
      <c r="D215" s="5" t="s">
        <v>36</v>
      </c>
      <c r="E215" s="5"/>
      <c r="F215" s="5"/>
      <c r="G215" s="5" cm="1">
        <f t="array" ref="G215">_xlfn.XLOOKUP(Table_Investimentos_Porcent[[#This Row],[Data]]&amp;Table_Investimentos_Porcent[[#This Row],[Nome]],Table_Investimentos_Main[Data]&amp;Table_Investimentos_Main[Nome],Table_Investimentos_Main[Estratégia],"NOT FOUND")</f>
        <v>0</v>
      </c>
      <c r="H215" s="5" t="str" cm="1">
        <f t="array" ref="H215">_xlfn.XLOOKUP(Table_Investimentos_Porcent[[#This Row],[Data]]&amp;Table_Investimentos_Porcent[[#This Row],[Nome]],Table_Investimentos_Main[Data]&amp;Table_Investimentos_Main[Nome],Table_Investimentos_Main[Moeda Base],"NOT FOUND")</f>
        <v>USD</v>
      </c>
      <c r="I215" s="69">
        <v>1</v>
      </c>
      <c r="J215" s="18" cm="1">
        <f t="array" ref="J215">Table_Investimentos_Porcent[[#This Row],[Porcentagem]]*_xlfn.XLOOKUP(Table_Investimentos_Porcent[[#This Row],[Data]]&amp;Table_Investimentos_Porcent[[#This Row],[Nome]],Table_Investimentos_Main[Data]&amp;Table_Investimentos_Main[Nome],Table_Investimentos_Main[Total (R$)],"NOT FOUND")</f>
        <v>3073.5160214392804</v>
      </c>
      <c r="K215" s="80" cm="1">
        <f t="array" ref="K215">Table_Investimentos_Porcent[[#This Row],[Total (R$)]]/_xlfn.XLOOKUP(Table_Investimentos_Porcent[[#This Row],[Data]]&amp;Table_Investimentos_Porcent[[#This Row],[Nome]],Table_Investimentos_Main[Data]&amp;Table_Investimentos_Main[Nome],Table_Investimentos_Main[Cotação Dolar],"NOT FOUND")</f>
        <v>572.84005320000006</v>
      </c>
      <c r="O215" s="3"/>
      <c r="P215" s="3"/>
      <c r="Q215" s="3"/>
      <c r="V215" s="5"/>
      <c r="W215" s="5"/>
    </row>
    <row r="216" spans="2:23" x14ac:dyDescent="0.2">
      <c r="B216" s="8">
        <v>45962</v>
      </c>
      <c r="C216" s="34" t="s">
        <v>70</v>
      </c>
      <c r="D216" s="5" t="s">
        <v>23</v>
      </c>
      <c r="E216" s="5"/>
      <c r="F216" s="5"/>
      <c r="G216" s="5" cm="1">
        <f t="array" ref="G216">_xlfn.XLOOKUP(Table_Investimentos_Porcent[[#This Row],[Data]]&amp;Table_Investimentos_Porcent[[#This Row],[Nome]],Table_Investimentos_Main[Data]&amp;Table_Investimentos_Main[Nome],Table_Investimentos_Main[Estratégia],"NOT FOUND")</f>
        <v>0</v>
      </c>
      <c r="H216" s="5" t="str" cm="1">
        <f t="array" ref="H216">_xlfn.XLOOKUP(Table_Investimentos_Porcent[[#This Row],[Data]]&amp;Table_Investimentos_Porcent[[#This Row],[Nome]],Table_Investimentos_Main[Data]&amp;Table_Investimentos_Main[Nome],Table_Investimentos_Main[Moeda Base],"NOT FOUND")</f>
        <v>USD</v>
      </c>
      <c r="I216" s="69">
        <v>1</v>
      </c>
      <c r="J216" s="18" cm="1">
        <f t="array" ref="J216">Table_Investimentos_Porcent[[#This Row],[Porcentagem]]*_xlfn.XLOOKUP(Table_Investimentos_Porcent[[#This Row],[Data]]&amp;Table_Investimentos_Porcent[[#This Row],[Nome]],Table_Investimentos_Main[Data]&amp;Table_Investimentos_Main[Nome],Table_Investimentos_Main[Total (R$)],"NOT FOUND")</f>
        <v>5816.5572865712156</v>
      </c>
      <c r="K216" s="80" cm="1">
        <f t="array" ref="K216">Table_Investimentos_Porcent[[#This Row],[Total (R$)]]/_xlfn.XLOOKUP(Table_Investimentos_Porcent[[#This Row],[Data]]&amp;Table_Investimentos_Porcent[[#This Row],[Nome]],Table_Investimentos_Main[Data]&amp;Table_Investimentos_Main[Nome],Table_Investimentos_Main[Cotação Dolar],"NOT FOUND")</f>
        <v>1084.0864216221</v>
      </c>
      <c r="O216" s="3"/>
      <c r="P216" s="3"/>
      <c r="Q216" s="3"/>
      <c r="V216" s="5"/>
      <c r="W216" s="5"/>
    </row>
    <row r="217" spans="2:23" x14ac:dyDescent="0.2">
      <c r="B217" s="8">
        <v>45962</v>
      </c>
      <c r="C217" s="34" t="s">
        <v>51</v>
      </c>
      <c r="D217" s="5" t="s">
        <v>36</v>
      </c>
      <c r="E217" s="5"/>
      <c r="F217" s="5"/>
      <c r="G217" s="5" cm="1">
        <f t="array" ref="G217">_xlfn.XLOOKUP(Table_Investimentos_Porcent[[#This Row],[Data]]&amp;Table_Investimentos_Porcent[[#This Row],[Nome]],Table_Investimentos_Main[Data]&amp;Table_Investimentos_Main[Nome],Table_Investimentos_Main[Estratégia],"NOT FOUND")</f>
        <v>0</v>
      </c>
      <c r="H217" s="5" t="str" cm="1">
        <f t="array" ref="H217">_xlfn.XLOOKUP(Table_Investimentos_Porcent[[#This Row],[Data]]&amp;Table_Investimentos_Porcent[[#This Row],[Nome]],Table_Investimentos_Main[Data]&amp;Table_Investimentos_Main[Nome],Table_Investimentos_Main[Moeda Base],"NOT FOUND")</f>
        <v>USD</v>
      </c>
      <c r="I217" s="69">
        <v>1</v>
      </c>
      <c r="J217" s="18" cm="1">
        <f t="array" ref="J217">Table_Investimentos_Porcent[[#This Row],[Porcentagem]]*_xlfn.XLOOKUP(Table_Investimentos_Porcent[[#This Row],[Data]]&amp;Table_Investimentos_Porcent[[#This Row],[Nome]],Table_Investimentos_Main[Data]&amp;Table_Investimentos_Main[Nome],Table_Investimentos_Main[Total (R$)],"NOT FOUND")</f>
        <v>5836.1457040546002</v>
      </c>
      <c r="K217" s="80" cm="1">
        <f t="array" ref="K217">Table_Investimentos_Porcent[[#This Row],[Total (R$)]]/_xlfn.XLOOKUP(Table_Investimentos_Porcent[[#This Row],[Data]]&amp;Table_Investimentos_Porcent[[#This Row],[Nome]],Table_Investimentos_Main[Data]&amp;Table_Investimentos_Main[Nome],Table_Investimentos_Main[Cotação Dolar],"NOT FOUND")</f>
        <v>1087.7372989999999</v>
      </c>
      <c r="O217" s="3"/>
      <c r="P217" s="3"/>
      <c r="Q217" s="3"/>
      <c r="V217" s="5"/>
      <c r="W217" s="5"/>
    </row>
    <row r="218" spans="2:23" x14ac:dyDescent="0.2">
      <c r="B218" s="8">
        <v>45962</v>
      </c>
      <c r="C218" s="34" t="s">
        <v>74</v>
      </c>
      <c r="D218" s="5" t="s">
        <v>17</v>
      </c>
      <c r="E218" s="5"/>
      <c r="F218" s="5"/>
      <c r="G218" s="5" cm="1">
        <f t="array" ref="G218">_xlfn.XLOOKUP(Table_Investimentos_Porcent[[#This Row],[Data]]&amp;Table_Investimentos_Porcent[[#This Row],[Nome]],Table_Investimentos_Main[Data]&amp;Table_Investimentos_Main[Nome],Table_Investimentos_Main[Estratégia],"NOT FOUND")</f>
        <v>0</v>
      </c>
      <c r="H218" s="5" t="str" cm="1">
        <f t="array" ref="H218">_xlfn.XLOOKUP(Table_Investimentos_Porcent[[#This Row],[Data]]&amp;Table_Investimentos_Porcent[[#This Row],[Nome]],Table_Investimentos_Main[Data]&amp;Table_Investimentos_Main[Nome],Table_Investimentos_Main[Moeda Base],"NOT FOUND")</f>
        <v>BRL</v>
      </c>
      <c r="I218" s="69">
        <v>1</v>
      </c>
      <c r="J218" s="18" cm="1">
        <f t="array" ref="J218">Table_Investimentos_Porcent[[#This Row],[Porcentagem]]*_xlfn.XLOOKUP(Table_Investimentos_Porcent[[#This Row],[Data]]&amp;Table_Investimentos_Porcent[[#This Row],[Nome]],Table_Investimentos_Main[Data]&amp;Table_Investimentos_Main[Nome],Table_Investimentos_Main[Total (R$)],"NOT FOUND")</f>
        <v>11274.25</v>
      </c>
      <c r="K218" s="80" cm="1">
        <f t="array" ref="K218">Table_Investimentos_Porcent[[#This Row],[Total (R$)]]/_xlfn.XLOOKUP(Table_Investimentos_Porcent[[#This Row],[Data]]&amp;Table_Investimentos_Porcent[[#This Row],[Nome]],Table_Investimentos_Main[Data]&amp;Table_Investimentos_Main[Nome],Table_Investimentos_Main[Cotação Dolar],"NOT FOUND")</f>
        <v>2101.2878816118091</v>
      </c>
      <c r="O218" s="3"/>
      <c r="P218" s="3"/>
      <c r="Q218" s="3"/>
      <c r="V218" s="5"/>
      <c r="W218" s="5"/>
    </row>
    <row r="219" spans="2:23" x14ac:dyDescent="0.2">
      <c r="B219" s="8">
        <v>45962</v>
      </c>
      <c r="C219" s="34" t="s">
        <v>58</v>
      </c>
      <c r="D219" s="5" t="s">
        <v>17</v>
      </c>
      <c r="E219" s="5"/>
      <c r="F219" s="5"/>
      <c r="G219" s="5" cm="1">
        <f t="array" ref="G219">_xlfn.XLOOKUP(Table_Investimentos_Porcent[[#This Row],[Data]]&amp;Table_Investimentos_Porcent[[#This Row],[Nome]],Table_Investimentos_Main[Data]&amp;Table_Investimentos_Main[Nome],Table_Investimentos_Main[Estratégia],"NOT FOUND")</f>
        <v>0</v>
      </c>
      <c r="H219" s="5" t="str" cm="1">
        <f t="array" ref="H219">_xlfn.XLOOKUP(Table_Investimentos_Porcent[[#This Row],[Data]]&amp;Table_Investimentos_Porcent[[#This Row],[Nome]],Table_Investimentos_Main[Data]&amp;Table_Investimentos_Main[Nome],Table_Investimentos_Main[Moeda Base],"NOT FOUND")</f>
        <v>BRL</v>
      </c>
      <c r="I219" s="69">
        <v>1</v>
      </c>
      <c r="J219" s="18" cm="1">
        <f t="array" ref="J219">Table_Investimentos_Porcent[[#This Row],[Porcentagem]]*_xlfn.XLOOKUP(Table_Investimentos_Porcent[[#This Row],[Data]]&amp;Table_Investimentos_Porcent[[#This Row],[Nome]],Table_Investimentos_Main[Data]&amp;Table_Investimentos_Main[Nome],Table_Investimentos_Main[Total (R$)],"NOT FOUND")</f>
        <v>10525.71</v>
      </c>
      <c r="K219" s="80" cm="1">
        <f t="array" ref="K219">Table_Investimentos_Porcent[[#This Row],[Total (R$)]]/_xlfn.XLOOKUP(Table_Investimentos_Porcent[[#This Row],[Data]]&amp;Table_Investimentos_Porcent[[#This Row],[Nome]],Table_Investimentos_Main[Data]&amp;Table_Investimentos_Main[Nome],Table_Investimentos_Main[Cotação Dolar],"NOT FOUND")</f>
        <v>1961.7754501062361</v>
      </c>
      <c r="O219" s="3"/>
      <c r="P219" s="3"/>
      <c r="Q219" s="3"/>
      <c r="V219" s="5"/>
      <c r="W219" s="5"/>
    </row>
    <row r="220" spans="2:23" x14ac:dyDescent="0.2">
      <c r="B220" s="8">
        <v>45962</v>
      </c>
      <c r="C220" s="34" t="s">
        <v>69</v>
      </c>
      <c r="D220" s="5" t="s">
        <v>20</v>
      </c>
      <c r="E220" s="5"/>
      <c r="F220" s="5"/>
      <c r="G220" s="5" cm="1">
        <f t="array" ref="G220">_xlfn.XLOOKUP(Table_Investimentos_Porcent[[#This Row],[Data]]&amp;Table_Investimentos_Porcent[[#This Row],[Nome]],Table_Investimentos_Main[Data]&amp;Table_Investimentos_Main[Nome],Table_Investimentos_Main[Estratégia],"NOT FOUND")</f>
        <v>0</v>
      </c>
      <c r="H220" s="5" t="str" cm="1">
        <f t="array" ref="H220">_xlfn.XLOOKUP(Table_Investimentos_Porcent[[#This Row],[Data]]&amp;Table_Investimentos_Porcent[[#This Row],[Nome]],Table_Investimentos_Main[Data]&amp;Table_Investimentos_Main[Nome],Table_Investimentos_Main[Moeda Base],"NOT FOUND")</f>
        <v>BRL</v>
      </c>
      <c r="I220" s="69">
        <v>1</v>
      </c>
      <c r="J220" s="18" cm="1">
        <f t="array" ref="J220">Table_Investimentos_Porcent[[#This Row],[Porcentagem]]*_xlfn.XLOOKUP(Table_Investimentos_Porcent[[#This Row],[Data]]&amp;Table_Investimentos_Porcent[[#This Row],[Nome]],Table_Investimentos_Main[Data]&amp;Table_Investimentos_Main[Nome],Table_Investimentos_Main[Total (R$)],"NOT FOUND")</f>
        <v>4566.67</v>
      </c>
      <c r="K220" s="80" cm="1">
        <f t="array" ref="K220">Table_Investimentos_Porcent[[#This Row],[Total (R$)]]/_xlfn.XLOOKUP(Table_Investimentos_Porcent[[#This Row],[Data]]&amp;Table_Investimentos_Porcent[[#This Row],[Nome]],Table_Investimentos_Main[Data]&amp;Table_Investimentos_Main[Nome],Table_Investimentos_Main[Cotação Dolar],"NOT FOUND")</f>
        <v>851.13318671487684</v>
      </c>
      <c r="O220" s="3"/>
      <c r="P220" s="3"/>
      <c r="Q220" s="3"/>
      <c r="V220" s="5"/>
      <c r="W220" s="5"/>
    </row>
    <row r="221" spans="2:23" x14ac:dyDescent="0.2">
      <c r="B221" s="8">
        <v>45962</v>
      </c>
      <c r="C221" s="34" t="s">
        <v>49</v>
      </c>
      <c r="D221" s="5" t="s">
        <v>13</v>
      </c>
      <c r="E221" s="5"/>
      <c r="F221" s="5"/>
      <c r="G221" s="5" cm="1">
        <f t="array" ref="G221">_xlfn.XLOOKUP(Table_Investimentos_Porcent[[#This Row],[Data]]&amp;Table_Investimentos_Porcent[[#This Row],[Nome]],Table_Investimentos_Main[Data]&amp;Table_Investimentos_Main[Nome],Table_Investimentos_Main[Estratégia],"NOT FOUND")</f>
        <v>0</v>
      </c>
      <c r="H221" s="5" t="str" cm="1">
        <f t="array" ref="H221">_xlfn.XLOOKUP(Table_Investimentos_Porcent[[#This Row],[Data]]&amp;Table_Investimentos_Porcent[[#This Row],[Nome]],Table_Investimentos_Main[Data]&amp;Table_Investimentos_Main[Nome],Table_Investimentos_Main[Moeda Base],"NOT FOUND")</f>
        <v>USD</v>
      </c>
      <c r="I221" s="69">
        <v>1</v>
      </c>
      <c r="J221" s="18" cm="1">
        <f t="array" ref="J221">Table_Investimentos_Porcent[[#This Row],[Porcentagem]]*_xlfn.XLOOKUP(Table_Investimentos_Porcent[[#This Row],[Data]]&amp;Table_Investimentos_Porcent[[#This Row],[Nome]],Table_Investimentos_Main[Data]&amp;Table_Investimentos_Main[Nome],Table_Investimentos_Main[Total (R$)],"NOT FOUND")</f>
        <v>5326.4948000000004</v>
      </c>
      <c r="K221" s="80" cm="1">
        <f t="array" ref="K221">Table_Investimentos_Porcent[[#This Row],[Total (R$)]]/_xlfn.XLOOKUP(Table_Investimentos_Porcent[[#This Row],[Data]]&amp;Table_Investimentos_Porcent[[#This Row],[Nome]],Table_Investimentos_Main[Data]&amp;Table_Investimentos_Main[Nome],Table_Investimentos_Main[Cotação Dolar],"NOT FOUND")</f>
        <v>992.74887240466694</v>
      </c>
      <c r="O221" s="3"/>
      <c r="P221" s="3"/>
      <c r="Q221" s="3"/>
      <c r="V221" s="5"/>
      <c r="W221" s="5"/>
    </row>
    <row r="222" spans="2:23" x14ac:dyDescent="0.2">
      <c r="B222" s="8">
        <v>45962</v>
      </c>
      <c r="C222" s="34" t="s">
        <v>68</v>
      </c>
      <c r="D222" s="5" t="s">
        <v>20</v>
      </c>
      <c r="E222" s="5"/>
      <c r="F222" s="5"/>
      <c r="G222" s="5" cm="1">
        <f t="array" ref="G222">_xlfn.XLOOKUP(Table_Investimentos_Porcent[[#This Row],[Data]]&amp;Table_Investimentos_Porcent[[#This Row],[Nome]],Table_Investimentos_Main[Data]&amp;Table_Investimentos_Main[Nome],Table_Investimentos_Main[Estratégia],"NOT FOUND")</f>
        <v>0</v>
      </c>
      <c r="H222" s="5" t="str" cm="1">
        <f t="array" ref="H222">_xlfn.XLOOKUP(Table_Investimentos_Porcent[[#This Row],[Data]]&amp;Table_Investimentos_Porcent[[#This Row],[Nome]],Table_Investimentos_Main[Data]&amp;Table_Investimentos_Main[Nome],Table_Investimentos_Main[Moeda Base],"NOT FOUND")</f>
        <v>BRL</v>
      </c>
      <c r="I222" s="69">
        <v>1</v>
      </c>
      <c r="J222" s="18" cm="1">
        <f t="array" ref="J222">Table_Investimentos_Porcent[[#This Row],[Porcentagem]]*_xlfn.XLOOKUP(Table_Investimentos_Porcent[[#This Row],[Data]]&amp;Table_Investimentos_Porcent[[#This Row],[Nome]],Table_Investimentos_Main[Data]&amp;Table_Investimentos_Main[Nome],Table_Investimentos_Main[Total (R$)],"NOT FOUND")</f>
        <v>9879.6200000000008</v>
      </c>
      <c r="K222" s="80" cm="1">
        <f t="array" ref="K222">Table_Investimentos_Porcent[[#This Row],[Total (R$)]]/_xlfn.XLOOKUP(Table_Investimentos_Porcent[[#This Row],[Data]]&amp;Table_Investimentos_Porcent[[#This Row],[Nome]],Table_Investimentos_Main[Data]&amp;Table_Investimentos_Main[Nome],Table_Investimentos_Main[Cotação Dolar],"NOT FOUND")</f>
        <v>1841.3575875051256</v>
      </c>
      <c r="O222" s="3"/>
      <c r="P222" s="3"/>
      <c r="Q222" s="3"/>
      <c r="V222" s="5"/>
      <c r="W222" s="5"/>
    </row>
    <row r="223" spans="2:23" x14ac:dyDescent="0.2">
      <c r="B223" s="8">
        <v>45962</v>
      </c>
      <c r="C223" s="34" t="s">
        <v>64</v>
      </c>
      <c r="D223" s="5" t="s">
        <v>17</v>
      </c>
      <c r="E223" s="5"/>
      <c r="F223" s="5"/>
      <c r="G223" s="5" cm="1">
        <f t="array" ref="G223">_xlfn.XLOOKUP(Table_Investimentos_Porcent[[#This Row],[Data]]&amp;Table_Investimentos_Porcent[[#This Row],[Nome]],Table_Investimentos_Main[Data]&amp;Table_Investimentos_Main[Nome],Table_Investimentos_Main[Estratégia],"NOT FOUND")</f>
        <v>0</v>
      </c>
      <c r="H223" s="5" t="str" cm="1">
        <f t="array" ref="H223">_xlfn.XLOOKUP(Table_Investimentos_Porcent[[#This Row],[Data]]&amp;Table_Investimentos_Porcent[[#This Row],[Nome]],Table_Investimentos_Main[Data]&amp;Table_Investimentos_Main[Nome],Table_Investimentos_Main[Moeda Base],"NOT FOUND")</f>
        <v>USD</v>
      </c>
      <c r="I223" s="69">
        <v>1</v>
      </c>
      <c r="J223" s="18" cm="1">
        <f t="array" ref="J223">Table_Investimentos_Porcent[[#This Row],[Porcentagem]]*_xlfn.XLOOKUP(Table_Investimentos_Porcent[[#This Row],[Data]]&amp;Table_Investimentos_Porcent[[#This Row],[Nome]],Table_Investimentos_Main[Data]&amp;Table_Investimentos_Main[Nome],Table_Investimentos_Main[Total (R$)],"NOT FOUND")</f>
        <v>4877.0412919999999</v>
      </c>
      <c r="K223" s="80" cm="1">
        <f t="array" ref="K223">Table_Investimentos_Porcent[[#This Row],[Total (R$)]]/_xlfn.XLOOKUP(Table_Investimentos_Porcent[[#This Row],[Data]]&amp;Table_Investimentos_Porcent[[#This Row],[Nome]],Table_Investimentos_Main[Data]&amp;Table_Investimentos_Main[Nome],Table_Investimentos_Main[Cotação Dolar],"NOT FOUND")</f>
        <v>908.9799999999999</v>
      </c>
      <c r="O223" s="3"/>
      <c r="P223" s="3"/>
      <c r="Q223" s="3"/>
      <c r="V223" s="5"/>
      <c r="W223" s="5"/>
    </row>
    <row r="224" spans="2:23" x14ac:dyDescent="0.2">
      <c r="B224" s="8">
        <v>45962</v>
      </c>
      <c r="C224" s="34" t="s">
        <v>44</v>
      </c>
      <c r="D224" s="5" t="s">
        <v>17</v>
      </c>
      <c r="E224" s="5"/>
      <c r="F224" s="5"/>
      <c r="G224" s="5" cm="1">
        <f t="array" ref="G224">_xlfn.XLOOKUP(Table_Investimentos_Porcent[[#This Row],[Data]]&amp;Table_Investimentos_Porcent[[#This Row],[Nome]],Table_Investimentos_Main[Data]&amp;Table_Investimentos_Main[Nome],Table_Investimentos_Main[Estratégia],"NOT FOUND")</f>
        <v>0</v>
      </c>
      <c r="H224" s="5" t="str" cm="1">
        <f t="array" ref="H224">_xlfn.XLOOKUP(Table_Investimentos_Porcent[[#This Row],[Data]]&amp;Table_Investimentos_Porcent[[#This Row],[Nome]],Table_Investimentos_Main[Data]&amp;Table_Investimentos_Main[Nome],Table_Investimentos_Main[Moeda Base],"NOT FOUND")</f>
        <v>USD</v>
      </c>
      <c r="I224" s="69">
        <v>1</v>
      </c>
      <c r="J224" s="18" cm="1">
        <f t="array" ref="J224">Table_Investimentos_Porcent[[#This Row],[Porcentagem]]*_xlfn.XLOOKUP(Table_Investimentos_Porcent[[#This Row],[Data]]&amp;Table_Investimentos_Porcent[[#This Row],[Nome]],Table_Investimentos_Main[Data]&amp;Table_Investimentos_Main[Nome],Table_Investimentos_Main[Total (R$)],"NOT FOUND")</f>
        <v>8930.0107979999993</v>
      </c>
      <c r="K224" s="80" cm="1">
        <f t="array" ref="K224">Table_Investimentos_Porcent[[#This Row],[Total (R$)]]/_xlfn.XLOOKUP(Table_Investimentos_Porcent[[#This Row],[Data]]&amp;Table_Investimentos_Porcent[[#This Row],[Nome]],Table_Investimentos_Main[Data]&amp;Table_Investimentos_Main[Nome],Table_Investimentos_Main[Cotação Dolar],"NOT FOUND")</f>
        <v>1664.37</v>
      </c>
      <c r="O224" s="3"/>
      <c r="P224" s="3"/>
      <c r="Q224" s="3"/>
      <c r="V224" s="5"/>
      <c r="W224" s="5"/>
    </row>
    <row r="225" spans="2:23" x14ac:dyDescent="0.2">
      <c r="B225" s="8">
        <v>45962</v>
      </c>
      <c r="C225" s="34" t="s">
        <v>21</v>
      </c>
      <c r="D225" s="5" t="s">
        <v>17</v>
      </c>
      <c r="E225" s="5"/>
      <c r="F225" s="5"/>
      <c r="G225" s="5" cm="1">
        <f t="array" ref="G225">_xlfn.XLOOKUP(Table_Investimentos_Porcent[[#This Row],[Data]]&amp;Table_Investimentos_Porcent[[#This Row],[Nome]],Table_Investimentos_Main[Data]&amp;Table_Investimentos_Main[Nome],Table_Investimentos_Main[Estratégia],"NOT FOUND")</f>
        <v>0</v>
      </c>
      <c r="H225" s="5" t="str" cm="1">
        <f t="array" ref="H225">_xlfn.XLOOKUP(Table_Investimentos_Porcent[[#This Row],[Data]]&amp;Table_Investimentos_Porcent[[#This Row],[Nome]],Table_Investimentos_Main[Data]&amp;Table_Investimentos_Main[Nome],Table_Investimentos_Main[Moeda Base],"NOT FOUND")</f>
        <v>USD</v>
      </c>
      <c r="I225" s="69">
        <v>1</v>
      </c>
      <c r="J225" s="18" cm="1">
        <f t="array" ref="J225">Table_Investimentos_Porcent[[#This Row],[Porcentagem]]*_xlfn.XLOOKUP(Table_Investimentos_Porcent[[#This Row],[Data]]&amp;Table_Investimentos_Porcent[[#This Row],[Nome]],Table_Investimentos_Main[Data]&amp;Table_Investimentos_Main[Nome],Table_Investimentos_Main[Total (R$)],"NOT FOUND")</f>
        <v>548.76238120000005</v>
      </c>
      <c r="K225" s="80" cm="1">
        <f t="array" ref="K225">Table_Investimentos_Porcent[[#This Row],[Total (R$)]]/_xlfn.XLOOKUP(Table_Investimentos_Porcent[[#This Row],[Data]]&amp;Table_Investimentos_Porcent[[#This Row],[Nome]],Table_Investimentos_Main[Data]&amp;Table_Investimentos_Main[Nome],Table_Investimentos_Main[Cotação Dolar],"NOT FOUND")</f>
        <v>102.27800000000001</v>
      </c>
      <c r="O225" s="3"/>
      <c r="P225" s="3"/>
      <c r="Q225" s="3"/>
      <c r="V225" s="5"/>
      <c r="W225" s="5"/>
    </row>
    <row r="226" spans="2:23" x14ac:dyDescent="0.2">
      <c r="B226" s="8">
        <v>45992</v>
      </c>
      <c r="C226" s="34" t="s">
        <v>41</v>
      </c>
      <c r="D226" s="5" t="s">
        <v>13</v>
      </c>
      <c r="E226" s="5"/>
      <c r="F226" s="5"/>
      <c r="G226" s="5" cm="1">
        <f t="array" ref="G226">_xlfn.XLOOKUP(Table_Investimentos_Porcent[[#This Row],[Data]]&amp;Table_Investimentos_Porcent[[#This Row],[Nome]],Table_Investimentos_Main[Data]&amp;Table_Investimentos_Main[Nome],Table_Investimentos_Main[Estratégia],"NOT FOUND")</f>
        <v>0</v>
      </c>
      <c r="H226" s="5" t="str" cm="1">
        <f t="array" ref="H226">_xlfn.XLOOKUP(Table_Investimentos_Porcent[[#This Row],[Data]]&amp;Table_Investimentos_Porcent[[#This Row],[Nome]],Table_Investimentos_Main[Data]&amp;Table_Investimentos_Main[Nome],Table_Investimentos_Main[Moeda Base],"NOT FOUND")</f>
        <v>BTC</v>
      </c>
      <c r="I226" s="69">
        <v>1</v>
      </c>
      <c r="J226" s="18" cm="1">
        <f t="array" ref="J226">Table_Investimentos_Porcent[[#This Row],[Porcentagem]]*_xlfn.XLOOKUP(Table_Investimentos_Porcent[[#This Row],[Data]]&amp;Table_Investimentos_Porcent[[#This Row],[Nome]],Table_Investimentos_Main[Data]&amp;Table_Investimentos_Main[Nome],Table_Investimentos_Main[Total (R$)],"NOT FOUND")</f>
        <v>134672.82172459998</v>
      </c>
      <c r="K226" s="80" cm="1">
        <f t="array" ref="K226">Table_Investimentos_Porcent[[#This Row],[Total (R$)]]/_xlfn.XLOOKUP(Table_Investimentos_Porcent[[#This Row],[Data]]&amp;Table_Investimentos_Porcent[[#This Row],[Nome]],Table_Investimentos_Main[Data]&amp;Table_Investimentos_Main[Nome],Table_Investimentos_Main[Cotação Dolar],"NOT FOUND")</f>
        <v>25225.77064165433</v>
      </c>
      <c r="O226" s="3"/>
      <c r="P226" s="3"/>
      <c r="Q226" s="3"/>
      <c r="V226" s="5"/>
      <c r="W226" s="5"/>
    </row>
    <row r="227" spans="2:23" x14ac:dyDescent="0.2">
      <c r="B227" s="8">
        <v>45992</v>
      </c>
      <c r="C227" s="34" t="s">
        <v>42</v>
      </c>
      <c r="D227" s="5" t="s">
        <v>20</v>
      </c>
      <c r="E227" s="5"/>
      <c r="F227" s="5"/>
      <c r="G227" s="5" cm="1">
        <f t="array" ref="G227">_xlfn.XLOOKUP(Table_Investimentos_Porcent[[#This Row],[Data]]&amp;Table_Investimentos_Porcent[[#This Row],[Nome]],Table_Investimentos_Main[Data]&amp;Table_Investimentos_Main[Nome],Table_Investimentos_Main[Estratégia],"NOT FOUND")</f>
        <v>0</v>
      </c>
      <c r="H227" s="5" t="str" cm="1">
        <f t="array" ref="H227">_xlfn.XLOOKUP(Table_Investimentos_Porcent[[#This Row],[Data]]&amp;Table_Investimentos_Porcent[[#This Row],[Nome]],Table_Investimentos_Main[Data]&amp;Table_Investimentos_Main[Nome],Table_Investimentos_Main[Moeda Base],"NOT FOUND")</f>
        <v>BTC</v>
      </c>
      <c r="I227" s="69">
        <v>1</v>
      </c>
      <c r="J227" s="18" cm="1">
        <f t="array" ref="J227">Table_Investimentos_Porcent[[#This Row],[Porcentagem]]*_xlfn.XLOOKUP(Table_Investimentos_Porcent[[#This Row],[Data]]&amp;Table_Investimentos_Porcent[[#This Row],[Nome]],Table_Investimentos_Main[Data]&amp;Table_Investimentos_Main[Nome],Table_Investimentos_Main[Total (R$)],"NOT FOUND")</f>
        <v>5786.9796207000009</v>
      </c>
      <c r="K227" s="80" cm="1">
        <f t="array" ref="K227">Table_Investimentos_Porcent[[#This Row],[Total (R$)]]/_xlfn.XLOOKUP(Table_Investimentos_Porcent[[#This Row],[Data]]&amp;Table_Investimentos_Porcent[[#This Row],[Nome]],Table_Investimentos_Main[Data]&amp;Table_Investimentos_Main[Nome],Table_Investimentos_Main[Cotação Dolar],"NOT FOUND")</f>
        <v>1083.9679361455037</v>
      </c>
      <c r="O227" s="3"/>
      <c r="P227" s="3"/>
      <c r="Q227" s="3"/>
      <c r="V227" s="5"/>
      <c r="W227" s="5"/>
    </row>
    <row r="228" spans="2:23" x14ac:dyDescent="0.2">
      <c r="B228" s="8">
        <v>45992</v>
      </c>
      <c r="C228" s="34" t="s">
        <v>55</v>
      </c>
      <c r="D228" s="5" t="s">
        <v>36</v>
      </c>
      <c r="E228" s="5"/>
      <c r="F228" s="5"/>
      <c r="G228" s="5" cm="1">
        <f t="array" ref="G228">_xlfn.XLOOKUP(Table_Investimentos_Porcent[[#This Row],[Data]]&amp;Table_Investimentos_Porcent[[#This Row],[Nome]],Table_Investimentos_Main[Data]&amp;Table_Investimentos_Main[Nome],Table_Investimentos_Main[Estratégia],"NOT FOUND")</f>
        <v>0</v>
      </c>
      <c r="H228" s="5" t="str" cm="1">
        <f t="array" ref="H228">_xlfn.XLOOKUP(Table_Investimentos_Porcent[[#This Row],[Data]]&amp;Table_Investimentos_Porcent[[#This Row],[Nome]],Table_Investimentos_Main[Data]&amp;Table_Investimentos_Main[Nome],Table_Investimentos_Main[Moeda Base],"NOT FOUND")</f>
        <v>USD</v>
      </c>
      <c r="I228" s="69">
        <v>1</v>
      </c>
      <c r="J228" s="18" cm="1">
        <f t="array" ref="J228">Table_Investimentos_Porcent[[#This Row],[Porcentagem]]*_xlfn.XLOOKUP(Table_Investimentos_Porcent[[#This Row],[Data]]&amp;Table_Investimentos_Porcent[[#This Row],[Nome]],Table_Investimentos_Main[Data]&amp;Table_Investimentos_Main[Nome],Table_Investimentos_Main[Total (R$)],"NOT FOUND")</f>
        <v>3074.1663759312601</v>
      </c>
      <c r="K228" s="80" cm="1">
        <f t="array" ref="K228">Table_Investimentos_Porcent[[#This Row],[Total (R$)]]/_xlfn.XLOOKUP(Table_Investimentos_Porcent[[#This Row],[Data]]&amp;Table_Investimentos_Porcent[[#This Row],[Nome]],Table_Investimentos_Main[Data]&amp;Table_Investimentos_Main[Nome],Table_Investimentos_Main[Cotação Dolar],"NOT FOUND")</f>
        <v>575.82676979999997</v>
      </c>
      <c r="O228" s="3"/>
      <c r="P228" s="3"/>
      <c r="Q228" s="3"/>
      <c r="V228" s="5"/>
      <c r="W228" s="5"/>
    </row>
    <row r="229" spans="2:23" x14ac:dyDescent="0.2">
      <c r="B229" s="8">
        <v>45992</v>
      </c>
      <c r="C229" s="34" t="s">
        <v>70</v>
      </c>
      <c r="D229" s="5" t="s">
        <v>23</v>
      </c>
      <c r="E229" s="5"/>
      <c r="F229" s="5"/>
      <c r="G229" s="5" cm="1">
        <f t="array" ref="G229">_xlfn.XLOOKUP(Table_Investimentos_Porcent[[#This Row],[Data]]&amp;Table_Investimentos_Porcent[[#This Row],[Nome]],Table_Investimentos_Main[Data]&amp;Table_Investimentos_Main[Nome],Table_Investimentos_Main[Estratégia],"NOT FOUND")</f>
        <v>0</v>
      </c>
      <c r="H229" s="5" t="str" cm="1">
        <f t="array" ref="H229">_xlfn.XLOOKUP(Table_Investimentos_Porcent[[#This Row],[Data]]&amp;Table_Investimentos_Porcent[[#This Row],[Nome]],Table_Investimentos_Main[Data]&amp;Table_Investimentos_Main[Nome],Table_Investimentos_Main[Moeda Base],"NOT FOUND")</f>
        <v>USD</v>
      </c>
      <c r="I229" s="69">
        <v>1</v>
      </c>
      <c r="J229" s="18" cm="1">
        <f t="array" ref="J229">Table_Investimentos_Porcent[[#This Row],[Porcentagem]]*_xlfn.XLOOKUP(Table_Investimentos_Porcent[[#This Row],[Data]]&amp;Table_Investimentos_Porcent[[#This Row],[Nome]],Table_Investimentos_Main[Data]&amp;Table_Investimentos_Main[Nome],Table_Investimentos_Main[Total (R$)],"NOT FOUND")</f>
        <v>6218.7385439218269</v>
      </c>
      <c r="K229" s="80" cm="1">
        <f t="array" ref="K229">Table_Investimentos_Porcent[[#This Row],[Total (R$)]]/_xlfn.XLOOKUP(Table_Investimentos_Porcent[[#This Row],[Data]]&amp;Table_Investimentos_Porcent[[#This Row],[Nome]],Table_Investimentos_Main[Data]&amp;Table_Investimentos_Main[Nome],Table_Investimentos_Main[Cotação Dolar],"NOT FOUND")</f>
        <v>1164.8413553715</v>
      </c>
      <c r="O229" s="3"/>
      <c r="P229" s="3"/>
      <c r="Q229" s="3"/>
      <c r="V229" s="5"/>
      <c r="W229" s="5"/>
    </row>
    <row r="230" spans="2:23" x14ac:dyDescent="0.2">
      <c r="B230" s="8">
        <v>45992</v>
      </c>
      <c r="C230" s="34" t="s">
        <v>51</v>
      </c>
      <c r="D230" s="5" t="s">
        <v>36</v>
      </c>
      <c r="E230" s="5"/>
      <c r="F230" s="5"/>
      <c r="G230" s="5" cm="1">
        <f t="array" ref="G230">_xlfn.XLOOKUP(Table_Investimentos_Porcent[[#This Row],[Data]]&amp;Table_Investimentos_Porcent[[#This Row],[Nome]],Table_Investimentos_Main[Data]&amp;Table_Investimentos_Main[Nome],Table_Investimentos_Main[Estratégia],"NOT FOUND")</f>
        <v>0</v>
      </c>
      <c r="H230" s="5" t="str" cm="1">
        <f t="array" ref="H230">_xlfn.XLOOKUP(Table_Investimentos_Porcent[[#This Row],[Data]]&amp;Table_Investimentos_Porcent[[#This Row],[Nome]],Table_Investimentos_Main[Data]&amp;Table_Investimentos_Main[Nome],Table_Investimentos_Main[Moeda Base],"NOT FOUND")</f>
        <v>USD</v>
      </c>
      <c r="I230" s="69">
        <v>1</v>
      </c>
      <c r="J230" s="18" cm="1">
        <f t="array" ref="J230">Table_Investimentos_Porcent[[#This Row],[Porcentagem]]*_xlfn.XLOOKUP(Table_Investimentos_Porcent[[#This Row],[Data]]&amp;Table_Investimentos_Porcent[[#This Row],[Nome]],Table_Investimentos_Main[Data]&amp;Table_Investimentos_Main[Nome],Table_Investimentos_Main[Total (R$)],"NOT FOUND")</f>
        <v>5871.1153240504273</v>
      </c>
      <c r="K230" s="80" cm="1">
        <f t="array" ref="K230">Table_Investimentos_Porcent[[#This Row],[Total (R$)]]/_xlfn.XLOOKUP(Table_Investimentos_Porcent[[#This Row],[Data]]&amp;Table_Investimentos_Porcent[[#This Row],[Nome]],Table_Investimentos_Main[Data]&amp;Table_Investimentos_Main[Nome],Table_Investimentos_Main[Cotação Dolar],"NOT FOUND")</f>
        <v>1099.7275224399998</v>
      </c>
      <c r="O230" s="3"/>
      <c r="P230" s="3"/>
      <c r="Q230" s="3"/>
      <c r="V230" s="5"/>
      <c r="W230" s="5"/>
    </row>
    <row r="231" spans="2:23" x14ac:dyDescent="0.2">
      <c r="B231" s="8">
        <v>45992</v>
      </c>
      <c r="C231" s="34" t="s">
        <v>74</v>
      </c>
      <c r="D231" s="5" t="s">
        <v>17</v>
      </c>
      <c r="E231" s="5"/>
      <c r="F231" s="5"/>
      <c r="G231" s="5" cm="1">
        <f t="array" ref="G231">_xlfn.XLOOKUP(Table_Investimentos_Porcent[[#This Row],[Data]]&amp;Table_Investimentos_Porcent[[#This Row],[Nome]],Table_Investimentos_Main[Data]&amp;Table_Investimentos_Main[Nome],Table_Investimentos_Main[Estratégia],"NOT FOUND")</f>
        <v>0</v>
      </c>
      <c r="H231" s="5" t="str" cm="1">
        <f t="array" ref="H231">_xlfn.XLOOKUP(Table_Investimentos_Porcent[[#This Row],[Data]]&amp;Table_Investimentos_Porcent[[#This Row],[Nome]],Table_Investimentos_Main[Data]&amp;Table_Investimentos_Main[Nome],Table_Investimentos_Main[Moeda Base],"NOT FOUND")</f>
        <v>BRL</v>
      </c>
      <c r="I231" s="69">
        <v>1</v>
      </c>
      <c r="J231" s="18" cm="1">
        <f t="array" ref="J231">Table_Investimentos_Porcent[[#This Row],[Porcentagem]]*_xlfn.XLOOKUP(Table_Investimentos_Porcent[[#This Row],[Data]]&amp;Table_Investimentos_Porcent[[#This Row],[Nome]],Table_Investimentos_Main[Data]&amp;Table_Investimentos_Main[Nome],Table_Investimentos_Main[Total (R$)],"NOT FOUND")</f>
        <v>11392.44</v>
      </c>
      <c r="K231" s="80" cm="1">
        <f t="array" ref="K231">Table_Investimentos_Porcent[[#This Row],[Total (R$)]]/_xlfn.XLOOKUP(Table_Investimentos_Porcent[[#This Row],[Data]]&amp;Table_Investimentos_Porcent[[#This Row],[Nome]],Table_Investimentos_Main[Data]&amp;Table_Investimentos_Main[Nome],Table_Investimentos_Main[Cotação Dolar],"NOT FOUND")</f>
        <v>2133.9352276771497</v>
      </c>
      <c r="O231" s="3"/>
      <c r="P231" s="3"/>
      <c r="Q231" s="3"/>
      <c r="V231" s="5"/>
      <c r="W231" s="5"/>
    </row>
    <row r="232" spans="2:23" x14ac:dyDescent="0.2">
      <c r="B232" s="8">
        <v>45992</v>
      </c>
      <c r="C232" s="34" t="s">
        <v>58</v>
      </c>
      <c r="D232" s="5" t="s">
        <v>17</v>
      </c>
      <c r="E232" s="5"/>
      <c r="F232" s="5"/>
      <c r="G232" s="5" cm="1">
        <f t="array" ref="G232">_xlfn.XLOOKUP(Table_Investimentos_Porcent[[#This Row],[Data]]&amp;Table_Investimentos_Porcent[[#This Row],[Nome]],Table_Investimentos_Main[Data]&amp;Table_Investimentos_Main[Nome],Table_Investimentos_Main[Estratégia],"NOT FOUND")</f>
        <v>0</v>
      </c>
      <c r="H232" s="5" t="str" cm="1">
        <f t="array" ref="H232">_xlfn.XLOOKUP(Table_Investimentos_Porcent[[#This Row],[Data]]&amp;Table_Investimentos_Porcent[[#This Row],[Nome]],Table_Investimentos_Main[Data]&amp;Table_Investimentos_Main[Nome],Table_Investimentos_Main[Moeda Base],"NOT FOUND")</f>
        <v>BRL</v>
      </c>
      <c r="I232" s="69">
        <v>1</v>
      </c>
      <c r="J232" s="18" cm="1">
        <f t="array" ref="J232">Table_Investimentos_Porcent[[#This Row],[Porcentagem]]*_xlfn.XLOOKUP(Table_Investimentos_Porcent[[#This Row],[Data]]&amp;Table_Investimentos_Porcent[[#This Row],[Nome]],Table_Investimentos_Main[Data]&amp;Table_Investimentos_Main[Nome],Table_Investimentos_Main[Total (R$)],"NOT FOUND")</f>
        <v>5341.55</v>
      </c>
      <c r="K232" s="80" cm="1">
        <f t="array" ref="K232">Table_Investimentos_Porcent[[#This Row],[Total (R$)]]/_xlfn.XLOOKUP(Table_Investimentos_Porcent[[#This Row],[Data]]&amp;Table_Investimentos_Porcent[[#This Row],[Nome]],Table_Investimentos_Main[Data]&amp;Table_Investimentos_Main[Nome],Table_Investimentos_Main[Cotação Dolar],"NOT FOUND")</f>
        <v>1000.5338378256879</v>
      </c>
      <c r="O232" s="3"/>
      <c r="P232" s="3"/>
      <c r="Q232" s="3"/>
      <c r="V232" s="5"/>
      <c r="W232" s="5"/>
    </row>
    <row r="233" spans="2:23" x14ac:dyDescent="0.2">
      <c r="B233" s="8">
        <v>45992</v>
      </c>
      <c r="C233" s="34" t="s">
        <v>69</v>
      </c>
      <c r="D233" s="5" t="s">
        <v>20</v>
      </c>
      <c r="E233" s="5"/>
      <c r="F233" s="5"/>
      <c r="G233" s="5" cm="1">
        <f t="array" ref="G233">_xlfn.XLOOKUP(Table_Investimentos_Porcent[[#This Row],[Data]]&amp;Table_Investimentos_Porcent[[#This Row],[Nome]],Table_Investimentos_Main[Data]&amp;Table_Investimentos_Main[Nome],Table_Investimentos_Main[Estratégia],"NOT FOUND")</f>
        <v>0</v>
      </c>
      <c r="H233" s="5" t="str" cm="1">
        <f t="array" ref="H233">_xlfn.XLOOKUP(Table_Investimentos_Porcent[[#This Row],[Data]]&amp;Table_Investimentos_Porcent[[#This Row],[Nome]],Table_Investimentos_Main[Data]&amp;Table_Investimentos_Main[Nome],Table_Investimentos_Main[Moeda Base],"NOT FOUND")</f>
        <v>BRL</v>
      </c>
      <c r="I233" s="69">
        <v>1</v>
      </c>
      <c r="J233" s="18" cm="1">
        <f t="array" ref="J233">Table_Investimentos_Porcent[[#This Row],[Porcentagem]]*_xlfn.XLOOKUP(Table_Investimentos_Porcent[[#This Row],[Data]]&amp;Table_Investimentos_Porcent[[#This Row],[Nome]],Table_Investimentos_Main[Data]&amp;Table_Investimentos_Main[Nome],Table_Investimentos_Main[Total (R$)],"NOT FOUND")</f>
        <v>11997.619999999999</v>
      </c>
      <c r="K233" s="80" cm="1">
        <f t="array" ref="K233">Table_Investimentos_Porcent[[#This Row],[Total (R$)]]/_xlfn.XLOOKUP(Table_Investimentos_Porcent[[#This Row],[Data]]&amp;Table_Investimentos_Porcent[[#This Row],[Nome]],Table_Investimentos_Main[Data]&amp;Table_Investimentos_Main[Nome],Table_Investimentos_Main[Cotação Dolar],"NOT FOUND")</f>
        <v>2247.2924120104144</v>
      </c>
      <c r="O233" s="3"/>
      <c r="P233" s="3"/>
      <c r="Q233" s="3"/>
      <c r="V233" s="5"/>
      <c r="W233" s="5"/>
    </row>
    <row r="234" spans="2:23" x14ac:dyDescent="0.2">
      <c r="B234" s="8">
        <v>45992</v>
      </c>
      <c r="C234" s="34" t="s">
        <v>49</v>
      </c>
      <c r="D234" s="5" t="s">
        <v>13</v>
      </c>
      <c r="E234" s="5"/>
      <c r="F234" s="5"/>
      <c r="G234" s="5" cm="1">
        <f t="array" ref="G234">_xlfn.XLOOKUP(Table_Investimentos_Porcent[[#This Row],[Data]]&amp;Table_Investimentos_Porcent[[#This Row],[Nome]],Table_Investimentos_Main[Data]&amp;Table_Investimentos_Main[Nome],Table_Investimentos_Main[Estratégia],"NOT FOUND")</f>
        <v>0</v>
      </c>
      <c r="H234" s="5" t="str" cm="1">
        <f t="array" ref="H234">_xlfn.XLOOKUP(Table_Investimentos_Porcent[[#This Row],[Data]]&amp;Table_Investimentos_Porcent[[#This Row],[Nome]],Table_Investimentos_Main[Data]&amp;Table_Investimentos_Main[Nome],Table_Investimentos_Main[Moeda Base],"NOT FOUND")</f>
        <v>USD</v>
      </c>
      <c r="I234" s="69">
        <v>1</v>
      </c>
      <c r="J234" s="18" cm="1">
        <f t="array" ref="J234">Table_Investimentos_Porcent[[#This Row],[Porcentagem]]*_xlfn.XLOOKUP(Table_Investimentos_Porcent[[#This Row],[Data]]&amp;Table_Investimentos_Porcent[[#This Row],[Nome]],Table_Investimentos_Main[Data]&amp;Table_Investimentos_Main[Nome],Table_Investimentos_Main[Total (R$)],"NOT FOUND")</f>
        <v>4364.3834499999994</v>
      </c>
      <c r="K234" s="80" cm="1">
        <f t="array" ref="K234">Table_Investimentos_Porcent[[#This Row],[Total (R$)]]/_xlfn.XLOOKUP(Table_Investimentos_Porcent[[#This Row],[Data]]&amp;Table_Investimentos_Porcent[[#This Row],[Nome]],Table_Investimentos_Main[Data]&amp;Table_Investimentos_Main[Nome],Table_Investimentos_Main[Cotação Dolar],"NOT FOUND")</f>
        <v>817.49928821623223</v>
      </c>
      <c r="O234" s="3"/>
      <c r="P234" s="3"/>
      <c r="Q234" s="3"/>
      <c r="V234" s="5"/>
      <c r="W234" s="5"/>
    </row>
    <row r="235" spans="2:23" x14ac:dyDescent="0.2">
      <c r="B235" s="8">
        <v>45992</v>
      </c>
      <c r="C235" s="34" t="s">
        <v>68</v>
      </c>
      <c r="D235" s="5" t="s">
        <v>20</v>
      </c>
      <c r="E235" s="5"/>
      <c r="F235" s="5"/>
      <c r="G235" s="5" cm="1">
        <f t="array" ref="G235">_xlfn.XLOOKUP(Table_Investimentos_Porcent[[#This Row],[Data]]&amp;Table_Investimentos_Porcent[[#This Row],[Nome]],Table_Investimentos_Main[Data]&amp;Table_Investimentos_Main[Nome],Table_Investimentos_Main[Estratégia],"NOT FOUND")</f>
        <v>0</v>
      </c>
      <c r="H235" s="5" t="str" cm="1">
        <f t="array" ref="H235">_xlfn.XLOOKUP(Table_Investimentos_Porcent[[#This Row],[Data]]&amp;Table_Investimentos_Porcent[[#This Row],[Nome]],Table_Investimentos_Main[Data]&amp;Table_Investimentos_Main[Nome],Table_Investimentos_Main[Moeda Base],"NOT FOUND")</f>
        <v>BRL</v>
      </c>
      <c r="I235" s="69">
        <v>1</v>
      </c>
      <c r="J235" s="18" cm="1">
        <f t="array" ref="J235">Table_Investimentos_Porcent[[#This Row],[Porcentagem]]*_xlfn.XLOOKUP(Table_Investimentos_Porcent[[#This Row],[Data]]&amp;Table_Investimentos_Porcent[[#This Row],[Nome]],Table_Investimentos_Main[Data]&amp;Table_Investimentos_Main[Nome],Table_Investimentos_Main[Total (R$)],"NOT FOUND")</f>
        <v>11106.13</v>
      </c>
      <c r="K235" s="80" cm="1">
        <f t="array" ref="K235">Table_Investimentos_Porcent[[#This Row],[Total (R$)]]/_xlfn.XLOOKUP(Table_Investimentos_Porcent[[#This Row],[Data]]&amp;Table_Investimentos_Porcent[[#This Row],[Nome]],Table_Investimentos_Main[Data]&amp;Table_Investimentos_Main[Nome],Table_Investimentos_Main[Cotação Dolar],"NOT FOUND")</f>
        <v>2080.3060670200607</v>
      </c>
      <c r="O235" s="3"/>
      <c r="P235" s="3"/>
      <c r="Q235" s="3"/>
      <c r="V235" s="5"/>
      <c r="W235" s="5"/>
    </row>
    <row r="236" spans="2:23" x14ac:dyDescent="0.2">
      <c r="B236" s="8">
        <v>45992</v>
      </c>
      <c r="C236" s="34" t="s">
        <v>64</v>
      </c>
      <c r="D236" s="5" t="s">
        <v>17</v>
      </c>
      <c r="E236" s="5"/>
      <c r="F236" s="5"/>
      <c r="G236" s="5" cm="1">
        <f t="array" ref="G236">_xlfn.XLOOKUP(Table_Investimentos_Porcent[[#This Row],[Data]]&amp;Table_Investimentos_Porcent[[#This Row],[Nome]],Table_Investimentos_Main[Data]&amp;Table_Investimentos_Main[Nome],Table_Investimentos_Main[Estratégia],"NOT FOUND")</f>
        <v>0</v>
      </c>
      <c r="H236" s="5" t="str" cm="1">
        <f t="array" ref="H236">_xlfn.XLOOKUP(Table_Investimentos_Porcent[[#This Row],[Data]]&amp;Table_Investimentos_Porcent[[#This Row],[Nome]],Table_Investimentos_Main[Data]&amp;Table_Investimentos_Main[Nome],Table_Investimentos_Main[Moeda Base],"NOT FOUND")</f>
        <v>USD</v>
      </c>
      <c r="I236" s="69">
        <v>1</v>
      </c>
      <c r="J236" s="18" cm="1">
        <f t="array" ref="J236">Table_Investimentos_Porcent[[#This Row],[Porcentagem]]*_xlfn.XLOOKUP(Table_Investimentos_Porcent[[#This Row],[Data]]&amp;Table_Investimentos_Porcent[[#This Row],[Nome]],Table_Investimentos_Main[Data]&amp;Table_Investimentos_Main[Nome],Table_Investimentos_Main[Total (R$)],"NOT FOUND")</f>
        <v>4868.0935950000003</v>
      </c>
      <c r="K236" s="80" cm="1">
        <f t="array" ref="K236">Table_Investimentos_Porcent[[#This Row],[Total (R$)]]/_xlfn.XLOOKUP(Table_Investimentos_Porcent[[#This Row],[Data]]&amp;Table_Investimentos_Porcent[[#This Row],[Nome]],Table_Investimentos_Main[Data]&amp;Table_Investimentos_Main[Nome],Table_Investimentos_Main[Cotação Dolar],"NOT FOUND")</f>
        <v>911.85</v>
      </c>
      <c r="O236" s="3"/>
      <c r="P236" s="3"/>
      <c r="Q236" s="3"/>
      <c r="V236" s="5"/>
      <c r="W236" s="5"/>
    </row>
    <row r="237" spans="2:23" x14ac:dyDescent="0.2">
      <c r="B237" s="8">
        <v>45992</v>
      </c>
      <c r="C237" s="34" t="s">
        <v>44</v>
      </c>
      <c r="D237" s="5" t="s">
        <v>17</v>
      </c>
      <c r="E237" s="5"/>
      <c r="F237" s="5"/>
      <c r="G237" s="5" cm="1">
        <f t="array" ref="G237">_xlfn.XLOOKUP(Table_Investimentos_Porcent[[#This Row],[Data]]&amp;Table_Investimentos_Porcent[[#This Row],[Nome]],Table_Investimentos_Main[Data]&amp;Table_Investimentos_Main[Nome],Table_Investimentos_Main[Estratégia],"NOT FOUND")</f>
        <v>0</v>
      </c>
      <c r="H237" s="5" t="str" cm="1">
        <f t="array" ref="H237">_xlfn.XLOOKUP(Table_Investimentos_Porcent[[#This Row],[Data]]&amp;Table_Investimentos_Porcent[[#This Row],[Nome]],Table_Investimentos_Main[Data]&amp;Table_Investimentos_Main[Nome],Table_Investimentos_Main[Moeda Base],"NOT FOUND")</f>
        <v>USD</v>
      </c>
      <c r="I237" s="69">
        <v>1</v>
      </c>
      <c r="J237" s="18" cm="1">
        <f t="array" ref="J237">Table_Investimentos_Porcent[[#This Row],[Porcentagem]]*_xlfn.XLOOKUP(Table_Investimentos_Porcent[[#This Row],[Data]]&amp;Table_Investimentos_Porcent[[#This Row],[Nome]],Table_Investimentos_Main[Data]&amp;Table_Investimentos_Main[Nome],Table_Investimentos_Main[Total (R$)],"NOT FOUND")</f>
        <v>8965.0119750000013</v>
      </c>
      <c r="K237" s="80" cm="1">
        <f t="array" ref="K237">Table_Investimentos_Porcent[[#This Row],[Total (R$)]]/_xlfn.XLOOKUP(Table_Investimentos_Porcent[[#This Row],[Data]]&amp;Table_Investimentos_Porcent[[#This Row],[Nome]],Table_Investimentos_Main[Data]&amp;Table_Investimentos_Main[Nome],Table_Investimentos_Main[Cotação Dolar],"NOT FOUND")</f>
        <v>1679.2500000000002</v>
      </c>
      <c r="O237" s="3"/>
      <c r="P237" s="3"/>
      <c r="Q237" s="3"/>
      <c r="V237" s="5"/>
      <c r="W237" s="5"/>
    </row>
    <row r="238" spans="2:23" x14ac:dyDescent="0.2">
      <c r="B238" s="8">
        <v>45992</v>
      </c>
      <c r="C238" s="34" t="s">
        <v>21</v>
      </c>
      <c r="D238" s="5" t="s">
        <v>17</v>
      </c>
      <c r="E238" s="5"/>
      <c r="F238" s="5"/>
      <c r="G238" s="5" cm="1">
        <f t="array" ref="G238">_xlfn.XLOOKUP(Table_Investimentos_Porcent[[#This Row],[Data]]&amp;Table_Investimentos_Porcent[[#This Row],[Nome]],Table_Investimentos_Main[Data]&amp;Table_Investimentos_Main[Nome],Table_Investimentos_Main[Estratégia],"NOT FOUND")</f>
        <v>0</v>
      </c>
      <c r="H238" s="5" t="str" cm="1">
        <f t="array" ref="H238">_xlfn.XLOOKUP(Table_Investimentos_Porcent[[#This Row],[Data]]&amp;Table_Investimentos_Porcent[[#This Row],[Nome]],Table_Investimentos_Main[Data]&amp;Table_Investimentos_Main[Nome],Table_Investimentos_Main[Moeda Base],"NOT FOUND")</f>
        <v>USD</v>
      </c>
      <c r="I238" s="69">
        <v>1</v>
      </c>
      <c r="J238" s="18" cm="1">
        <f t="array" ref="J238">Table_Investimentos_Porcent[[#This Row],[Porcentagem]]*_xlfn.XLOOKUP(Table_Investimentos_Porcent[[#This Row],[Data]]&amp;Table_Investimentos_Porcent[[#This Row],[Nome]],Table_Investimentos_Main[Data]&amp;Table_Investimentos_Main[Nome],Table_Investimentos_Main[Total (R$)],"NOT FOUND")</f>
        <v>552.28851500000007</v>
      </c>
      <c r="K238" s="80" cm="1">
        <f t="array" ref="K238">Table_Investimentos_Porcent[[#This Row],[Total (R$)]]/_xlfn.XLOOKUP(Table_Investimentos_Porcent[[#This Row],[Data]]&amp;Table_Investimentos_Porcent[[#This Row],[Nome]],Table_Investimentos_Main[Data]&amp;Table_Investimentos_Main[Nome],Table_Investimentos_Main[Cotação Dolar],"NOT FOUND")</f>
        <v>103.45</v>
      </c>
      <c r="O238" s="3"/>
      <c r="P238" s="3"/>
      <c r="Q238" s="3"/>
      <c r="V238" s="5"/>
      <c r="W238" s="5"/>
    </row>
    <row r="239" spans="2:23" x14ac:dyDescent="0.2">
      <c r="B239" s="8">
        <v>46023</v>
      </c>
      <c r="C239" s="34" t="s">
        <v>44</v>
      </c>
      <c r="D239" s="5" t="s">
        <v>17</v>
      </c>
      <c r="E239" s="5"/>
      <c r="F239" s="5"/>
      <c r="G239" s="5" cm="1">
        <f t="array" ref="G239">_xlfn.XLOOKUP(Table_Investimentos_Porcent[[#This Row],[Data]]&amp;Table_Investimentos_Porcent[[#This Row],[Nome]],Table_Investimentos_Main[Data]&amp;Table_Investimentos_Main[Nome],Table_Investimentos_Main[Estratégia],"NOT FOUND")</f>
        <v>0</v>
      </c>
      <c r="H239" s="5" t="str" cm="1">
        <f t="array" ref="H239">_xlfn.XLOOKUP(Table_Investimentos_Porcent[[#This Row],[Data]]&amp;Table_Investimentos_Porcent[[#This Row],[Nome]],Table_Investimentos_Main[Data]&amp;Table_Investimentos_Main[Nome],Table_Investimentos_Main[Moeda Base],"NOT FOUND")</f>
        <v>USD</v>
      </c>
      <c r="I239" s="69">
        <v>1</v>
      </c>
      <c r="J239" s="18" cm="1">
        <f t="array" ref="J239">Table_Investimentos_Porcent[[#This Row],[Porcentagem]]*_xlfn.XLOOKUP(Table_Investimentos_Porcent[[#This Row],[Data]]&amp;Table_Investimentos_Porcent[[#This Row],[Nome]],Table_Investimentos_Main[Data]&amp;Table_Investimentos_Main[Nome],Table_Investimentos_Main[Total (R$)],"NOT FOUND")</f>
        <v>8780.4238720000012</v>
      </c>
      <c r="K239" s="80" cm="1">
        <f t="array" ref="K239">Table_Investimentos_Porcent[[#This Row],[Total (R$)]]/_xlfn.XLOOKUP(Table_Investimentos_Porcent[[#This Row],[Data]]&amp;Table_Investimentos_Porcent[[#This Row],[Nome]],Table_Investimentos_Main[Data]&amp;Table_Investimentos_Main[Nome],Table_Investimentos_Main[Cotação Dolar],"NOT FOUND")</f>
        <v>1683.88</v>
      </c>
      <c r="O239" s="3"/>
      <c r="P239" s="3"/>
      <c r="Q239" s="3"/>
      <c r="V239" s="5"/>
      <c r="W239" s="5"/>
    </row>
    <row r="240" spans="2:23" x14ac:dyDescent="0.2">
      <c r="B240" s="8">
        <v>46023</v>
      </c>
      <c r="C240" s="34" t="s">
        <v>42</v>
      </c>
      <c r="D240" s="5" t="s">
        <v>13</v>
      </c>
      <c r="E240" s="5"/>
      <c r="F240" s="5"/>
      <c r="G240" s="5" cm="1">
        <f t="array" ref="G240">_xlfn.XLOOKUP(Table_Investimentos_Porcent[[#This Row],[Data]]&amp;Table_Investimentos_Porcent[[#This Row],[Nome]],Table_Investimentos_Main[Data]&amp;Table_Investimentos_Main[Nome],Table_Investimentos_Main[Estratégia],"NOT FOUND")</f>
        <v>0</v>
      </c>
      <c r="H240" s="5" t="str" cm="1">
        <f t="array" ref="H240">_xlfn.XLOOKUP(Table_Investimentos_Porcent[[#This Row],[Data]]&amp;Table_Investimentos_Porcent[[#This Row],[Nome]],Table_Investimentos_Main[Data]&amp;Table_Investimentos_Main[Nome],Table_Investimentos_Main[Moeda Base],"NOT FOUND")</f>
        <v>BTC</v>
      </c>
      <c r="I240" s="69">
        <v>1</v>
      </c>
      <c r="J240" s="18" cm="1">
        <f t="array" ref="J240">Table_Investimentos_Porcent[[#This Row],[Porcentagem]]*_xlfn.XLOOKUP(Table_Investimentos_Porcent[[#This Row],[Data]]&amp;Table_Investimentos_Porcent[[#This Row],[Nome]],Table_Investimentos_Main[Data]&amp;Table_Investimentos_Main[Nome],Table_Investimentos_Main[Total (R$)],"NOT FOUND")</f>
        <v>5603.7565734</v>
      </c>
      <c r="K240" s="80" cm="1">
        <f t="array" ref="K240">Table_Investimentos_Porcent[[#This Row],[Total (R$)]]/_xlfn.XLOOKUP(Table_Investimentos_Porcent[[#This Row],[Data]]&amp;Table_Investimentos_Porcent[[#This Row],[Nome]],Table_Investimentos_Main[Data]&amp;Table_Investimentos_Main[Nome],Table_Investimentos_Main[Cotação Dolar],"NOT FOUND")</f>
        <v>1074.6694870742558</v>
      </c>
      <c r="O240" s="3"/>
      <c r="P240" s="3"/>
      <c r="Q240" s="3"/>
      <c r="V240" s="5"/>
      <c r="W240" s="5"/>
    </row>
    <row r="241" spans="2:23" x14ac:dyDescent="0.2">
      <c r="B241" s="8">
        <v>46023</v>
      </c>
      <c r="C241" s="34" t="s">
        <v>49</v>
      </c>
      <c r="D241" s="5" t="s">
        <v>13</v>
      </c>
      <c r="E241" s="5"/>
      <c r="F241" s="5"/>
      <c r="G241" s="5" cm="1">
        <f t="array" ref="G241">_xlfn.XLOOKUP(Table_Investimentos_Porcent[[#This Row],[Data]]&amp;Table_Investimentos_Porcent[[#This Row],[Nome]],Table_Investimentos_Main[Data]&amp;Table_Investimentos_Main[Nome],Table_Investimentos_Main[Estratégia],"NOT FOUND")</f>
        <v>0</v>
      </c>
      <c r="H241" s="5" t="str" cm="1">
        <f t="array" ref="H241">_xlfn.XLOOKUP(Table_Investimentos_Porcent[[#This Row],[Data]]&amp;Table_Investimentos_Porcent[[#This Row],[Nome]],Table_Investimentos_Main[Data]&amp;Table_Investimentos_Main[Nome],Table_Investimentos_Main[Moeda Base],"NOT FOUND")</f>
        <v>USD</v>
      </c>
      <c r="I241" s="69">
        <v>1</v>
      </c>
      <c r="J241" s="18" cm="1">
        <f t="array" ref="J241">Table_Investimentos_Porcent[[#This Row],[Porcentagem]]*_xlfn.XLOOKUP(Table_Investimentos_Porcent[[#This Row],[Data]]&amp;Table_Investimentos_Porcent[[#This Row],[Nome]],Table_Investimentos_Main[Data]&amp;Table_Investimentos_Main[Nome],Table_Investimentos_Main[Total (R$)],"NOT FOUND")</f>
        <v>3981.2260700000002</v>
      </c>
      <c r="K241" s="80" cm="1">
        <f t="array" ref="K241">Table_Investimentos_Porcent[[#This Row],[Total (R$)]]/_xlfn.XLOOKUP(Table_Investimentos_Porcent[[#This Row],[Data]]&amp;Table_Investimentos_Porcent[[#This Row],[Nome]],Table_Investimentos_Main[Data]&amp;Table_Investimentos_Main[Nome],Table_Investimentos_Main[Cotação Dolar],"NOT FOUND")</f>
        <v>763.50607356551086</v>
      </c>
      <c r="O241" s="3"/>
      <c r="P241" s="3"/>
      <c r="Q241" s="3"/>
      <c r="V241" s="5"/>
      <c r="W241" s="5"/>
    </row>
    <row r="242" spans="2:23" x14ac:dyDescent="0.2">
      <c r="B242" s="8">
        <v>46023</v>
      </c>
      <c r="C242" s="34" t="s">
        <v>21</v>
      </c>
      <c r="D242" s="5" t="s">
        <v>17</v>
      </c>
      <c r="E242" s="5"/>
      <c r="F242" s="5"/>
      <c r="G242" s="5" cm="1">
        <f t="array" ref="G242">_xlfn.XLOOKUP(Table_Investimentos_Porcent[[#This Row],[Data]]&amp;Table_Investimentos_Porcent[[#This Row],[Nome]],Table_Investimentos_Main[Data]&amp;Table_Investimentos_Main[Nome],Table_Investimentos_Main[Estratégia],"NOT FOUND")</f>
        <v>0</v>
      </c>
      <c r="H242" s="5" t="str" cm="1">
        <f t="array" ref="H242">_xlfn.XLOOKUP(Table_Investimentos_Porcent[[#This Row],[Data]]&amp;Table_Investimentos_Porcent[[#This Row],[Nome]],Table_Investimentos_Main[Data]&amp;Table_Investimentos_Main[Nome],Table_Investimentos_Main[Moeda Base],"NOT FOUND")</f>
        <v>USD</v>
      </c>
      <c r="I242" s="69">
        <v>1</v>
      </c>
      <c r="J242" s="18" cm="1">
        <f t="array" ref="J242">Table_Investimentos_Porcent[[#This Row],[Porcentagem]]*_xlfn.XLOOKUP(Table_Investimentos_Porcent[[#This Row],[Data]]&amp;Table_Investimentos_Porcent[[#This Row],[Nome]],Table_Investimentos_Main[Data]&amp;Table_Investimentos_Main[Nome],Table_Investimentos_Main[Total (R$)],"NOT FOUND")</f>
        <v>545.582672</v>
      </c>
      <c r="K242" s="80" cm="1">
        <f t="array" ref="K242">Table_Investimentos_Porcent[[#This Row],[Total (R$)]]/_xlfn.XLOOKUP(Table_Investimentos_Porcent[[#This Row],[Data]]&amp;Table_Investimentos_Porcent[[#This Row],[Nome]],Table_Investimentos_Main[Data]&amp;Table_Investimentos_Main[Nome],Table_Investimentos_Main[Cotação Dolar],"NOT FOUND")</f>
        <v>104.63</v>
      </c>
      <c r="O242" s="3"/>
      <c r="P242" s="3"/>
      <c r="Q242" s="3"/>
      <c r="V242" s="5"/>
      <c r="W242" s="5"/>
    </row>
    <row r="243" spans="2:23" x14ac:dyDescent="0.2">
      <c r="B243" s="8">
        <v>46023</v>
      </c>
      <c r="C243" s="34" t="s">
        <v>55</v>
      </c>
      <c r="D243" s="5" t="s">
        <v>36</v>
      </c>
      <c r="E243" s="5"/>
      <c r="F243" s="5"/>
      <c r="G243" s="5" cm="1">
        <f t="array" ref="G243">_xlfn.XLOOKUP(Table_Investimentos_Porcent[[#This Row],[Data]]&amp;Table_Investimentos_Porcent[[#This Row],[Nome]],Table_Investimentos_Main[Data]&amp;Table_Investimentos_Main[Nome],Table_Investimentos_Main[Estratégia],"NOT FOUND")</f>
        <v>0</v>
      </c>
      <c r="H243" s="5" t="str" cm="1">
        <f t="array" ref="H243">_xlfn.XLOOKUP(Table_Investimentos_Porcent[[#This Row],[Data]]&amp;Table_Investimentos_Porcent[[#This Row],[Nome]],Table_Investimentos_Main[Data]&amp;Table_Investimentos_Main[Nome],Table_Investimentos_Main[Moeda Base],"NOT FOUND")</f>
        <v>USD</v>
      </c>
      <c r="I243" s="69">
        <v>1</v>
      </c>
      <c r="J243" s="18" cm="1">
        <f t="array" ref="J243">Table_Investimentos_Porcent[[#This Row],[Porcentagem]]*_xlfn.XLOOKUP(Table_Investimentos_Porcent[[#This Row],[Data]]&amp;Table_Investimentos_Porcent[[#This Row],[Nome]],Table_Investimentos_Main[Data]&amp;Table_Investimentos_Main[Nome],Table_Investimentos_Main[Total (R$)],"NOT FOUND")</f>
        <v>3235.5644632128001</v>
      </c>
      <c r="K243" s="80" cm="1">
        <f t="array" ref="K243">Table_Investimentos_Porcent[[#This Row],[Total (R$)]]/_xlfn.XLOOKUP(Table_Investimentos_Porcent[[#This Row],[Data]]&amp;Table_Investimentos_Porcent[[#This Row],[Nome]],Table_Investimentos_Main[Data]&amp;Table_Investimentos_Main[Nome],Table_Investimentos_Main[Cotação Dolar],"NOT FOUND")</f>
        <v>620.50561199999993</v>
      </c>
      <c r="O243" s="3"/>
      <c r="P243" s="3"/>
      <c r="Q243" s="3"/>
      <c r="V243" s="5"/>
      <c r="W243" s="5"/>
    </row>
    <row r="244" spans="2:23" x14ac:dyDescent="0.2">
      <c r="B244" s="8">
        <v>46023</v>
      </c>
      <c r="C244" s="34" t="s">
        <v>70</v>
      </c>
      <c r="D244" s="5" t="s">
        <v>23</v>
      </c>
      <c r="E244" s="5"/>
      <c r="F244" s="5"/>
      <c r="G244" s="5" cm="1">
        <f t="array" ref="G244">_xlfn.XLOOKUP(Table_Investimentos_Porcent[[#This Row],[Data]]&amp;Table_Investimentos_Porcent[[#This Row],[Nome]],Table_Investimentos_Main[Data]&amp;Table_Investimentos_Main[Nome],Table_Investimentos_Main[Estratégia],"NOT FOUND")</f>
        <v>0</v>
      </c>
      <c r="H244" s="5" t="str" cm="1">
        <f t="array" ref="H244">_xlfn.XLOOKUP(Table_Investimentos_Porcent[[#This Row],[Data]]&amp;Table_Investimentos_Porcent[[#This Row],[Nome]],Table_Investimentos_Main[Data]&amp;Table_Investimentos_Main[Nome],Table_Investimentos_Main[Moeda Base],"NOT FOUND")</f>
        <v>USD</v>
      </c>
      <c r="I244" s="69">
        <v>1</v>
      </c>
      <c r="J244" s="18" cm="1">
        <f t="array" ref="J244">Table_Investimentos_Porcent[[#This Row],[Porcentagem]]*_xlfn.XLOOKUP(Table_Investimentos_Porcent[[#This Row],[Data]]&amp;Table_Investimentos_Porcent[[#This Row],[Nome]],Table_Investimentos_Main[Data]&amp;Table_Investimentos_Main[Nome],Table_Investimentos_Main[Total (R$)],"NOT FOUND")</f>
        <v>7580.3169975767405</v>
      </c>
      <c r="K244" s="80" cm="1">
        <f t="array" ref="K244">Table_Investimentos_Porcent[[#This Row],[Total (R$)]]/_xlfn.XLOOKUP(Table_Investimentos_Porcent[[#This Row],[Data]]&amp;Table_Investimentos_Porcent[[#This Row],[Nome]],Table_Investimentos_Main[Data]&amp;Table_Investimentos_Main[Nome],Table_Investimentos_Main[Cotação Dolar],"NOT FOUND")</f>
        <v>1453.7275616708998</v>
      </c>
      <c r="O244" s="3"/>
      <c r="P244" s="3"/>
      <c r="Q244" s="3"/>
      <c r="V244" s="5"/>
      <c r="W244" s="5"/>
    </row>
    <row r="245" spans="2:23" x14ac:dyDescent="0.2">
      <c r="B245" s="8">
        <v>46023</v>
      </c>
      <c r="C245" s="34" t="s">
        <v>51</v>
      </c>
      <c r="D245" s="5" t="s">
        <v>36</v>
      </c>
      <c r="E245" s="5"/>
      <c r="F245" s="5"/>
      <c r="G245" s="5" cm="1">
        <f t="array" ref="G245">_xlfn.XLOOKUP(Table_Investimentos_Porcent[[#This Row],[Data]]&amp;Table_Investimentos_Porcent[[#This Row],[Nome]],Table_Investimentos_Main[Data]&amp;Table_Investimentos_Main[Nome],Table_Investimentos_Main[Estratégia],"NOT FOUND")</f>
        <v>0</v>
      </c>
      <c r="H245" s="5" t="str" cm="1">
        <f t="array" ref="H245">_xlfn.XLOOKUP(Table_Investimentos_Porcent[[#This Row],[Data]]&amp;Table_Investimentos_Porcent[[#This Row],[Nome]],Table_Investimentos_Main[Data]&amp;Table_Investimentos_Main[Nome],Table_Investimentos_Main[Moeda Base],"NOT FOUND")</f>
        <v>USD</v>
      </c>
      <c r="I245" s="69">
        <v>1</v>
      </c>
      <c r="J245" s="18" cm="1">
        <f t="array" ref="J245">Table_Investimentos_Porcent[[#This Row],[Porcentagem]]*_xlfn.XLOOKUP(Table_Investimentos_Porcent[[#This Row],[Data]]&amp;Table_Investimentos_Porcent[[#This Row],[Nome]],Table_Investimentos_Main[Data]&amp;Table_Investimentos_Main[Nome],Table_Investimentos_Main[Total (R$)],"NOT FOUND")</f>
        <v>5804.6636141439994</v>
      </c>
      <c r="K245" s="80" cm="1">
        <f t="array" ref="K245">Table_Investimentos_Porcent[[#This Row],[Total (R$)]]/_xlfn.XLOOKUP(Table_Investimentos_Porcent[[#This Row],[Data]]&amp;Table_Investimentos_Porcent[[#This Row],[Nome]],Table_Investimentos_Main[Data]&amp;Table_Investimentos_Main[Nome],Table_Investimentos_Main[Cotação Dolar],"NOT FOUND")</f>
        <v>1113.1987599999998</v>
      </c>
      <c r="O245" s="3"/>
      <c r="P245" s="3"/>
      <c r="Q245" s="3"/>
      <c r="V245" s="5"/>
      <c r="W245" s="5"/>
    </row>
    <row r="246" spans="2:23" x14ac:dyDescent="0.2">
      <c r="B246" s="8">
        <v>46023</v>
      </c>
      <c r="C246" s="34" t="s">
        <v>74</v>
      </c>
      <c r="D246" s="5" t="s">
        <v>17</v>
      </c>
      <c r="E246" s="5"/>
      <c r="F246" s="5"/>
      <c r="G246" s="5" cm="1">
        <f t="array" ref="G246">_xlfn.XLOOKUP(Table_Investimentos_Porcent[[#This Row],[Data]]&amp;Table_Investimentos_Porcent[[#This Row],[Nome]],Table_Investimentos_Main[Data]&amp;Table_Investimentos_Main[Nome],Table_Investimentos_Main[Estratégia],"NOT FOUND")</f>
        <v>0</v>
      </c>
      <c r="H246" s="5" t="str" cm="1">
        <f t="array" ref="H246">_xlfn.XLOOKUP(Table_Investimentos_Porcent[[#This Row],[Data]]&amp;Table_Investimentos_Porcent[[#This Row],[Nome]],Table_Investimentos_Main[Data]&amp;Table_Investimentos_Main[Nome],Table_Investimentos_Main[Moeda Base],"NOT FOUND")</f>
        <v>BRL</v>
      </c>
      <c r="I246" s="69">
        <v>1</v>
      </c>
      <c r="J246" s="18" cm="1">
        <f t="array" ref="J246">Table_Investimentos_Porcent[[#This Row],[Porcentagem]]*_xlfn.XLOOKUP(Table_Investimentos_Porcent[[#This Row],[Data]]&amp;Table_Investimentos_Porcent[[#This Row],[Nome]],Table_Investimentos_Main[Data]&amp;Table_Investimentos_Main[Nome],Table_Investimentos_Main[Total (R$)],"NOT FOUND")</f>
        <v>11500.96</v>
      </c>
      <c r="K246" s="80" cm="1">
        <f t="array" ref="K246">Table_Investimentos_Porcent[[#This Row],[Total (R$)]]/_xlfn.XLOOKUP(Table_Investimentos_Porcent[[#This Row],[Data]]&amp;Table_Investimentos_Porcent[[#This Row],[Nome]],Table_Investimentos_Main[Data]&amp;Table_Investimentos_Main[Nome],Table_Investimentos_Main[Cotação Dolar],"NOT FOUND")</f>
        <v>2205.6152193924513</v>
      </c>
      <c r="O246" s="3"/>
      <c r="P246" s="3"/>
      <c r="Q246" s="3"/>
      <c r="V246" s="5"/>
      <c r="W246" s="5"/>
    </row>
    <row r="247" spans="2:23" x14ac:dyDescent="0.2">
      <c r="B247" s="8">
        <v>46023</v>
      </c>
      <c r="C247" s="34" t="s">
        <v>58</v>
      </c>
      <c r="D247" s="5" t="s">
        <v>17</v>
      </c>
      <c r="E247" s="5"/>
      <c r="F247" s="5"/>
      <c r="G247" s="5" cm="1">
        <f t="array" ref="G247">_xlfn.XLOOKUP(Table_Investimentos_Porcent[[#This Row],[Data]]&amp;Table_Investimentos_Porcent[[#This Row],[Nome]],Table_Investimentos_Main[Data]&amp;Table_Investimentos_Main[Nome],Table_Investimentos_Main[Estratégia],"NOT FOUND")</f>
        <v>0</v>
      </c>
      <c r="H247" s="5" t="str" cm="1">
        <f t="array" ref="H247">_xlfn.XLOOKUP(Table_Investimentos_Porcent[[#This Row],[Data]]&amp;Table_Investimentos_Porcent[[#This Row],[Nome]],Table_Investimentos_Main[Data]&amp;Table_Investimentos_Main[Nome],Table_Investimentos_Main[Moeda Base],"NOT FOUND")</f>
        <v>BRL</v>
      </c>
      <c r="I247" s="69">
        <v>1</v>
      </c>
      <c r="J247" s="18" cm="1">
        <f t="array" ref="J247">Table_Investimentos_Porcent[[#This Row],[Porcentagem]]*_xlfn.XLOOKUP(Table_Investimentos_Porcent[[#This Row],[Data]]&amp;Table_Investimentos_Porcent[[#This Row],[Nome]],Table_Investimentos_Main[Data]&amp;Table_Investimentos_Main[Nome],Table_Investimentos_Main[Total (R$)],"NOT FOUND")</f>
        <v>5757.57</v>
      </c>
      <c r="K247" s="80" cm="1">
        <f t="array" ref="K247">Table_Investimentos_Porcent[[#This Row],[Total (R$)]]/_xlfn.XLOOKUP(Table_Investimentos_Porcent[[#This Row],[Data]]&amp;Table_Investimentos_Porcent[[#This Row],[Nome]],Table_Investimentos_Main[Data]&amp;Table_Investimentos_Main[Nome],Table_Investimentos_Main[Cotação Dolar],"NOT FOUND")</f>
        <v>1104.1673059220618</v>
      </c>
      <c r="O247" s="3"/>
      <c r="P247" s="3"/>
      <c r="Q247" s="3"/>
      <c r="V247" s="5"/>
      <c r="W247" s="5"/>
    </row>
    <row r="248" spans="2:23" x14ac:dyDescent="0.2">
      <c r="B248" s="8">
        <v>46023</v>
      </c>
      <c r="C248" s="34" t="s">
        <v>75</v>
      </c>
      <c r="D248" s="5" t="s">
        <v>36</v>
      </c>
      <c r="E248" s="5"/>
      <c r="F248" s="5"/>
      <c r="G248" s="5" cm="1">
        <f t="array" ref="G248">_xlfn.XLOOKUP(Table_Investimentos_Porcent[[#This Row],[Data]]&amp;Table_Investimentos_Porcent[[#This Row],[Nome]],Table_Investimentos_Main[Data]&amp;Table_Investimentos_Main[Nome],Table_Investimentos_Main[Estratégia],"NOT FOUND")</f>
        <v>0</v>
      </c>
      <c r="H248" s="5" t="str" cm="1">
        <f t="array" ref="H248">_xlfn.XLOOKUP(Table_Investimentos_Porcent[[#This Row],[Data]]&amp;Table_Investimentos_Porcent[[#This Row],[Nome]],Table_Investimentos_Main[Data]&amp;Table_Investimentos_Main[Nome],Table_Investimentos_Main[Moeda Base],"NOT FOUND")</f>
        <v>BRL</v>
      </c>
      <c r="I248" s="69">
        <v>1</v>
      </c>
      <c r="J248" s="18" cm="1">
        <f t="array" ref="J248">Table_Investimentos_Porcent[[#This Row],[Porcentagem]]*_xlfn.XLOOKUP(Table_Investimentos_Porcent[[#This Row],[Data]]&amp;Table_Investimentos_Porcent[[#This Row],[Nome]],Table_Investimentos_Main[Data]&amp;Table_Investimentos_Main[Nome],Table_Investimentos_Main[Total (R$)],"NOT FOUND")</f>
        <v>6478.7148000000007</v>
      </c>
      <c r="K248" s="80" cm="1">
        <f t="array" ref="K248">Table_Investimentos_Porcent[[#This Row],[Total (R$)]]/_xlfn.XLOOKUP(Table_Investimentos_Porcent[[#This Row],[Data]]&amp;Table_Investimentos_Porcent[[#This Row],[Nome]],Table_Investimentos_Main[Data]&amp;Table_Investimentos_Main[Nome],Table_Investimentos_Main[Cotação Dolar],"NOT FOUND")</f>
        <v>1242.4660171831852</v>
      </c>
      <c r="O248" s="3"/>
      <c r="P248" s="3"/>
      <c r="Q248" s="3"/>
      <c r="V248" s="5"/>
      <c r="W248" s="5"/>
    </row>
    <row r="249" spans="2:23" x14ac:dyDescent="0.2">
      <c r="B249" s="8">
        <v>46023</v>
      </c>
      <c r="C249" s="34" t="s">
        <v>76</v>
      </c>
      <c r="D249" s="5" t="s">
        <v>20</v>
      </c>
      <c r="E249" s="5"/>
      <c r="F249" s="5"/>
      <c r="G249" s="5" cm="1">
        <f t="array" ref="G249">_xlfn.XLOOKUP(Table_Investimentos_Porcent[[#This Row],[Data]]&amp;Table_Investimentos_Porcent[[#This Row],[Nome]],Table_Investimentos_Main[Data]&amp;Table_Investimentos_Main[Nome],Table_Investimentos_Main[Estratégia],"NOT FOUND")</f>
        <v>0</v>
      </c>
      <c r="H249" s="5" t="str" cm="1">
        <f t="array" ref="H249">_xlfn.XLOOKUP(Table_Investimentos_Porcent[[#This Row],[Data]]&amp;Table_Investimentos_Porcent[[#This Row],[Nome]],Table_Investimentos_Main[Data]&amp;Table_Investimentos_Main[Nome],Table_Investimentos_Main[Moeda Base],"NOT FOUND")</f>
        <v>BRL</v>
      </c>
      <c r="I249" s="69">
        <v>1</v>
      </c>
      <c r="J249" s="18" cm="1">
        <f t="array" ref="J249">Table_Investimentos_Porcent[[#This Row],[Porcentagem]]*_xlfn.XLOOKUP(Table_Investimentos_Porcent[[#This Row],[Data]]&amp;Table_Investimentos_Porcent[[#This Row],[Nome]],Table_Investimentos_Main[Data]&amp;Table_Investimentos_Main[Nome],Table_Investimentos_Main[Total (R$)],"NOT FOUND")</f>
        <v>5518.9052000000011</v>
      </c>
      <c r="K249" s="80" cm="1">
        <f t="array" ref="K249">Table_Investimentos_Porcent[[#This Row],[Total (R$)]]/_xlfn.XLOOKUP(Table_Investimentos_Porcent[[#This Row],[Data]]&amp;Table_Investimentos_Porcent[[#This Row],[Nome]],Table_Investimentos_Main[Data]&amp;Table_Investimentos_Main[Nome],Table_Investimentos_Main[Cotação Dolar],"NOT FOUND")</f>
        <v>1058.396977600491</v>
      </c>
      <c r="O249" s="3"/>
      <c r="P249" s="3"/>
      <c r="Q249" s="3"/>
      <c r="V249" s="5"/>
      <c r="W249" s="5"/>
    </row>
    <row r="250" spans="2:23" x14ac:dyDescent="0.2">
      <c r="B250" s="8">
        <v>46023</v>
      </c>
      <c r="C250" s="34" t="s">
        <v>68</v>
      </c>
      <c r="D250" s="5" t="s">
        <v>20</v>
      </c>
      <c r="E250" s="5"/>
      <c r="F250" s="5"/>
      <c r="G250" s="5" cm="1">
        <f t="array" ref="G250">_xlfn.XLOOKUP(Table_Investimentos_Porcent[[#This Row],[Data]]&amp;Table_Investimentos_Porcent[[#This Row],[Nome]],Table_Investimentos_Main[Data]&amp;Table_Investimentos_Main[Nome],Table_Investimentos_Main[Estratégia],"NOT FOUND")</f>
        <v>0</v>
      </c>
      <c r="H250" s="5" t="str" cm="1">
        <f t="array" ref="H250">_xlfn.XLOOKUP(Table_Investimentos_Porcent[[#This Row],[Data]]&amp;Table_Investimentos_Porcent[[#This Row],[Nome]],Table_Investimentos_Main[Data]&amp;Table_Investimentos_Main[Nome],Table_Investimentos_Main[Moeda Base],"NOT FOUND")</f>
        <v>BRL</v>
      </c>
      <c r="I250" s="69">
        <v>1</v>
      </c>
      <c r="J250" s="18" cm="1">
        <f t="array" ref="J250">Table_Investimentos_Porcent[[#This Row],[Porcentagem]]*_xlfn.XLOOKUP(Table_Investimentos_Porcent[[#This Row],[Data]]&amp;Table_Investimentos_Porcent[[#This Row],[Nome]],Table_Investimentos_Main[Data]&amp;Table_Investimentos_Main[Nome],Table_Investimentos_Main[Total (R$)],"NOT FOUND")</f>
        <v>12995.59</v>
      </c>
      <c r="K250" s="80" cm="1">
        <f t="array" ref="K250">Table_Investimentos_Porcent[[#This Row],[Total (R$)]]/_xlfn.XLOOKUP(Table_Investimentos_Porcent[[#This Row],[Data]]&amp;Table_Investimentos_Porcent[[#This Row],[Nome]],Table_Investimentos_Main[Data]&amp;Table_Investimentos_Main[Nome],Table_Investimentos_Main[Cotação Dolar],"NOT FOUND")</f>
        <v>2492.2503068425895</v>
      </c>
      <c r="O250" s="3"/>
      <c r="P250" s="3"/>
      <c r="Q250" s="3"/>
      <c r="V250" s="5"/>
      <c r="W250" s="5"/>
    </row>
    <row r="251" spans="2:23" x14ac:dyDescent="0.2">
      <c r="B251" s="8">
        <v>46023</v>
      </c>
      <c r="C251" s="34" t="s">
        <v>64</v>
      </c>
      <c r="D251" s="5" t="s">
        <v>17</v>
      </c>
      <c r="E251" s="5"/>
      <c r="F251" s="5"/>
      <c r="G251" s="5" cm="1">
        <f t="array" ref="G251">_xlfn.XLOOKUP(Table_Investimentos_Porcent[[#This Row],[Data]]&amp;Table_Investimentos_Porcent[[#This Row],[Nome]],Table_Investimentos_Main[Data]&amp;Table_Investimentos_Main[Nome],Table_Investimentos_Main[Estratégia],"NOT FOUND")</f>
        <v>0</v>
      </c>
      <c r="H251" s="5" t="str" cm="1">
        <f t="array" ref="H251">_xlfn.XLOOKUP(Table_Investimentos_Porcent[[#This Row],[Data]]&amp;Table_Investimentos_Porcent[[#This Row],[Nome]],Table_Investimentos_Main[Data]&amp;Table_Investimentos_Main[Nome],Table_Investimentos_Main[Moeda Base],"NOT FOUND")</f>
        <v>USD</v>
      </c>
      <c r="I251" s="69">
        <v>1</v>
      </c>
      <c r="J251" s="18" cm="1">
        <f t="array" ref="J251">Table_Investimentos_Porcent[[#This Row],[Porcentagem]]*_xlfn.XLOOKUP(Table_Investimentos_Porcent[[#This Row],[Data]]&amp;Table_Investimentos_Porcent[[#This Row],[Nome]],Table_Investimentos_Main[Data]&amp;Table_Investimentos_Main[Nome],Table_Investimentos_Main[Total (R$)],"NOT FOUND")</f>
        <v>7737.7524480000011</v>
      </c>
      <c r="K251" s="80" cm="1">
        <f t="array" ref="K251">Table_Investimentos_Porcent[[#This Row],[Total (R$)]]/_xlfn.XLOOKUP(Table_Investimentos_Porcent[[#This Row],[Data]]&amp;Table_Investimentos_Porcent[[#This Row],[Nome]],Table_Investimentos_Main[Data]&amp;Table_Investimentos_Main[Nome],Table_Investimentos_Main[Cotação Dolar],"NOT FOUND")</f>
        <v>1483.92</v>
      </c>
      <c r="O251" s="3"/>
      <c r="P251" s="3"/>
      <c r="Q251" s="3"/>
      <c r="V251" s="5"/>
      <c r="W251" s="5"/>
    </row>
    <row r="252" spans="2:23" x14ac:dyDescent="0.2">
      <c r="B252" s="8">
        <v>46023</v>
      </c>
      <c r="C252" s="34" t="s">
        <v>41</v>
      </c>
      <c r="D252" s="5" t="s">
        <v>13</v>
      </c>
      <c r="E252" s="5"/>
      <c r="F252" s="5"/>
      <c r="G252" s="5" cm="1">
        <f t="array" ref="G252">_xlfn.XLOOKUP(Table_Investimentos_Porcent[[#This Row],[Data]]&amp;Table_Investimentos_Porcent[[#This Row],[Nome]],Table_Investimentos_Main[Data]&amp;Table_Investimentos_Main[Nome],Table_Investimentos_Main[Estratégia],"NOT FOUND")</f>
        <v>0</v>
      </c>
      <c r="H252" s="5" t="str" cm="1">
        <f t="array" ref="H252">_xlfn.XLOOKUP(Table_Investimentos_Porcent[[#This Row],[Data]]&amp;Table_Investimentos_Porcent[[#This Row],[Nome]],Table_Investimentos_Main[Data]&amp;Table_Investimentos_Main[Nome],Table_Investimentos_Main[Moeda Base],"NOT FOUND")</f>
        <v>BTC</v>
      </c>
      <c r="I252" s="69">
        <v>1</v>
      </c>
      <c r="J252" s="18" cm="1">
        <f t="array" ref="J252">Table_Investimentos_Porcent[[#This Row],[Porcentagem]]*_xlfn.XLOOKUP(Table_Investimentos_Porcent[[#This Row],[Data]]&amp;Table_Investimentos_Porcent[[#This Row],[Nome]],Table_Investimentos_Main[Data]&amp;Table_Investimentos_Main[Nome],Table_Investimentos_Main[Total (R$)],"NOT FOUND")</f>
        <v>130408.9109452</v>
      </c>
      <c r="K252" s="80" cm="1">
        <f t="array" ref="K252">Table_Investimentos_Porcent[[#This Row],[Total (R$)]]/_xlfn.XLOOKUP(Table_Investimentos_Porcent[[#This Row],[Data]]&amp;Table_Investimentos_Porcent[[#This Row],[Nome]],Table_Investimentos_Main[Data]&amp;Table_Investimentos_Main[Nome],Table_Investimentos_Main[Cotação Dolar],"NOT FOUND")</f>
        <v>25009.379975682721</v>
      </c>
      <c r="O252" s="3"/>
      <c r="P252" s="3"/>
      <c r="Q252" s="3"/>
      <c r="V252" s="5"/>
      <c r="W252" s="5"/>
    </row>
    <row r="253" spans="2:23" x14ac:dyDescent="0.2">
      <c r="B253" s="8">
        <v>46054</v>
      </c>
      <c r="C253" s="34" t="s">
        <v>44</v>
      </c>
      <c r="D253" s="5" t="s">
        <v>17</v>
      </c>
      <c r="E253" s="5"/>
      <c r="F253" s="5"/>
      <c r="G253" s="5" cm="1">
        <f t="array" ref="G253">_xlfn.XLOOKUP(Table_Investimentos_Porcent[[#This Row],[Data]]&amp;Table_Investimentos_Porcent[[#This Row],[Nome]],Table_Investimentos_Main[Data]&amp;Table_Investimentos_Main[Nome],Table_Investimentos_Main[Estratégia],"NOT FOUND")</f>
        <v>0</v>
      </c>
      <c r="H253" s="5" t="str" cm="1">
        <f t="array" ref="H253">_xlfn.XLOOKUP(Table_Investimentos_Porcent[[#This Row],[Data]]&amp;Table_Investimentos_Porcent[[#This Row],[Nome]],Table_Investimentos_Main[Data]&amp;Table_Investimentos_Main[Nome],Table_Investimentos_Main[Moeda Base],"NOT FOUND")</f>
        <v>USD</v>
      </c>
      <c r="I253" s="69">
        <v>1</v>
      </c>
      <c r="J253" s="18" cm="1">
        <f t="array" ref="J253">Table_Investimentos_Porcent[[#This Row],[Porcentagem]]*_xlfn.XLOOKUP(Table_Investimentos_Porcent[[#This Row],[Data]]&amp;Table_Investimentos_Porcent[[#This Row],[Nome]],Table_Investimentos_Main[Data]&amp;Table_Investimentos_Main[Nome],Table_Investimentos_Main[Total (R$)],"NOT FOUND")</f>
        <v>8809.6184400000002</v>
      </c>
      <c r="K253" s="80" cm="1">
        <f t="array" ref="K253">Table_Investimentos_Porcent[[#This Row],[Total (R$)]]/_xlfn.XLOOKUP(Table_Investimentos_Porcent[[#This Row],[Data]]&amp;Table_Investimentos_Porcent[[#This Row],[Nome]],Table_Investimentos_Main[Data]&amp;Table_Investimentos_Main[Nome],Table_Investimentos_Main[Cotação Dolar],"NOT FOUND")</f>
        <v>1687.02</v>
      </c>
      <c r="O253" s="3"/>
      <c r="P253" s="3"/>
      <c r="Q253" s="3"/>
      <c r="V253" s="5"/>
      <c r="W253" s="5"/>
    </row>
    <row r="254" spans="2:23" x14ac:dyDescent="0.2">
      <c r="B254" s="8">
        <v>46054</v>
      </c>
      <c r="C254" s="34" t="s">
        <v>74</v>
      </c>
      <c r="D254" s="5" t="s">
        <v>17</v>
      </c>
      <c r="E254" s="5"/>
      <c r="F254" s="5"/>
      <c r="G254" s="5" cm="1">
        <f t="array" ref="G254">_xlfn.XLOOKUP(Table_Investimentos_Porcent[[#This Row],[Data]]&amp;Table_Investimentos_Porcent[[#This Row],[Nome]],Table_Investimentos_Main[Data]&amp;Table_Investimentos_Main[Nome],Table_Investimentos_Main[Estratégia],"NOT FOUND")</f>
        <v>0</v>
      </c>
      <c r="H254" s="5" t="str" cm="1">
        <f t="array" ref="H254">_xlfn.XLOOKUP(Table_Investimentos_Porcent[[#This Row],[Data]]&amp;Table_Investimentos_Porcent[[#This Row],[Nome]],Table_Investimentos_Main[Data]&amp;Table_Investimentos_Main[Nome],Table_Investimentos_Main[Moeda Base],"NOT FOUND")</f>
        <v>BRL</v>
      </c>
      <c r="I254" s="69">
        <v>1</v>
      </c>
      <c r="J254" s="18" cm="1">
        <f t="array" ref="J254">Table_Investimentos_Porcent[[#This Row],[Porcentagem]]*_xlfn.XLOOKUP(Table_Investimentos_Porcent[[#This Row],[Data]]&amp;Table_Investimentos_Porcent[[#This Row],[Nome]],Table_Investimentos_Main[Data]&amp;Table_Investimentos_Main[Nome],Table_Investimentos_Main[Total (R$)],"NOT FOUND")</f>
        <v>11605.01</v>
      </c>
      <c r="K254" s="80" cm="1">
        <f t="array" ref="K254">Table_Investimentos_Porcent[[#This Row],[Total (R$)]]/_xlfn.XLOOKUP(Table_Investimentos_Porcent[[#This Row],[Data]]&amp;Table_Investimentos_Porcent[[#This Row],[Nome]],Table_Investimentos_Main[Data]&amp;Table_Investimentos_Main[Nome],Table_Investimentos_Main[Cotação Dolar],"NOT FOUND")</f>
        <v>2222.3305247031785</v>
      </c>
      <c r="O254" s="3"/>
      <c r="P254" s="3"/>
      <c r="Q254" s="3"/>
      <c r="V254" s="5"/>
      <c r="W254" s="5"/>
    </row>
    <row r="255" spans="2:23" x14ac:dyDescent="0.2">
      <c r="B255" s="8">
        <v>46054</v>
      </c>
      <c r="C255" s="34" t="s">
        <v>58</v>
      </c>
      <c r="D255" s="5" t="s">
        <v>17</v>
      </c>
      <c r="E255" s="5"/>
      <c r="F255" s="5"/>
      <c r="G255" s="5" cm="1">
        <f t="array" ref="G255">_xlfn.XLOOKUP(Table_Investimentos_Porcent[[#This Row],[Data]]&amp;Table_Investimentos_Porcent[[#This Row],[Nome]],Table_Investimentos_Main[Data]&amp;Table_Investimentos_Main[Nome],Table_Investimentos_Main[Estratégia],"NOT FOUND")</f>
        <v>0</v>
      </c>
      <c r="H255" s="5" t="str" cm="1">
        <f t="array" ref="H255">_xlfn.XLOOKUP(Table_Investimentos_Porcent[[#This Row],[Data]]&amp;Table_Investimentos_Porcent[[#This Row],[Nome]],Table_Investimentos_Main[Data]&amp;Table_Investimentos_Main[Nome],Table_Investimentos_Main[Moeda Base],"NOT FOUND")</f>
        <v>BRL</v>
      </c>
      <c r="I255" s="69">
        <v>1</v>
      </c>
      <c r="J255" s="18" cm="1">
        <f t="array" ref="J255">Table_Investimentos_Porcent[[#This Row],[Porcentagem]]*_xlfn.XLOOKUP(Table_Investimentos_Porcent[[#This Row],[Data]]&amp;Table_Investimentos_Porcent[[#This Row],[Nome]],Table_Investimentos_Main[Data]&amp;Table_Investimentos_Main[Nome],Table_Investimentos_Main[Total (R$)],"NOT FOUND")</f>
        <v>8651.25</v>
      </c>
      <c r="K255" s="80" cm="1">
        <f t="array" ref="K255">Table_Investimentos_Porcent[[#This Row],[Total (R$)]]/_xlfn.XLOOKUP(Table_Investimentos_Porcent[[#This Row],[Data]]&amp;Table_Investimentos_Porcent[[#This Row],[Nome]],Table_Investimentos_Main[Data]&amp;Table_Investimentos_Main[Nome],Table_Investimentos_Main[Cotação Dolar],"NOT FOUND")</f>
        <v>1656.692837993106</v>
      </c>
      <c r="O255" s="3"/>
      <c r="P255" s="3"/>
      <c r="Q255" s="3"/>
      <c r="V255" s="5"/>
      <c r="W255" s="5"/>
    </row>
    <row r="256" spans="2:23" x14ac:dyDescent="0.2">
      <c r="B256" s="8">
        <v>46054</v>
      </c>
      <c r="C256" s="34" t="s">
        <v>42</v>
      </c>
      <c r="D256" s="5" t="s">
        <v>13</v>
      </c>
      <c r="E256" s="5"/>
      <c r="F256" s="5"/>
      <c r="G256" s="5" cm="1">
        <f t="array" ref="G256">_xlfn.XLOOKUP(Table_Investimentos_Porcent[[#This Row],[Data]]&amp;Table_Investimentos_Porcent[[#This Row],[Nome]],Table_Investimentos_Main[Data]&amp;Table_Investimentos_Main[Nome],Table_Investimentos_Main[Estratégia],"NOT FOUND")</f>
        <v>0</v>
      </c>
      <c r="H256" s="5" t="str" cm="1">
        <f t="array" ref="H256">_xlfn.XLOOKUP(Table_Investimentos_Porcent[[#This Row],[Data]]&amp;Table_Investimentos_Porcent[[#This Row],[Nome]],Table_Investimentos_Main[Data]&amp;Table_Investimentos_Main[Nome],Table_Investimentos_Main[Moeda Base],"NOT FOUND")</f>
        <v>BTC</v>
      </c>
      <c r="I256" s="69">
        <v>1</v>
      </c>
      <c r="J256" s="18" cm="1">
        <f t="array" ref="J256">Table_Investimentos_Porcent[[#This Row],[Porcentagem]]*_xlfn.XLOOKUP(Table_Investimentos_Porcent[[#This Row],[Data]]&amp;Table_Investimentos_Porcent[[#This Row],[Nome]],Table_Investimentos_Main[Data]&amp;Table_Investimentos_Main[Nome],Table_Investimentos_Main[Total (R$)],"NOT FOUND")</f>
        <v>7489.0527293999994</v>
      </c>
      <c r="K256" s="80" cm="1">
        <f t="array" ref="K256">Table_Investimentos_Porcent[[#This Row],[Total (R$)]]/_xlfn.XLOOKUP(Table_Investimentos_Porcent[[#This Row],[Data]]&amp;Table_Investimentos_Porcent[[#This Row],[Nome]],Table_Investimentos_Main[Data]&amp;Table_Investimentos_Main[Nome],Table_Investimentos_Main[Cotação Dolar],"NOT FOUND")</f>
        <v>1434.1349539256987</v>
      </c>
      <c r="O256" s="3"/>
      <c r="P256" s="3"/>
      <c r="Q256" s="3"/>
      <c r="V256" s="5"/>
      <c r="W256" s="5"/>
    </row>
    <row r="257" spans="2:23" x14ac:dyDescent="0.2">
      <c r="B257" s="8">
        <v>46054</v>
      </c>
      <c r="C257" s="34" t="s">
        <v>49</v>
      </c>
      <c r="D257" s="5" t="s">
        <v>13</v>
      </c>
      <c r="E257" s="5"/>
      <c r="F257" s="5"/>
      <c r="G257" s="5" cm="1">
        <f t="array" ref="G257">_xlfn.XLOOKUP(Table_Investimentos_Porcent[[#This Row],[Data]]&amp;Table_Investimentos_Porcent[[#This Row],[Nome]],Table_Investimentos_Main[Data]&amp;Table_Investimentos_Main[Nome],Table_Investimentos_Main[Estratégia],"NOT FOUND")</f>
        <v>0</v>
      </c>
      <c r="H257" s="5" t="str" cm="1">
        <f t="array" ref="H257">_xlfn.XLOOKUP(Table_Investimentos_Porcent[[#This Row],[Data]]&amp;Table_Investimentos_Porcent[[#This Row],[Nome]],Table_Investimentos_Main[Data]&amp;Table_Investimentos_Main[Nome],Table_Investimentos_Main[Moeda Base],"NOT FOUND")</f>
        <v>USD</v>
      </c>
      <c r="I257" s="69">
        <v>1</v>
      </c>
      <c r="J257" s="18" cm="1">
        <f t="array" ref="J257">Table_Investimentos_Porcent[[#This Row],[Porcentagem]]*_xlfn.XLOOKUP(Table_Investimentos_Porcent[[#This Row],[Data]]&amp;Table_Investimentos_Porcent[[#This Row],[Nome]],Table_Investimentos_Main[Data]&amp;Table_Investimentos_Main[Nome],Table_Investimentos_Main[Total (R$)],"NOT FOUND")</f>
        <v>2646.8500899999999</v>
      </c>
      <c r="K257" s="80" cm="1">
        <f t="array" ref="K257">Table_Investimentos_Porcent[[#This Row],[Total (R$)]]/_xlfn.XLOOKUP(Table_Investimentos_Porcent[[#This Row],[Data]]&amp;Table_Investimentos_Porcent[[#This Row],[Nome]],Table_Investimentos_Main[Data]&amp;Table_Investimentos_Main[Nome],Table_Investimentos_Main[Cotação Dolar],"NOT FOUND")</f>
        <v>506.8652029873611</v>
      </c>
      <c r="O257" s="3"/>
      <c r="P257" s="3"/>
      <c r="Q257" s="3"/>
      <c r="V257" s="5"/>
      <c r="W257" s="5"/>
    </row>
    <row r="258" spans="2:23" x14ac:dyDescent="0.2">
      <c r="B258" s="8">
        <v>46054</v>
      </c>
      <c r="C258" s="34" t="s">
        <v>41</v>
      </c>
      <c r="D258" s="5" t="s">
        <v>13</v>
      </c>
      <c r="E258" s="5"/>
      <c r="F258" s="5"/>
      <c r="G258" s="5" cm="1">
        <f t="array" ref="G258">_xlfn.XLOOKUP(Table_Investimentos_Porcent[[#This Row],[Data]]&amp;Table_Investimentos_Porcent[[#This Row],[Nome]],Table_Investimentos_Main[Data]&amp;Table_Investimentos_Main[Nome],Table_Investimentos_Main[Estratégia],"NOT FOUND")</f>
        <v>0</v>
      </c>
      <c r="H258" s="5" t="str" cm="1">
        <f t="array" ref="H258">_xlfn.XLOOKUP(Table_Investimentos_Porcent[[#This Row],[Data]]&amp;Table_Investimentos_Porcent[[#This Row],[Nome]],Table_Investimentos_Main[Data]&amp;Table_Investimentos_Main[Nome],Table_Investimentos_Main[Moeda Base],"NOT FOUND")</f>
        <v>BTC</v>
      </c>
      <c r="I258" s="69">
        <v>1</v>
      </c>
      <c r="J258" s="18" cm="1">
        <f t="array" ref="J258">Table_Investimentos_Porcent[[#This Row],[Porcentagem]]*_xlfn.XLOOKUP(Table_Investimentos_Porcent[[#This Row],[Data]]&amp;Table_Investimentos_Porcent[[#This Row],[Nome]],Table_Investimentos_Main[Data]&amp;Table_Investimentos_Main[Nome],Table_Investimentos_Main[Total (R$)],"NOT FOUND")</f>
        <v>98945.634810799995</v>
      </c>
      <c r="K258" s="80" cm="1">
        <f t="array" ref="K258">Table_Investimentos_Porcent[[#This Row],[Total (R$)]]/_xlfn.XLOOKUP(Table_Investimentos_Porcent[[#This Row],[Data]]&amp;Table_Investimentos_Porcent[[#This Row],[Nome]],Table_Investimentos_Main[Data]&amp;Table_Investimentos_Main[Nome],Table_Investimentos_Main[Cotação Dolar],"NOT FOUND")</f>
        <v>18947.842744312522</v>
      </c>
      <c r="O258" s="3"/>
      <c r="P258" s="3"/>
      <c r="Q258" s="3"/>
      <c r="V258" s="5"/>
      <c r="W258" s="5"/>
    </row>
    <row r="259" spans="2:23" x14ac:dyDescent="0.2">
      <c r="B259" s="8">
        <v>46054</v>
      </c>
      <c r="C259" s="34" t="s">
        <v>76</v>
      </c>
      <c r="D259" s="5" t="s">
        <v>20</v>
      </c>
      <c r="E259" s="5"/>
      <c r="F259" s="5"/>
      <c r="G259" s="5" cm="1">
        <f t="array" ref="G259">_xlfn.XLOOKUP(Table_Investimentos_Porcent[[#This Row],[Data]]&amp;Table_Investimentos_Porcent[[#This Row],[Nome]],Table_Investimentos_Main[Data]&amp;Table_Investimentos_Main[Nome],Table_Investimentos_Main[Estratégia],"NOT FOUND")</f>
        <v>0</v>
      </c>
      <c r="H259" s="5" t="str" cm="1">
        <f t="array" ref="H259">_xlfn.XLOOKUP(Table_Investimentos_Porcent[[#This Row],[Data]]&amp;Table_Investimentos_Porcent[[#This Row],[Nome]],Table_Investimentos_Main[Data]&amp;Table_Investimentos_Main[Nome],Table_Investimentos_Main[Moeda Base],"NOT FOUND")</f>
        <v>BRL</v>
      </c>
      <c r="I259" s="69">
        <v>1</v>
      </c>
      <c r="J259" s="18" cm="1">
        <f t="array" ref="J259">Table_Investimentos_Porcent[[#This Row],[Porcentagem]]*_xlfn.XLOOKUP(Table_Investimentos_Porcent[[#This Row],[Data]]&amp;Table_Investimentos_Porcent[[#This Row],[Nome]],Table_Investimentos_Main[Data]&amp;Table_Investimentos_Main[Nome],Table_Investimentos_Main[Total (R$)],"NOT FOUND")</f>
        <v>6110.1707999999999</v>
      </c>
      <c r="K259" s="80" cm="1">
        <f t="array" ref="K259">Table_Investimentos_Porcent[[#This Row],[Total (R$)]]/_xlfn.XLOOKUP(Table_Investimentos_Porcent[[#This Row],[Data]]&amp;Table_Investimentos_Porcent[[#This Row],[Nome]],Table_Investimentos_Main[Data]&amp;Table_Investimentos_Main[Nome],Table_Investimentos_Main[Cotação Dolar],"NOT FOUND")</f>
        <v>1170.0824971275372</v>
      </c>
      <c r="O259" s="3"/>
      <c r="P259" s="3"/>
      <c r="Q259" s="3"/>
      <c r="V259" s="5"/>
      <c r="W259" s="5"/>
    </row>
    <row r="260" spans="2:23" x14ac:dyDescent="0.2">
      <c r="B260" s="8">
        <v>46054</v>
      </c>
      <c r="C260" s="34" t="s">
        <v>68</v>
      </c>
      <c r="D260" s="5" t="s">
        <v>20</v>
      </c>
      <c r="E260" s="5"/>
      <c r="F260" s="5"/>
      <c r="G260" s="5" cm="1">
        <f t="array" ref="G260">_xlfn.XLOOKUP(Table_Investimentos_Porcent[[#This Row],[Data]]&amp;Table_Investimentos_Porcent[[#This Row],[Nome]],Table_Investimentos_Main[Data]&amp;Table_Investimentos_Main[Nome],Table_Investimentos_Main[Estratégia],"NOT FOUND")</f>
        <v>0</v>
      </c>
      <c r="H260" s="5" t="str" cm="1">
        <f t="array" ref="H260">_xlfn.XLOOKUP(Table_Investimentos_Porcent[[#This Row],[Data]]&amp;Table_Investimentos_Porcent[[#This Row],[Nome]],Table_Investimentos_Main[Data]&amp;Table_Investimentos_Main[Nome],Table_Investimentos_Main[Moeda Base],"NOT FOUND")</f>
        <v>BRL</v>
      </c>
      <c r="I260" s="69">
        <v>1</v>
      </c>
      <c r="J260" s="18" cm="1">
        <f t="array" ref="J260">Table_Investimentos_Porcent[[#This Row],[Porcentagem]]*_xlfn.XLOOKUP(Table_Investimentos_Porcent[[#This Row],[Data]]&amp;Table_Investimentos_Porcent[[#This Row],[Nome]],Table_Investimentos_Main[Data]&amp;Table_Investimentos_Main[Nome],Table_Investimentos_Main[Total (R$)],"NOT FOUND")</f>
        <v>12704</v>
      </c>
      <c r="K260" s="80" cm="1">
        <f t="array" ref="K260">Table_Investimentos_Porcent[[#This Row],[Total (R$)]]/_xlfn.XLOOKUP(Table_Investimentos_Porcent[[#This Row],[Data]]&amp;Table_Investimentos_Porcent[[#This Row],[Nome]],Table_Investimentos_Main[Data]&amp;Table_Investimentos_Main[Nome],Table_Investimentos_Main[Cotação Dolar],"NOT FOUND")</f>
        <v>2432.7843738031402</v>
      </c>
      <c r="O260" s="3"/>
      <c r="P260" s="3"/>
      <c r="Q260" s="3"/>
      <c r="V260" s="5"/>
      <c r="W260" s="5"/>
    </row>
    <row r="261" spans="2:23" x14ac:dyDescent="0.2">
      <c r="B261" s="8">
        <v>46054</v>
      </c>
      <c r="C261" s="34" t="s">
        <v>64</v>
      </c>
      <c r="D261" s="5" t="s">
        <v>20</v>
      </c>
      <c r="E261" s="5"/>
      <c r="F261" s="5"/>
      <c r="G261" s="5" cm="1">
        <f t="array" ref="G261">_xlfn.XLOOKUP(Table_Investimentos_Porcent[[#This Row],[Data]]&amp;Table_Investimentos_Porcent[[#This Row],[Nome]],Table_Investimentos_Main[Data]&amp;Table_Investimentos_Main[Nome],Table_Investimentos_Main[Estratégia],"NOT FOUND")</f>
        <v>0</v>
      </c>
      <c r="H261" s="5" t="str" cm="1">
        <f t="array" ref="H261">_xlfn.XLOOKUP(Table_Investimentos_Porcent[[#This Row],[Data]]&amp;Table_Investimentos_Porcent[[#This Row],[Nome]],Table_Investimentos_Main[Data]&amp;Table_Investimentos_Main[Nome],Table_Investimentos_Main[Moeda Base],"NOT FOUND")</f>
        <v>USD</v>
      </c>
      <c r="I261" s="69">
        <v>1</v>
      </c>
      <c r="J261" s="18" cm="1">
        <f t="array" ref="J261">Table_Investimentos_Porcent[[#This Row],[Porcentagem]]*_xlfn.XLOOKUP(Table_Investimentos_Porcent[[#This Row],[Data]]&amp;Table_Investimentos_Porcent[[#This Row],[Nome]],Table_Investimentos_Main[Data]&amp;Table_Investimentos_Main[Nome],Table_Investimentos_Main[Total (R$)],"NOT FOUND")</f>
        <v>2962.7539200000001</v>
      </c>
      <c r="K261" s="80" cm="1">
        <f t="array" ref="K261">Table_Investimentos_Porcent[[#This Row],[Total (R$)]]/_xlfn.XLOOKUP(Table_Investimentos_Porcent[[#This Row],[Data]]&amp;Table_Investimentos_Porcent[[#This Row],[Nome]],Table_Investimentos_Main[Data]&amp;Table_Investimentos_Main[Nome],Table_Investimentos_Main[Cotação Dolar],"NOT FOUND")</f>
        <v>567.36</v>
      </c>
      <c r="O261" s="3"/>
      <c r="P261" s="3"/>
      <c r="Q261" s="3"/>
      <c r="V261" s="5"/>
      <c r="W261" s="5"/>
    </row>
    <row r="262" spans="2:23" x14ac:dyDescent="0.2">
      <c r="B262" s="8">
        <v>46054</v>
      </c>
      <c r="C262" s="34" t="s">
        <v>55</v>
      </c>
      <c r="D262" s="5" t="s">
        <v>36</v>
      </c>
      <c r="E262" s="5"/>
      <c r="F262" s="5"/>
      <c r="G262" s="5" cm="1">
        <f t="array" ref="G262">_xlfn.XLOOKUP(Table_Investimentos_Porcent[[#This Row],[Data]]&amp;Table_Investimentos_Porcent[[#This Row],[Nome]],Table_Investimentos_Main[Data]&amp;Table_Investimentos_Main[Nome],Table_Investimentos_Main[Estratégia],"NOT FOUND")</f>
        <v>0</v>
      </c>
      <c r="H262" s="5" t="str" cm="1">
        <f t="array" ref="H262">_xlfn.XLOOKUP(Table_Investimentos_Porcent[[#This Row],[Data]]&amp;Table_Investimentos_Porcent[[#This Row],[Nome]],Table_Investimentos_Main[Data]&amp;Table_Investimentos_Main[Nome],Table_Investimentos_Main[Moeda Base],"NOT FOUND")</f>
        <v>USD</v>
      </c>
      <c r="I262" s="69">
        <v>1</v>
      </c>
      <c r="J262" s="18" cm="1">
        <f t="array" ref="J262">Table_Investimentos_Porcent[[#This Row],[Porcentagem]]*_xlfn.XLOOKUP(Table_Investimentos_Porcent[[#This Row],[Data]]&amp;Table_Investimentos_Porcent[[#This Row],[Nome]],Table_Investimentos_Main[Data]&amp;Table_Investimentos_Main[Nome],Table_Investimentos_Main[Total (R$)],"NOT FOUND")</f>
        <v>2933.7587012916001</v>
      </c>
      <c r="K262" s="80" cm="1">
        <f t="array" ref="K262">Table_Investimentos_Porcent[[#This Row],[Total (R$)]]/_xlfn.XLOOKUP(Table_Investimentos_Porcent[[#This Row],[Data]]&amp;Table_Investimentos_Porcent[[#This Row],[Nome]],Table_Investimentos_Main[Data]&amp;Table_Investimentos_Main[Nome],Table_Investimentos_Main[Cotação Dolar],"NOT FOUND")</f>
        <v>561.80748779999999</v>
      </c>
      <c r="O262" s="3"/>
      <c r="P262" s="3"/>
      <c r="Q262" s="3"/>
      <c r="V262" s="5"/>
      <c r="W262" s="5"/>
    </row>
    <row r="263" spans="2:23" x14ac:dyDescent="0.2">
      <c r="B263" s="8">
        <v>46054</v>
      </c>
      <c r="C263" s="34" t="s">
        <v>51</v>
      </c>
      <c r="D263" s="5" t="s">
        <v>36</v>
      </c>
      <c r="E263" s="5"/>
      <c r="F263" s="5"/>
      <c r="G263" s="5" cm="1">
        <f t="array" ref="G263">_xlfn.XLOOKUP(Table_Investimentos_Porcent[[#This Row],[Data]]&amp;Table_Investimentos_Porcent[[#This Row],[Nome]],Table_Investimentos_Main[Data]&amp;Table_Investimentos_Main[Nome],Table_Investimentos_Main[Estratégia],"NOT FOUND")</f>
        <v>0</v>
      </c>
      <c r="H263" s="5" t="str" cm="1">
        <f t="array" ref="H263">_xlfn.XLOOKUP(Table_Investimentos_Porcent[[#This Row],[Data]]&amp;Table_Investimentos_Porcent[[#This Row],[Nome]],Table_Investimentos_Main[Data]&amp;Table_Investimentos_Main[Nome],Table_Investimentos_Main[Moeda Base],"NOT FOUND")</f>
        <v>USD</v>
      </c>
      <c r="I263" s="69">
        <v>1</v>
      </c>
      <c r="J263" s="18" cm="1">
        <f t="array" ref="J263">Table_Investimentos_Porcent[[#This Row],[Porcentagem]]*_xlfn.XLOOKUP(Table_Investimentos_Porcent[[#This Row],[Data]]&amp;Table_Investimentos_Porcent[[#This Row],[Nome]],Table_Investimentos_Main[Data]&amp;Table_Investimentos_Main[Nome],Table_Investimentos_Main[Total (R$)],"NOT FOUND")</f>
        <v>5756.8297490409996</v>
      </c>
      <c r="K263" s="80" cm="1">
        <f t="array" ref="K263">Table_Investimentos_Porcent[[#This Row],[Total (R$)]]/_xlfn.XLOOKUP(Table_Investimentos_Porcent[[#This Row],[Data]]&amp;Table_Investimentos_Porcent[[#This Row],[Nome]],Table_Investimentos_Main[Data]&amp;Table_Investimentos_Main[Nome],Table_Investimentos_Main[Cotação Dolar],"NOT FOUND")</f>
        <v>1102.4185654999999</v>
      </c>
      <c r="O263" s="3"/>
      <c r="P263" s="3"/>
      <c r="Q263" s="3"/>
      <c r="V263" s="5"/>
      <c r="W263" s="5"/>
    </row>
    <row r="264" spans="2:23" x14ac:dyDescent="0.2">
      <c r="B264" s="8">
        <v>46054</v>
      </c>
      <c r="C264" s="34" t="s">
        <v>75</v>
      </c>
      <c r="D264" s="5" t="s">
        <v>36</v>
      </c>
      <c r="E264" s="5"/>
      <c r="F264" s="5"/>
      <c r="G264" s="5" cm="1">
        <f t="array" ref="G264">_xlfn.XLOOKUP(Table_Investimentos_Porcent[[#This Row],[Data]]&amp;Table_Investimentos_Porcent[[#This Row],[Nome]],Table_Investimentos_Main[Data]&amp;Table_Investimentos_Main[Nome],Table_Investimentos_Main[Estratégia],"NOT FOUND")</f>
        <v>0</v>
      </c>
      <c r="H264" s="5" t="str" cm="1">
        <f t="array" ref="H264">_xlfn.XLOOKUP(Table_Investimentos_Porcent[[#This Row],[Data]]&amp;Table_Investimentos_Porcent[[#This Row],[Nome]],Table_Investimentos_Main[Data]&amp;Table_Investimentos_Main[Nome],Table_Investimentos_Main[Moeda Base],"NOT FOUND")</f>
        <v>BRL</v>
      </c>
      <c r="I264" s="69">
        <v>1</v>
      </c>
      <c r="J264" s="18" cm="1">
        <f t="array" ref="J264">Table_Investimentos_Porcent[[#This Row],[Porcentagem]]*_xlfn.XLOOKUP(Table_Investimentos_Porcent[[#This Row],[Data]]&amp;Table_Investimentos_Porcent[[#This Row],[Nome]],Table_Investimentos_Main[Data]&amp;Table_Investimentos_Main[Nome],Table_Investimentos_Main[Total (R$)],"NOT FOUND")</f>
        <v>7172.8092000000006</v>
      </c>
      <c r="K264" s="80" cm="1">
        <f t="array" ref="K264">Table_Investimentos_Porcent[[#This Row],[Total (R$)]]/_xlfn.XLOOKUP(Table_Investimentos_Porcent[[#This Row],[Data]]&amp;Table_Investimentos_Porcent[[#This Row],[Nome]],Table_Investimentos_Main[Data]&amp;Table_Investimentos_Main[Nome],Table_Investimentos_Main[Cotação Dolar],"NOT FOUND")</f>
        <v>1373.5751053236309</v>
      </c>
      <c r="O264" s="3"/>
      <c r="P264" s="3"/>
      <c r="Q264" s="3"/>
      <c r="V264" s="5"/>
      <c r="W264" s="5"/>
    </row>
    <row r="265" spans="2:23" x14ac:dyDescent="0.2">
      <c r="B265" s="8">
        <v>46054</v>
      </c>
      <c r="C265" s="34" t="s">
        <v>77</v>
      </c>
      <c r="D265" s="5" t="s">
        <v>36</v>
      </c>
      <c r="E265" s="5"/>
      <c r="F265" s="5"/>
      <c r="G265" s="5" cm="1">
        <f t="array" ref="G265">_xlfn.XLOOKUP(Table_Investimentos_Porcent[[#This Row],[Data]]&amp;Table_Investimentos_Porcent[[#This Row],[Nome]],Table_Investimentos_Main[Data]&amp;Table_Investimentos_Main[Nome],Table_Investimentos_Main[Estratégia],"NOT FOUND")</f>
        <v>0</v>
      </c>
      <c r="H265" s="5" t="str" cm="1">
        <f t="array" ref="H265">_xlfn.XLOOKUP(Table_Investimentos_Porcent[[#This Row],[Data]]&amp;Table_Investimentos_Porcent[[#This Row],[Nome]],Table_Investimentos_Main[Data]&amp;Table_Investimentos_Main[Nome],Table_Investimentos_Main[Moeda Base],"NOT FOUND")</f>
        <v>USD</v>
      </c>
      <c r="I265" s="69">
        <v>1</v>
      </c>
      <c r="J265" s="18" cm="1">
        <f t="array" ref="J265">Table_Investimentos_Porcent[[#This Row],[Porcentagem]]*_xlfn.XLOOKUP(Table_Investimentos_Porcent[[#This Row],[Data]]&amp;Table_Investimentos_Porcent[[#This Row],[Nome]],Table_Investimentos_Main[Data]&amp;Table_Investimentos_Main[Nome],Table_Investimentos_Main[Total (R$)],"NOT FOUND")</f>
        <v>1233.5008138922001</v>
      </c>
      <c r="K265" s="80" cm="1">
        <f t="array" ref="K265">Table_Investimentos_Porcent[[#This Row],[Total (R$)]]/_xlfn.XLOOKUP(Table_Investimentos_Porcent[[#This Row],[Data]]&amp;Table_Investimentos_Porcent[[#This Row],[Nome]],Table_Investimentos_Main[Data]&amp;Table_Investimentos_Main[Nome],Table_Investimentos_Main[Cotação Dolar],"NOT FOUND")</f>
        <v>236.21233509999999</v>
      </c>
      <c r="O265" s="3"/>
      <c r="P265" s="3"/>
      <c r="Q265" s="3"/>
      <c r="V265" s="5"/>
      <c r="W265" s="5"/>
    </row>
    <row r="266" spans="2:23" x14ac:dyDescent="0.2">
      <c r="B266" s="8">
        <v>46054</v>
      </c>
      <c r="C266" s="34" t="s">
        <v>70</v>
      </c>
      <c r="D266" s="5" t="s">
        <v>23</v>
      </c>
      <c r="E266" s="5"/>
      <c r="F266" s="5"/>
      <c r="G266" s="5" cm="1">
        <f t="array" ref="G266">_xlfn.XLOOKUP(Table_Investimentos_Porcent[[#This Row],[Data]]&amp;Table_Investimentos_Porcent[[#This Row],[Nome]],Table_Investimentos_Main[Data]&amp;Table_Investimentos_Main[Nome],Table_Investimentos_Main[Estratégia],"NOT FOUND")</f>
        <v>0</v>
      </c>
      <c r="H266" s="5" t="str" cm="1">
        <f t="array" ref="H266">_xlfn.XLOOKUP(Table_Investimentos_Porcent[[#This Row],[Data]]&amp;Table_Investimentos_Porcent[[#This Row],[Nome]],Table_Investimentos_Main[Data]&amp;Table_Investimentos_Main[Nome],Table_Investimentos_Main[Moeda Base],"NOT FOUND")</f>
        <v>USD</v>
      </c>
      <c r="I266" s="69">
        <v>1</v>
      </c>
      <c r="J266" s="18" cm="1">
        <f t="array" ref="J266">Table_Investimentos_Porcent[[#This Row],[Porcentagem]]*_xlfn.XLOOKUP(Table_Investimentos_Porcent[[#This Row],[Data]]&amp;Table_Investimentos_Porcent[[#This Row],[Nome]],Table_Investimentos_Main[Data]&amp;Table_Investimentos_Main[Nome],Table_Investimentos_Main[Total (R$)],"NOT FOUND")</f>
        <v>7168.9384886692351</v>
      </c>
      <c r="K266" s="80" cm="1">
        <f t="array" ref="K266">Table_Investimentos_Porcent[[#This Row],[Total (R$)]]/_xlfn.XLOOKUP(Table_Investimentos_Porcent[[#This Row],[Data]]&amp;Table_Investimentos_Porcent[[#This Row],[Nome]],Table_Investimentos_Main[Data]&amp;Table_Investimentos_Main[Nome],Table_Investimentos_Main[Cotação Dolar],"NOT FOUND")</f>
        <v>1372.8338737397999</v>
      </c>
      <c r="O266" s="3"/>
      <c r="P266" s="3"/>
      <c r="Q266" s="3"/>
      <c r="V266" s="5"/>
      <c r="W266" s="5"/>
    </row>
    <row r="267" spans="2:23" x14ac:dyDescent="0.2">
      <c r="B267" s="8">
        <v>46054</v>
      </c>
      <c r="C267" s="34" t="s">
        <v>79</v>
      </c>
      <c r="D267" s="5" t="s">
        <v>23</v>
      </c>
      <c r="E267" s="5"/>
      <c r="F267" s="5"/>
      <c r="G267" s="5" cm="1">
        <f t="array" ref="G267">_xlfn.XLOOKUP(Table_Investimentos_Porcent[[#This Row],[Data]]&amp;Table_Investimentos_Porcent[[#This Row],[Nome]],Table_Investimentos_Main[Data]&amp;Table_Investimentos_Main[Nome],Table_Investimentos_Main[Estratégia],"NOT FOUND")</f>
        <v>0</v>
      </c>
      <c r="H267" s="5" t="str" cm="1">
        <f t="array" ref="H267">_xlfn.XLOOKUP(Table_Investimentos_Porcent[[#This Row],[Data]]&amp;Table_Investimentos_Porcent[[#This Row],[Nome]],Table_Investimentos_Main[Data]&amp;Table_Investimentos_Main[Nome],Table_Investimentos_Main[Moeda Base],"NOT FOUND")</f>
        <v>USD</v>
      </c>
      <c r="I267" s="69">
        <v>1</v>
      </c>
      <c r="J267" s="18" cm="1">
        <f t="array" ref="J267">Table_Investimentos_Porcent[[#This Row],[Porcentagem]]*_xlfn.XLOOKUP(Table_Investimentos_Porcent[[#This Row],[Data]]&amp;Table_Investimentos_Porcent[[#This Row],[Nome]],Table_Investimentos_Main[Data]&amp;Table_Investimentos_Main[Nome],Table_Investimentos_Main[Total (R$)],"NOT FOUND")</f>
        <v>3764.5157787999997</v>
      </c>
      <c r="K267" s="80" cm="1">
        <f t="array" ref="K267">Table_Investimentos_Porcent[[#This Row],[Total (R$)]]/_xlfn.XLOOKUP(Table_Investimentos_Porcent[[#This Row],[Data]]&amp;Table_Investimentos_Porcent[[#This Row],[Nome]],Table_Investimentos_Main[Data]&amp;Table_Investimentos_Main[Nome],Table_Investimentos_Main[Cotação Dolar],"NOT FOUND")</f>
        <v>720.89539999999988</v>
      </c>
      <c r="O267" s="3"/>
      <c r="P267" s="3"/>
      <c r="Q267" s="3"/>
      <c r="V267" s="5"/>
      <c r="W267" s="5"/>
    </row>
    <row r="268" spans="2:23" x14ac:dyDescent="0.2">
      <c r="B268" s="8">
        <v>46082</v>
      </c>
      <c r="C268" s="34" t="s">
        <v>44</v>
      </c>
      <c r="D268" s="5" t="s">
        <v>17</v>
      </c>
      <c r="E268" s="5"/>
      <c r="F268" s="5"/>
      <c r="G268" s="5" cm="1">
        <f t="array" ref="G268">_xlfn.XLOOKUP(Table_Investimentos_Porcent[[#This Row],[Data]]&amp;Table_Investimentos_Porcent[[#This Row],[Nome]],Table_Investimentos_Main[Data]&amp;Table_Investimentos_Main[Nome],Table_Investimentos_Main[Estratégia],"NOT FOUND")</f>
        <v>0</v>
      </c>
      <c r="H268" s="5" t="str" cm="1">
        <f t="array" ref="H268">_xlfn.XLOOKUP(Table_Investimentos_Porcent[[#This Row],[Data]]&amp;Table_Investimentos_Porcent[[#This Row],[Nome]],Table_Investimentos_Main[Data]&amp;Table_Investimentos_Main[Nome],Table_Investimentos_Main[Moeda Base],"NOT FOUND")</f>
        <v>USD</v>
      </c>
      <c r="I268" s="69">
        <v>1</v>
      </c>
      <c r="J268" s="18" cm="1">
        <f t="array" ref="J268">Table_Investimentos_Porcent[[#This Row],[Porcentagem]]*_xlfn.XLOOKUP(Table_Investimentos_Porcent[[#This Row],[Data]]&amp;Table_Investimentos_Porcent[[#This Row],[Nome]],Table_Investimentos_Main[Data]&amp;Table_Investimentos_Main[Nome],Table_Investimentos_Main[Total (R$)],"NOT FOUND")</f>
        <v>8770.1081719999984</v>
      </c>
      <c r="K268" s="80" cm="1">
        <f t="array" ref="K268">Table_Investimentos_Porcent[[#This Row],[Total (R$)]]/_xlfn.XLOOKUP(Table_Investimentos_Porcent[[#This Row],[Data]]&amp;Table_Investimentos_Porcent[[#This Row],[Nome]],Table_Investimentos_Main[Data]&amp;Table_Investimentos_Main[Nome],Table_Investimentos_Main[Cotação Dolar],"NOT FOUND")</f>
        <v>1690.3299999999997</v>
      </c>
      <c r="O268" s="3"/>
      <c r="P268" s="3"/>
      <c r="Q268" s="3"/>
      <c r="V268" s="5"/>
      <c r="W268" s="5"/>
    </row>
    <row r="269" spans="2:23" x14ac:dyDescent="0.2">
      <c r="B269" s="8">
        <v>46082</v>
      </c>
      <c r="C269" s="34" t="s">
        <v>74</v>
      </c>
      <c r="D269" s="5" t="s">
        <v>17</v>
      </c>
      <c r="E269" s="5"/>
      <c r="F269" s="5"/>
      <c r="G269" s="5" cm="1">
        <f t="array" ref="G269">_xlfn.XLOOKUP(Table_Investimentos_Porcent[[#This Row],[Data]]&amp;Table_Investimentos_Porcent[[#This Row],[Nome]],Table_Investimentos_Main[Data]&amp;Table_Investimentos_Main[Nome],Table_Investimentos_Main[Estratégia],"NOT FOUND")</f>
        <v>0</v>
      </c>
      <c r="H269" s="5" t="str" cm="1">
        <f t="array" ref="H269">_xlfn.XLOOKUP(Table_Investimentos_Porcent[[#This Row],[Data]]&amp;Table_Investimentos_Porcent[[#This Row],[Nome]],Table_Investimentos_Main[Data]&amp;Table_Investimentos_Main[Nome],Table_Investimentos_Main[Moeda Base],"NOT FOUND")</f>
        <v>BRL</v>
      </c>
      <c r="I269" s="69">
        <v>1</v>
      </c>
      <c r="J269" s="18" cm="1">
        <f t="array" ref="J269">Table_Investimentos_Porcent[[#This Row],[Porcentagem]]*_xlfn.XLOOKUP(Table_Investimentos_Porcent[[#This Row],[Data]]&amp;Table_Investimentos_Porcent[[#This Row],[Nome]],Table_Investimentos_Main[Data]&amp;Table_Investimentos_Main[Nome],Table_Investimentos_Main[Total (R$)],"NOT FOUND")</f>
        <v>11743.35</v>
      </c>
      <c r="K269" s="80" cm="1">
        <f t="array" ref="K269">Table_Investimentos_Porcent[[#This Row],[Total (R$)]]/_xlfn.XLOOKUP(Table_Investimentos_Porcent[[#This Row],[Data]]&amp;Table_Investimentos_Porcent[[#This Row],[Nome]],Table_Investimentos_Main[Data]&amp;Table_Investimentos_Main[Nome],Table_Investimentos_Main[Cotação Dolar],"NOT FOUND")</f>
        <v>2263.3856294811503</v>
      </c>
      <c r="O269" s="3"/>
      <c r="P269" s="3"/>
      <c r="Q269" s="3"/>
      <c r="V269" s="5"/>
      <c r="W269" s="5"/>
    </row>
    <row r="270" spans="2:23" x14ac:dyDescent="0.2">
      <c r="B270" s="8">
        <v>46082</v>
      </c>
      <c r="C270" s="34" t="s">
        <v>58</v>
      </c>
      <c r="D270" s="5" t="s">
        <v>17</v>
      </c>
      <c r="E270" s="5"/>
      <c r="F270" s="5"/>
      <c r="G270" s="5" cm="1">
        <f t="array" ref="G270">_xlfn.XLOOKUP(Table_Investimentos_Porcent[[#This Row],[Data]]&amp;Table_Investimentos_Porcent[[#This Row],[Nome]],Table_Investimentos_Main[Data]&amp;Table_Investimentos_Main[Nome],Table_Investimentos_Main[Estratégia],"NOT FOUND")</f>
        <v>0</v>
      </c>
      <c r="H270" s="5" t="str" cm="1">
        <f t="array" ref="H270">_xlfn.XLOOKUP(Table_Investimentos_Porcent[[#This Row],[Data]]&amp;Table_Investimentos_Porcent[[#This Row],[Nome]],Table_Investimentos_Main[Data]&amp;Table_Investimentos_Main[Nome],Table_Investimentos_Main[Moeda Base],"NOT FOUND")</f>
        <v>BRL</v>
      </c>
      <c r="I270" s="69">
        <v>1</v>
      </c>
      <c r="J270" s="18" cm="1">
        <f t="array" ref="J270">Table_Investimentos_Porcent[[#This Row],[Porcentagem]]*_xlfn.XLOOKUP(Table_Investimentos_Porcent[[#This Row],[Data]]&amp;Table_Investimentos_Porcent[[#This Row],[Nome]],Table_Investimentos_Main[Data]&amp;Table_Investimentos_Main[Nome],Table_Investimentos_Main[Total (R$)],"NOT FOUND")</f>
        <v>9347.15</v>
      </c>
      <c r="K270" s="80" cm="1">
        <f t="array" ref="K270">Table_Investimentos_Porcent[[#This Row],[Total (R$)]]/_xlfn.XLOOKUP(Table_Investimentos_Porcent[[#This Row],[Data]]&amp;Table_Investimentos_Porcent[[#This Row],[Nome]],Table_Investimentos_Main[Data]&amp;Table_Investimentos_Main[Nome],Table_Investimentos_Main[Cotação Dolar],"NOT FOUND")</f>
        <v>1801.547683293501</v>
      </c>
      <c r="O270" s="3"/>
      <c r="P270" s="3"/>
      <c r="Q270" s="3"/>
      <c r="V270" s="5"/>
      <c r="W270" s="5"/>
    </row>
    <row r="271" spans="2:23" x14ac:dyDescent="0.2">
      <c r="B271" s="8">
        <v>46082</v>
      </c>
      <c r="C271" s="34" t="s">
        <v>42</v>
      </c>
      <c r="D271" s="5" t="s">
        <v>13</v>
      </c>
      <c r="E271" s="5"/>
      <c r="F271" s="5"/>
      <c r="G271" s="5" cm="1">
        <f t="array" ref="G271">_xlfn.XLOOKUP(Table_Investimentos_Porcent[[#This Row],[Data]]&amp;Table_Investimentos_Porcent[[#This Row],[Nome]],Table_Investimentos_Main[Data]&amp;Table_Investimentos_Main[Nome],Table_Investimentos_Main[Estratégia],"NOT FOUND")</f>
        <v>0</v>
      </c>
      <c r="H271" s="5" t="str" cm="1">
        <f t="array" ref="H271">_xlfn.XLOOKUP(Table_Investimentos_Porcent[[#This Row],[Data]]&amp;Table_Investimentos_Porcent[[#This Row],[Nome]],Table_Investimentos_Main[Data]&amp;Table_Investimentos_Main[Nome],Table_Investimentos_Main[Moeda Base],"NOT FOUND")</f>
        <v>BTC</v>
      </c>
      <c r="I271" s="69">
        <v>1</v>
      </c>
      <c r="J271" s="18" cm="1">
        <f t="array" ref="J271">Table_Investimentos_Porcent[[#This Row],[Porcentagem]]*_xlfn.XLOOKUP(Table_Investimentos_Porcent[[#This Row],[Data]]&amp;Table_Investimentos_Porcent[[#This Row],[Nome]],Table_Investimentos_Main[Data]&amp;Table_Investimentos_Main[Nome],Table_Investimentos_Main[Total (R$)],"NOT FOUND")</f>
        <v>2243.0241864</v>
      </c>
      <c r="K271" s="80" cm="1">
        <f t="array" ref="K271">Table_Investimentos_Porcent[[#This Row],[Total (R$)]]/_xlfn.XLOOKUP(Table_Investimentos_Porcent[[#This Row],[Data]]&amp;Table_Investimentos_Porcent[[#This Row],[Nome]],Table_Investimentos_Main[Data]&amp;Table_Investimentos_Main[Nome],Table_Investimentos_Main[Cotação Dolar],"NOT FOUND")</f>
        <v>432.31520052424639</v>
      </c>
      <c r="O271" s="3"/>
      <c r="P271" s="3"/>
      <c r="Q271" s="3"/>
      <c r="V271" s="5"/>
      <c r="W271" s="5"/>
    </row>
    <row r="272" spans="2:23" x14ac:dyDescent="0.2">
      <c r="B272" s="8">
        <v>46082</v>
      </c>
      <c r="C272" s="34" t="s">
        <v>49</v>
      </c>
      <c r="D272" s="5" t="s">
        <v>13</v>
      </c>
      <c r="E272" s="5"/>
      <c r="F272" s="5"/>
      <c r="G272" s="5" cm="1">
        <f t="array" ref="G272">_xlfn.XLOOKUP(Table_Investimentos_Porcent[[#This Row],[Data]]&amp;Table_Investimentos_Porcent[[#This Row],[Nome]],Table_Investimentos_Main[Data]&amp;Table_Investimentos_Main[Nome],Table_Investimentos_Main[Estratégia],"NOT FOUND")</f>
        <v>0</v>
      </c>
      <c r="H272" s="5" t="str" cm="1">
        <f t="array" ref="H272">_xlfn.XLOOKUP(Table_Investimentos_Porcent[[#This Row],[Data]]&amp;Table_Investimentos_Porcent[[#This Row],[Nome]],Table_Investimentos_Main[Data]&amp;Table_Investimentos_Main[Nome],Table_Investimentos_Main[Moeda Base],"NOT FOUND")</f>
        <v>USD</v>
      </c>
      <c r="I272" s="69">
        <v>1</v>
      </c>
      <c r="J272" s="18" cm="1">
        <f t="array" ref="J272">Table_Investimentos_Porcent[[#This Row],[Porcentagem]]*_xlfn.XLOOKUP(Table_Investimentos_Porcent[[#This Row],[Data]]&amp;Table_Investimentos_Porcent[[#This Row],[Nome]],Table_Investimentos_Main[Data]&amp;Table_Investimentos_Main[Nome],Table_Investimentos_Main[Total (R$)],"NOT FOUND")</f>
        <v>2742.4218799999999</v>
      </c>
      <c r="K272" s="80" cm="1">
        <f t="array" ref="K272">Table_Investimentos_Porcent[[#This Row],[Total (R$)]]/_xlfn.XLOOKUP(Table_Investimentos_Porcent[[#This Row],[Data]]&amp;Table_Investimentos_Porcent[[#This Row],[Nome]],Table_Investimentos_Main[Data]&amp;Table_Investimentos_Main[Nome],Table_Investimentos_Main[Cotação Dolar],"NOT FOUND")</f>
        <v>528.56793616529183</v>
      </c>
      <c r="O272" s="3"/>
      <c r="P272" s="3"/>
      <c r="Q272" s="3"/>
      <c r="V272" s="5"/>
      <c r="W272" s="5"/>
    </row>
    <row r="273" spans="2:23" x14ac:dyDescent="0.2">
      <c r="B273" s="8">
        <v>46082</v>
      </c>
      <c r="C273" s="34" t="s">
        <v>41</v>
      </c>
      <c r="D273" s="5" t="s">
        <v>13</v>
      </c>
      <c r="E273" s="5"/>
      <c r="F273" s="5"/>
      <c r="G273" s="5" cm="1">
        <f t="array" ref="G273">_xlfn.XLOOKUP(Table_Investimentos_Porcent[[#This Row],[Data]]&amp;Table_Investimentos_Porcent[[#This Row],[Nome]],Table_Investimentos_Main[Data]&amp;Table_Investimentos_Main[Nome],Table_Investimentos_Main[Estratégia],"NOT FOUND")</f>
        <v>0</v>
      </c>
      <c r="H273" s="5" t="str" cm="1">
        <f t="array" ref="H273">_xlfn.XLOOKUP(Table_Investimentos_Porcent[[#This Row],[Data]]&amp;Table_Investimentos_Porcent[[#This Row],[Nome]],Table_Investimentos_Main[Data]&amp;Table_Investimentos_Main[Nome],Table_Investimentos_Main[Moeda Base],"NOT FOUND")</f>
        <v>BTC</v>
      </c>
      <c r="I273" s="69">
        <v>1</v>
      </c>
      <c r="J273" s="18" cm="1">
        <f t="array" ref="J273">Table_Investimentos_Porcent[[#This Row],[Porcentagem]]*_xlfn.XLOOKUP(Table_Investimentos_Porcent[[#This Row],[Data]]&amp;Table_Investimentos_Porcent[[#This Row],[Nome]],Table_Investimentos_Main[Data]&amp;Table_Investimentos_Main[Nome],Table_Investimentos_Main[Total (R$)],"NOT FOUND")</f>
        <v>110351.78461089999</v>
      </c>
      <c r="K273" s="80" cm="1">
        <f t="array" ref="K273">Table_Investimentos_Porcent[[#This Row],[Total (R$)]]/_xlfn.XLOOKUP(Table_Investimentos_Porcent[[#This Row],[Data]]&amp;Table_Investimentos_Porcent[[#This Row],[Nome]],Table_Investimentos_Main[Data]&amp;Table_Investimentos_Main[Nome],Table_Investimentos_Main[Cotação Dolar],"NOT FOUND")</f>
        <v>21268.943144495413</v>
      </c>
      <c r="O273" s="3"/>
      <c r="P273" s="3"/>
      <c r="Q273" s="3"/>
      <c r="V273" s="5"/>
      <c r="W273" s="5"/>
    </row>
    <row r="274" spans="2:23" x14ac:dyDescent="0.2">
      <c r="B274" s="8">
        <v>46082</v>
      </c>
      <c r="C274" s="34" t="s">
        <v>76</v>
      </c>
      <c r="D274" s="5" t="s">
        <v>20</v>
      </c>
      <c r="E274" s="5"/>
      <c r="F274" s="5"/>
      <c r="G274" s="5" cm="1">
        <f t="array" ref="G274">_xlfn.XLOOKUP(Table_Investimentos_Porcent[[#This Row],[Data]]&amp;Table_Investimentos_Porcent[[#This Row],[Nome]],Table_Investimentos_Main[Data]&amp;Table_Investimentos_Main[Nome],Table_Investimentos_Main[Estratégia],"NOT FOUND")</f>
        <v>0</v>
      </c>
      <c r="H274" s="5" t="str" cm="1">
        <f t="array" ref="H274">_xlfn.XLOOKUP(Table_Investimentos_Porcent[[#This Row],[Data]]&amp;Table_Investimentos_Porcent[[#This Row],[Nome]],Table_Investimentos_Main[Data]&amp;Table_Investimentos_Main[Nome],Table_Investimentos_Main[Moeda Base],"NOT FOUND")</f>
        <v>BRL</v>
      </c>
      <c r="I274" s="69">
        <v>1</v>
      </c>
      <c r="J274" s="18" cm="1">
        <f t="array" ref="J274">Table_Investimentos_Porcent[[#This Row],[Porcentagem]]*_xlfn.XLOOKUP(Table_Investimentos_Porcent[[#This Row],[Data]]&amp;Table_Investimentos_Porcent[[#This Row],[Nome]],Table_Investimentos_Main[Data]&amp;Table_Investimentos_Main[Nome],Table_Investimentos_Main[Total (R$)],"NOT FOUND")</f>
        <v>7929.8618000000015</v>
      </c>
      <c r="K274" s="80" cm="1">
        <f t="array" ref="K274">Table_Investimentos_Porcent[[#This Row],[Total (R$)]]/_xlfn.XLOOKUP(Table_Investimentos_Porcent[[#This Row],[Data]]&amp;Table_Investimentos_Porcent[[#This Row],[Nome]],Table_Investimentos_Main[Data]&amp;Table_Investimentos_Main[Nome],Table_Investimentos_Main[Cotação Dolar],"NOT FOUND")</f>
        <v>1528.3828926065844</v>
      </c>
      <c r="O274" s="3"/>
      <c r="P274" s="3"/>
      <c r="Q274" s="3"/>
      <c r="V274" s="5"/>
      <c r="W274" s="5"/>
    </row>
    <row r="275" spans="2:23" x14ac:dyDescent="0.2">
      <c r="B275" s="8">
        <v>46082</v>
      </c>
      <c r="C275" s="34" t="s">
        <v>68</v>
      </c>
      <c r="D275" s="5" t="s">
        <v>20</v>
      </c>
      <c r="E275" s="5"/>
      <c r="F275" s="5"/>
      <c r="G275" s="5" cm="1">
        <f t="array" ref="G275">_xlfn.XLOOKUP(Table_Investimentos_Porcent[[#This Row],[Data]]&amp;Table_Investimentos_Porcent[[#This Row],[Nome]],Table_Investimentos_Main[Data]&amp;Table_Investimentos_Main[Nome],Table_Investimentos_Main[Estratégia],"NOT FOUND")</f>
        <v>0</v>
      </c>
      <c r="H275" s="5" t="str" cm="1">
        <f t="array" ref="H275">_xlfn.XLOOKUP(Table_Investimentos_Porcent[[#This Row],[Data]]&amp;Table_Investimentos_Porcent[[#This Row],[Nome]],Table_Investimentos_Main[Data]&amp;Table_Investimentos_Main[Nome],Table_Investimentos_Main[Moeda Base],"NOT FOUND")</f>
        <v>BRL</v>
      </c>
      <c r="I275" s="69">
        <v>1</v>
      </c>
      <c r="J275" s="18" cm="1">
        <f t="array" ref="J275">Table_Investimentos_Porcent[[#This Row],[Porcentagem]]*_xlfn.XLOOKUP(Table_Investimentos_Porcent[[#This Row],[Data]]&amp;Table_Investimentos_Porcent[[#This Row],[Nome]],Table_Investimentos_Main[Data]&amp;Table_Investimentos_Main[Nome],Table_Investimentos_Main[Total (R$)],"NOT FOUND")</f>
        <v>13211.9</v>
      </c>
      <c r="K275" s="80" cm="1">
        <f t="array" ref="K275">Table_Investimentos_Porcent[[#This Row],[Total (R$)]]/_xlfn.XLOOKUP(Table_Investimentos_Porcent[[#This Row],[Data]]&amp;Table_Investimentos_Porcent[[#This Row],[Nome]],Table_Investimentos_Main[Data]&amp;Table_Investimentos_Main[Nome],Table_Investimentos_Main[Cotação Dolar],"NOT FOUND")</f>
        <v>2546.4304988050267</v>
      </c>
      <c r="O275" s="3"/>
      <c r="P275" s="3"/>
      <c r="Q275" s="3"/>
      <c r="V275" s="5"/>
      <c r="W275" s="5"/>
    </row>
    <row r="276" spans="2:23" x14ac:dyDescent="0.2">
      <c r="B276" s="8">
        <v>46082</v>
      </c>
      <c r="C276" s="34" t="s">
        <v>64</v>
      </c>
      <c r="D276" s="5" t="s">
        <v>20</v>
      </c>
      <c r="E276" s="5"/>
      <c r="F276" s="5"/>
      <c r="G276" s="5" cm="1">
        <f t="array" ref="G276">_xlfn.XLOOKUP(Table_Investimentos_Porcent[[#This Row],[Data]]&amp;Table_Investimentos_Porcent[[#This Row],[Nome]],Table_Investimentos_Main[Data]&amp;Table_Investimentos_Main[Nome],Table_Investimentos_Main[Estratégia],"NOT FOUND")</f>
        <v>0</v>
      </c>
      <c r="H276" s="5" t="str" cm="1">
        <f t="array" ref="H276">_xlfn.XLOOKUP(Table_Investimentos_Porcent[[#This Row],[Data]]&amp;Table_Investimentos_Porcent[[#This Row],[Nome]],Table_Investimentos_Main[Data]&amp;Table_Investimentos_Main[Nome],Table_Investimentos_Main[Moeda Base],"NOT FOUND")</f>
        <v>USD</v>
      </c>
      <c r="I276" s="69">
        <v>1</v>
      </c>
      <c r="J276" s="18" cm="1">
        <f t="array" ref="J276">Table_Investimentos_Porcent[[#This Row],[Porcentagem]]*_xlfn.XLOOKUP(Table_Investimentos_Porcent[[#This Row],[Data]]&amp;Table_Investimentos_Porcent[[#This Row],[Nome]],Table_Investimentos_Main[Data]&amp;Table_Investimentos_Main[Nome],Table_Investimentos_Main[Total (R$)],"NOT FOUND")</f>
        <v>2952.043948</v>
      </c>
      <c r="K276" s="80" cm="1">
        <f t="array" ref="K276">Table_Investimentos_Porcent[[#This Row],[Total (R$)]]/_xlfn.XLOOKUP(Table_Investimentos_Porcent[[#This Row],[Data]]&amp;Table_Investimentos_Porcent[[#This Row],[Nome]],Table_Investimentos_Main[Data]&amp;Table_Investimentos_Main[Nome],Table_Investimentos_Main[Cotação Dolar],"NOT FOUND")</f>
        <v>568.97</v>
      </c>
      <c r="O276" s="3"/>
      <c r="P276" s="3"/>
      <c r="Q276" s="3"/>
      <c r="V276" s="5"/>
      <c r="W276" s="5"/>
    </row>
    <row r="277" spans="2:23" x14ac:dyDescent="0.2">
      <c r="B277" s="8">
        <v>46082</v>
      </c>
      <c r="C277" s="34" t="s">
        <v>55</v>
      </c>
      <c r="D277" s="5" t="s">
        <v>36</v>
      </c>
      <c r="E277" s="5"/>
      <c r="F277" s="5"/>
      <c r="G277" s="5" cm="1">
        <f t="array" ref="G277">_xlfn.XLOOKUP(Table_Investimentos_Porcent[[#This Row],[Data]]&amp;Table_Investimentos_Porcent[[#This Row],[Nome]],Table_Investimentos_Main[Data]&amp;Table_Investimentos_Main[Nome],Table_Investimentos_Main[Estratégia],"NOT FOUND")</f>
        <v>0</v>
      </c>
      <c r="H277" s="5" t="str" cm="1">
        <f t="array" ref="H277">_xlfn.XLOOKUP(Table_Investimentos_Porcent[[#This Row],[Data]]&amp;Table_Investimentos_Porcent[[#This Row],[Nome]],Table_Investimentos_Main[Data]&amp;Table_Investimentos_Main[Nome],Table_Investimentos_Main[Moeda Base],"NOT FOUND")</f>
        <v>USD</v>
      </c>
      <c r="I277" s="69">
        <v>1</v>
      </c>
      <c r="J277" s="18" cm="1">
        <f t="array" ref="J277">Table_Investimentos_Porcent[[#This Row],[Porcentagem]]*_xlfn.XLOOKUP(Table_Investimentos_Porcent[[#This Row],[Data]]&amp;Table_Investimentos_Porcent[[#This Row],[Nome]],Table_Investimentos_Main[Data]&amp;Table_Investimentos_Main[Nome],Table_Investimentos_Main[Total (R$)],"NOT FOUND")</f>
        <v>2813.3655205017603</v>
      </c>
      <c r="K277" s="80" cm="1">
        <f t="array" ref="K277">Table_Investimentos_Porcent[[#This Row],[Total (R$)]]/_xlfn.XLOOKUP(Table_Investimentos_Porcent[[#This Row],[Data]]&amp;Table_Investimentos_Porcent[[#This Row],[Nome]],Table_Investimentos_Main[Data]&amp;Table_Investimentos_Main[Nome],Table_Investimentos_Main[Cotação Dolar],"NOT FOUND")</f>
        <v>542.24144640000009</v>
      </c>
      <c r="O277" s="3"/>
      <c r="P277" s="3"/>
      <c r="Q277" s="3"/>
      <c r="V277" s="5"/>
      <c r="W277" s="5"/>
    </row>
    <row r="278" spans="2:23" x14ac:dyDescent="0.2">
      <c r="B278" s="8">
        <v>46082</v>
      </c>
      <c r="C278" s="34" t="s">
        <v>51</v>
      </c>
      <c r="D278" s="5" t="s">
        <v>36</v>
      </c>
      <c r="E278" s="5"/>
      <c r="F278" s="5"/>
      <c r="G278" s="5" cm="1">
        <f t="array" ref="G278">_xlfn.XLOOKUP(Table_Investimentos_Porcent[[#This Row],[Data]]&amp;Table_Investimentos_Porcent[[#This Row],[Nome]],Table_Investimentos_Main[Data]&amp;Table_Investimentos_Main[Nome],Table_Investimentos_Main[Estratégia],"NOT FOUND")</f>
        <v>0</v>
      </c>
      <c r="H278" s="5" t="str" cm="1">
        <f t="array" ref="H278">_xlfn.XLOOKUP(Table_Investimentos_Porcent[[#This Row],[Data]]&amp;Table_Investimentos_Porcent[[#This Row],[Nome]],Table_Investimentos_Main[Data]&amp;Table_Investimentos_Main[Nome],Table_Investimentos_Main[Moeda Base],"NOT FOUND")</f>
        <v>USD</v>
      </c>
      <c r="I278" s="69">
        <v>1</v>
      </c>
      <c r="J278" s="18" cm="1">
        <f t="array" ref="J278">Table_Investimentos_Porcent[[#This Row],[Porcentagem]]*_xlfn.XLOOKUP(Table_Investimentos_Porcent[[#This Row],[Data]]&amp;Table_Investimentos_Porcent[[#This Row],[Nome]],Table_Investimentos_Main[Data]&amp;Table_Investimentos_Main[Nome],Table_Investimentos_Main[Total (R$)],"NOT FOUND")</f>
        <v>5624.5505417094</v>
      </c>
      <c r="K278" s="80" cm="1">
        <f t="array" ref="K278">Table_Investimentos_Porcent[[#This Row],[Total (R$)]]/_xlfn.XLOOKUP(Table_Investimentos_Porcent[[#This Row],[Data]]&amp;Table_Investimentos_Porcent[[#This Row],[Nome]],Table_Investimentos_Main[Data]&amp;Table_Investimentos_Main[Nome],Table_Investimentos_Main[Cotação Dolar],"NOT FOUND")</f>
        <v>1084.0626285000001</v>
      </c>
      <c r="O278" s="3"/>
      <c r="P278" s="3"/>
      <c r="Q278" s="3"/>
      <c r="V278" s="5"/>
      <c r="W278" s="5"/>
    </row>
    <row r="279" spans="2:23" x14ac:dyDescent="0.2">
      <c r="B279" s="8">
        <v>46082</v>
      </c>
      <c r="C279" s="34" t="s">
        <v>75</v>
      </c>
      <c r="D279" s="5" t="s">
        <v>36</v>
      </c>
      <c r="E279" s="5"/>
      <c r="F279" s="5"/>
      <c r="G279" s="5" cm="1">
        <f t="array" ref="G279">_xlfn.XLOOKUP(Table_Investimentos_Porcent[[#This Row],[Data]]&amp;Table_Investimentos_Porcent[[#This Row],[Nome]],Table_Investimentos_Main[Data]&amp;Table_Investimentos_Main[Nome],Table_Investimentos_Main[Estratégia],"NOT FOUND")</f>
        <v>0</v>
      </c>
      <c r="H279" s="5" t="str" cm="1">
        <f t="array" ref="H279">_xlfn.XLOOKUP(Table_Investimentos_Porcent[[#This Row],[Data]]&amp;Table_Investimentos_Porcent[[#This Row],[Nome]],Table_Investimentos_Main[Data]&amp;Table_Investimentos_Main[Nome],Table_Investimentos_Main[Moeda Base],"NOT FOUND")</f>
        <v>BRL</v>
      </c>
      <c r="I279" s="69">
        <v>1</v>
      </c>
      <c r="J279" s="18" cm="1">
        <f t="array" ref="J279">Table_Investimentos_Porcent[[#This Row],[Porcentagem]]*_xlfn.XLOOKUP(Table_Investimentos_Porcent[[#This Row],[Data]]&amp;Table_Investimentos_Porcent[[#This Row],[Nome]],Table_Investimentos_Main[Data]&amp;Table_Investimentos_Main[Nome],Table_Investimentos_Main[Total (R$)],"NOT FOUND")</f>
        <v>9308.9682000000012</v>
      </c>
      <c r="K279" s="80" cm="1">
        <f t="array" ref="K279">Table_Investimentos_Porcent[[#This Row],[Total (R$)]]/_xlfn.XLOOKUP(Table_Investimentos_Porcent[[#This Row],[Data]]&amp;Table_Investimentos_Porcent[[#This Row],[Nome]],Table_Investimentos_Main[Data]&amp;Table_Investimentos_Main[Nome],Table_Investimentos_Main[Cotação Dolar],"NOT FOUND")</f>
        <v>1794.1886130599032</v>
      </c>
      <c r="O279" s="3"/>
      <c r="P279" s="3"/>
      <c r="Q279" s="3"/>
      <c r="V279" s="5"/>
      <c r="W279" s="5"/>
    </row>
    <row r="280" spans="2:23" x14ac:dyDescent="0.2">
      <c r="B280" s="8">
        <v>46082</v>
      </c>
      <c r="C280" s="34" t="s">
        <v>77</v>
      </c>
      <c r="D280" s="5" t="s">
        <v>36</v>
      </c>
      <c r="E280" s="5"/>
      <c r="F280" s="5"/>
      <c r="G280" s="5" cm="1">
        <f t="array" ref="G280">_xlfn.XLOOKUP(Table_Investimentos_Porcent[[#This Row],[Data]]&amp;Table_Investimentos_Porcent[[#This Row],[Nome]],Table_Investimentos_Main[Data]&amp;Table_Investimentos_Main[Nome],Table_Investimentos_Main[Estratégia],"NOT FOUND")</f>
        <v>0</v>
      </c>
      <c r="H280" s="5" t="str" cm="1">
        <f t="array" ref="H280">_xlfn.XLOOKUP(Table_Investimentos_Porcent[[#This Row],[Data]]&amp;Table_Investimentos_Porcent[[#This Row],[Nome]],Table_Investimentos_Main[Data]&amp;Table_Investimentos_Main[Nome],Table_Investimentos_Main[Moeda Base],"NOT FOUND")</f>
        <v>USD</v>
      </c>
      <c r="I280" s="69">
        <v>1</v>
      </c>
      <c r="J280" s="18" cm="1">
        <f t="array" ref="J280">Table_Investimentos_Porcent[[#This Row],[Porcentagem]]*_xlfn.XLOOKUP(Table_Investimentos_Porcent[[#This Row],[Data]]&amp;Table_Investimentos_Porcent[[#This Row],[Nome]],Table_Investimentos_Main[Data]&amp;Table_Investimentos_Main[Nome],Table_Investimentos_Main[Total (R$)],"NOT FOUND")</f>
        <v>1347.9714121400796</v>
      </c>
      <c r="K280" s="80" cm="1">
        <f t="array" ref="K280">Table_Investimentos_Porcent[[#This Row],[Total (R$)]]/_xlfn.XLOOKUP(Table_Investimentos_Porcent[[#This Row],[Data]]&amp;Table_Investimentos_Porcent[[#This Row],[Nome]],Table_Investimentos_Main[Data]&amp;Table_Investimentos_Main[Nome],Table_Investimentos_Main[Cotação Dolar],"NOT FOUND")</f>
        <v>259.80483619999995</v>
      </c>
      <c r="O280" s="3"/>
      <c r="P280" s="3"/>
      <c r="Q280" s="3"/>
      <c r="V280" s="5"/>
      <c r="W280" s="5"/>
    </row>
    <row r="281" spans="2:23" x14ac:dyDescent="0.2">
      <c r="B281" s="8">
        <v>46082</v>
      </c>
      <c r="C281" s="34" t="s">
        <v>70</v>
      </c>
      <c r="D281" s="5" t="s">
        <v>23</v>
      </c>
      <c r="E281" s="5"/>
      <c r="F281" s="5"/>
      <c r="G281" s="5" cm="1">
        <f t="array" ref="G281">_xlfn.XLOOKUP(Table_Investimentos_Porcent[[#This Row],[Data]]&amp;Table_Investimentos_Porcent[[#This Row],[Nome]],Table_Investimentos_Main[Data]&amp;Table_Investimentos_Main[Nome],Table_Investimentos_Main[Estratégia],"NOT FOUND")</f>
        <v>0</v>
      </c>
      <c r="H281" s="5" t="str" cm="1">
        <f t="array" ref="H281">_xlfn.XLOOKUP(Table_Investimentos_Porcent[[#This Row],[Data]]&amp;Table_Investimentos_Porcent[[#This Row],[Nome]],Table_Investimentos_Main[Data]&amp;Table_Investimentos_Main[Nome],Table_Investimentos_Main[Moeda Base],"NOT FOUND")</f>
        <v>USD</v>
      </c>
      <c r="I281" s="69">
        <v>1</v>
      </c>
      <c r="J281" s="18" cm="1">
        <f t="array" ref="J281">Table_Investimentos_Porcent[[#This Row],[Porcentagem]]*_xlfn.XLOOKUP(Table_Investimentos_Porcent[[#This Row],[Data]]&amp;Table_Investimentos_Porcent[[#This Row],[Nome]],Table_Investimentos_Main[Data]&amp;Table_Investimentos_Main[Nome],Table_Investimentos_Main[Total (R$)],"NOT FOUND")</f>
        <v>7384.8593099765267</v>
      </c>
      <c r="K281" s="80" cm="1">
        <f t="array" ref="K281">Table_Investimentos_Porcent[[#This Row],[Total (R$)]]/_xlfn.XLOOKUP(Table_Investimentos_Porcent[[#This Row],[Data]]&amp;Table_Investimentos_Porcent[[#This Row],[Nome]],Table_Investimentos_Main[Data]&amp;Table_Investimentos_Main[Nome],Table_Investimentos_Main[Cotação Dolar],"NOT FOUND")</f>
        <v>1423.3403958785998</v>
      </c>
      <c r="O281" s="3"/>
      <c r="P281" s="3"/>
      <c r="Q281" s="3"/>
      <c r="V281" s="5"/>
      <c r="W281" s="5"/>
    </row>
    <row r="282" spans="2:23" x14ac:dyDescent="0.2">
      <c r="B282" s="8">
        <v>46082</v>
      </c>
      <c r="C282" s="34" t="s">
        <v>79</v>
      </c>
      <c r="D282" s="5" t="s">
        <v>23</v>
      </c>
      <c r="E282" s="5"/>
      <c r="F282" s="5"/>
      <c r="G282" s="5" cm="1">
        <f t="array" ref="G282">_xlfn.XLOOKUP(Table_Investimentos_Porcent[[#This Row],[Data]]&amp;Table_Investimentos_Porcent[[#This Row],[Nome]],Table_Investimentos_Main[Data]&amp;Table_Investimentos_Main[Nome],Table_Investimentos_Main[Estratégia],"NOT FOUND")</f>
        <v>0</v>
      </c>
      <c r="H282" s="5" t="str" cm="1">
        <f t="array" ref="H282">_xlfn.XLOOKUP(Table_Investimentos_Porcent[[#This Row],[Data]]&amp;Table_Investimentos_Porcent[[#This Row],[Nome]],Table_Investimentos_Main[Data]&amp;Table_Investimentos_Main[Nome],Table_Investimentos_Main[Moeda Base],"NOT FOUND")</f>
        <v>USD</v>
      </c>
      <c r="I282" s="69">
        <v>1</v>
      </c>
      <c r="J282" s="18" cm="1">
        <f t="array" ref="J282">Table_Investimentos_Porcent[[#This Row],[Porcentagem]]*_xlfn.XLOOKUP(Table_Investimentos_Porcent[[#This Row],[Data]]&amp;Table_Investimentos_Porcent[[#This Row],[Nome]],Table_Investimentos_Main[Data]&amp;Table_Investimentos_Main[Nome],Table_Investimentos_Main[Total (R$)],"NOT FOUND")</f>
        <v>3879.9353286400001</v>
      </c>
      <c r="K282" s="80" cm="1">
        <f t="array" ref="K282">Table_Investimentos_Porcent[[#This Row],[Total (R$)]]/_xlfn.XLOOKUP(Table_Investimentos_Porcent[[#This Row],[Data]]&amp;Table_Investimentos_Porcent[[#This Row],[Nome]],Table_Investimentos_Main[Data]&amp;Table_Investimentos_Main[Nome],Table_Investimentos_Main[Cotação Dolar],"NOT FOUND")</f>
        <v>747.80960000000005</v>
      </c>
      <c r="O282" s="3"/>
      <c r="P282" s="3"/>
      <c r="Q282" s="3"/>
      <c r="V282" s="5"/>
      <c r="W282" s="5"/>
    </row>
    <row r="283" spans="2:23" x14ac:dyDescent="0.2">
      <c r="B283" s="8">
        <v>46113</v>
      </c>
      <c r="C283" s="34" t="s">
        <v>44</v>
      </c>
      <c r="D283" s="5" t="s">
        <v>17</v>
      </c>
      <c r="E283" s="5"/>
      <c r="F283" s="5"/>
      <c r="G283" s="5" cm="1">
        <f t="array" ref="G283">_xlfn.XLOOKUP(Table_Investimentos_Porcent[[#This Row],[Data]]&amp;Table_Investimentos_Porcent[[#This Row],[Nome]],Table_Investimentos_Main[Data]&amp;Table_Investimentos_Main[Nome],Table_Investimentos_Main[Estratégia],"NOT FOUND")</f>
        <v>0</v>
      </c>
      <c r="H283" s="5" t="str" cm="1">
        <f t="array" ref="H283">_xlfn.XLOOKUP(Table_Investimentos_Porcent[[#This Row],[Data]]&amp;Table_Investimentos_Porcent[[#This Row],[Nome]],Table_Investimentos_Main[Data]&amp;Table_Investimentos_Main[Nome],Table_Investimentos_Main[Moeda Base],"NOT FOUND")</f>
        <v>USD</v>
      </c>
      <c r="I283" s="69">
        <v>1</v>
      </c>
      <c r="J283" s="18" cm="1">
        <f t="array" ref="J283">Table_Investimentos_Porcent[[#This Row],[Porcentagem]]*_xlfn.XLOOKUP(Table_Investimentos_Porcent[[#This Row],[Data]]&amp;Table_Investimentos_Porcent[[#This Row],[Nome]],Table_Investimentos_Main[Data]&amp;Table_Investimentos_Main[Nome],Table_Investimentos_Main[Total (R$)],"NOT FOUND")</f>
        <v>8413.3262159999995</v>
      </c>
      <c r="K283" s="80" cm="1">
        <f t="array" ref="K283">Table_Investimentos_Porcent[[#This Row],[Total (R$)]]/_xlfn.XLOOKUP(Table_Investimentos_Porcent[[#This Row],[Data]]&amp;Table_Investimentos_Porcent[[#This Row],[Nome]],Table_Investimentos_Main[Data]&amp;Table_Investimentos_Main[Nome],Table_Investimentos_Main[Cotação Dolar],"NOT FOUND")</f>
        <v>1692.72</v>
      </c>
      <c r="O283" s="3"/>
      <c r="P283" s="3"/>
      <c r="Q283" s="3"/>
      <c r="V283" s="5"/>
      <c r="W283" s="5"/>
    </row>
    <row r="284" spans="2:23" x14ac:dyDescent="0.2">
      <c r="B284" s="8">
        <v>46113</v>
      </c>
      <c r="C284" s="34" t="s">
        <v>42</v>
      </c>
      <c r="D284" s="5" t="s">
        <v>13</v>
      </c>
      <c r="E284" s="5"/>
      <c r="F284" s="5"/>
      <c r="G284" s="5" cm="1">
        <f t="array" ref="G284">_xlfn.XLOOKUP(Table_Investimentos_Porcent[[#This Row],[Data]]&amp;Table_Investimentos_Porcent[[#This Row],[Nome]],Table_Investimentos_Main[Data]&amp;Table_Investimentos_Main[Nome],Table_Investimentos_Main[Estratégia],"NOT FOUND")</f>
        <v>0</v>
      </c>
      <c r="H284" s="5" t="str" cm="1">
        <f t="array" ref="H284">_xlfn.XLOOKUP(Table_Investimentos_Porcent[[#This Row],[Data]]&amp;Table_Investimentos_Porcent[[#This Row],[Nome]],Table_Investimentos_Main[Data]&amp;Table_Investimentos_Main[Nome],Table_Investimentos_Main[Moeda Base],"NOT FOUND")</f>
        <v>BTC</v>
      </c>
      <c r="I284" s="69">
        <v>1</v>
      </c>
      <c r="J284" s="18" cm="1">
        <f t="array" ref="J284">Table_Investimentos_Porcent[[#This Row],[Porcentagem]]*_xlfn.XLOOKUP(Table_Investimentos_Porcent[[#This Row],[Data]]&amp;Table_Investimentos_Porcent[[#This Row],[Nome]],Table_Investimentos_Main[Data]&amp;Table_Investimentos_Main[Nome],Table_Investimentos_Main[Total (R$)],"NOT FOUND")</f>
        <v>2284.0879233599999</v>
      </c>
      <c r="K284" s="80" cm="1">
        <f t="array" ref="K284">Table_Investimentos_Porcent[[#This Row],[Total (R$)]]/_xlfn.XLOOKUP(Table_Investimentos_Porcent[[#This Row],[Data]]&amp;Table_Investimentos_Porcent[[#This Row],[Nome]],Table_Investimentos_Main[Data]&amp;Table_Investimentos_Main[Nome],Table_Investimentos_Main[Cotação Dolar],"NOT FOUND")</f>
        <v>459.547295607911</v>
      </c>
      <c r="O284" s="3"/>
      <c r="P284" s="3"/>
      <c r="Q284" s="3"/>
      <c r="V284" s="5"/>
      <c r="W284" s="5"/>
    </row>
    <row r="285" spans="2:23" x14ac:dyDescent="0.2">
      <c r="B285" s="8">
        <v>46113</v>
      </c>
      <c r="C285" s="34" t="s">
        <v>49</v>
      </c>
      <c r="D285" s="5" t="s">
        <v>13</v>
      </c>
      <c r="E285" s="5"/>
      <c r="F285" s="5"/>
      <c r="G285" s="5" cm="1">
        <f t="array" ref="G285">_xlfn.XLOOKUP(Table_Investimentos_Porcent[[#This Row],[Data]]&amp;Table_Investimentos_Porcent[[#This Row],[Nome]],Table_Investimentos_Main[Data]&amp;Table_Investimentos_Main[Nome],Table_Investimentos_Main[Estratégia],"NOT FOUND")</f>
        <v>0</v>
      </c>
      <c r="H285" s="5" t="str" cm="1">
        <f t="array" ref="H285">_xlfn.XLOOKUP(Table_Investimentos_Porcent[[#This Row],[Data]]&amp;Table_Investimentos_Porcent[[#This Row],[Nome]],Table_Investimentos_Main[Data]&amp;Table_Investimentos_Main[Nome],Table_Investimentos_Main[Moeda Base],"NOT FOUND")</f>
        <v>USD</v>
      </c>
      <c r="I285" s="69">
        <v>1</v>
      </c>
      <c r="J285" s="18" cm="1">
        <f t="array" ref="J285">Table_Investimentos_Porcent[[#This Row],[Porcentagem]]*_xlfn.XLOOKUP(Table_Investimentos_Porcent[[#This Row],[Data]]&amp;Table_Investimentos_Porcent[[#This Row],[Nome]],Table_Investimentos_Main[Data]&amp;Table_Investimentos_Main[Nome],Table_Investimentos_Main[Total (R$)],"NOT FOUND")</f>
        <v>2642.1500640000004</v>
      </c>
      <c r="K285" s="80" cm="1">
        <f t="array" ref="K285">Table_Investimentos_Porcent[[#This Row],[Total (R$)]]/_xlfn.XLOOKUP(Table_Investimentos_Porcent[[#This Row],[Data]]&amp;Table_Investimentos_Porcent[[#This Row],[Nome]],Table_Investimentos_Main[Data]&amp;Table_Investimentos_Main[Nome],Table_Investimentos_Main[Cotação Dolar],"NOT FOUND")</f>
        <v>531.58764340180687</v>
      </c>
      <c r="O285" s="3"/>
      <c r="P285" s="3"/>
      <c r="Q285" s="3"/>
      <c r="V285" s="5"/>
      <c r="W285" s="5"/>
    </row>
    <row r="286" spans="2:23" x14ac:dyDescent="0.2">
      <c r="B286" s="8">
        <v>46113</v>
      </c>
      <c r="C286" s="34" t="s">
        <v>64</v>
      </c>
      <c r="D286" s="5" t="s">
        <v>20</v>
      </c>
      <c r="E286" s="5"/>
      <c r="F286" s="5"/>
      <c r="G286" s="5" cm="1">
        <f t="array" ref="G286">_xlfn.XLOOKUP(Table_Investimentos_Porcent[[#This Row],[Data]]&amp;Table_Investimentos_Porcent[[#This Row],[Nome]],Table_Investimentos_Main[Data]&amp;Table_Investimentos_Main[Nome],Table_Investimentos_Main[Estratégia],"NOT FOUND")</f>
        <v>0</v>
      </c>
      <c r="H286" s="5" t="str" cm="1">
        <f t="array" ref="H286">_xlfn.XLOOKUP(Table_Investimentos_Porcent[[#This Row],[Data]]&amp;Table_Investimentos_Porcent[[#This Row],[Nome]],Table_Investimentos_Main[Data]&amp;Table_Investimentos_Main[Nome],Table_Investimentos_Main[Moeda Base],"NOT FOUND")</f>
        <v>USD</v>
      </c>
      <c r="I286" s="69">
        <v>1</v>
      </c>
      <c r="J286" s="18" cm="1">
        <f t="array" ref="J286">Table_Investimentos_Porcent[[#This Row],[Porcentagem]]*_xlfn.XLOOKUP(Table_Investimentos_Porcent[[#This Row],[Data]]&amp;Table_Investimentos_Porcent[[#This Row],[Nome]],Table_Investimentos_Main[Data]&amp;Table_Investimentos_Main[Nome],Table_Investimentos_Main[Total (R$)],"NOT FOUND")</f>
        <v>1605.3074940000001</v>
      </c>
      <c r="K286" s="80" cm="1">
        <f t="array" ref="K286">Table_Investimentos_Porcent[[#This Row],[Total (R$)]]/_xlfn.XLOOKUP(Table_Investimentos_Porcent[[#This Row],[Data]]&amp;Table_Investimentos_Porcent[[#This Row],[Nome]],Table_Investimentos_Main[Data]&amp;Table_Investimentos_Main[Nome],Table_Investimentos_Main[Cotação Dolar],"NOT FOUND")</f>
        <v>322.98</v>
      </c>
      <c r="O286" s="3"/>
      <c r="P286" s="3"/>
      <c r="Q286" s="3"/>
      <c r="V286" s="5"/>
      <c r="W286" s="5"/>
    </row>
    <row r="287" spans="2:23" x14ac:dyDescent="0.2">
      <c r="B287" s="8">
        <v>46113</v>
      </c>
      <c r="C287" s="34" t="s">
        <v>68</v>
      </c>
      <c r="D287" s="5" t="s">
        <v>20</v>
      </c>
      <c r="E287" s="5"/>
      <c r="F287" s="5"/>
      <c r="G287" s="5" cm="1">
        <f t="array" ref="G287">_xlfn.XLOOKUP(Table_Investimentos_Porcent[[#This Row],[Data]]&amp;Table_Investimentos_Porcent[[#This Row],[Nome]],Table_Investimentos_Main[Data]&amp;Table_Investimentos_Main[Nome],Table_Investimentos_Main[Estratégia],"NOT FOUND")</f>
        <v>0</v>
      </c>
      <c r="H287" s="5" t="str" cm="1">
        <f t="array" ref="H287">_xlfn.XLOOKUP(Table_Investimentos_Porcent[[#This Row],[Data]]&amp;Table_Investimentos_Porcent[[#This Row],[Nome]],Table_Investimentos_Main[Data]&amp;Table_Investimentos_Main[Nome],Table_Investimentos_Main[Moeda Base],"NOT FOUND")</f>
        <v>BRL</v>
      </c>
      <c r="I287" s="69">
        <v>1</v>
      </c>
      <c r="J287" s="18" cm="1">
        <f t="array" ref="J287">Table_Investimentos_Porcent[[#This Row],[Porcentagem]]*_xlfn.XLOOKUP(Table_Investimentos_Porcent[[#This Row],[Data]]&amp;Table_Investimentos_Porcent[[#This Row],[Nome]],Table_Investimentos_Main[Data]&amp;Table_Investimentos_Main[Nome],Table_Investimentos_Main[Total (R$)],"NOT FOUND")</f>
        <v>14088.77</v>
      </c>
      <c r="K287" s="80" cm="1">
        <f t="array" ref="K287">Table_Investimentos_Porcent[[#This Row],[Total (R$)]]/_xlfn.XLOOKUP(Table_Investimentos_Porcent[[#This Row],[Data]]&amp;Table_Investimentos_Porcent[[#This Row],[Nome]],Table_Investimentos_Main[Data]&amp;Table_Investimentos_Main[Nome],Table_Investimentos_Main[Cotação Dolar],"NOT FOUND")</f>
        <v>2834.5914733517093</v>
      </c>
      <c r="O287" s="3"/>
      <c r="P287" s="3"/>
      <c r="Q287" s="3"/>
      <c r="V287" s="5"/>
      <c r="W287" s="5"/>
    </row>
    <row r="288" spans="2:23" x14ac:dyDescent="0.2">
      <c r="B288" s="8">
        <v>46113</v>
      </c>
      <c r="C288" s="34" t="s">
        <v>75</v>
      </c>
      <c r="D288" s="5" t="s">
        <v>36</v>
      </c>
      <c r="E288" s="5"/>
      <c r="F288" s="5"/>
      <c r="G288" s="5" cm="1">
        <f t="array" ref="G288">_xlfn.XLOOKUP(Table_Investimentos_Porcent[[#This Row],[Data]]&amp;Table_Investimentos_Porcent[[#This Row],[Nome]],Table_Investimentos_Main[Data]&amp;Table_Investimentos_Main[Nome],Table_Investimentos_Main[Estratégia],"NOT FOUND")</f>
        <v>0</v>
      </c>
      <c r="H288" s="5" t="str" cm="1">
        <f t="array" ref="H288">_xlfn.XLOOKUP(Table_Investimentos_Porcent[[#This Row],[Data]]&amp;Table_Investimentos_Porcent[[#This Row],[Nome]],Table_Investimentos_Main[Data]&amp;Table_Investimentos_Main[Nome],Table_Investimentos_Main[Moeda Base],"NOT FOUND")</f>
        <v>BRL</v>
      </c>
      <c r="I288" s="69">
        <v>1</v>
      </c>
      <c r="J288" s="18" cm="1">
        <f t="array" ref="J288">Table_Investimentos_Porcent[[#This Row],[Porcentagem]]*_xlfn.XLOOKUP(Table_Investimentos_Porcent[[#This Row],[Data]]&amp;Table_Investimentos_Porcent[[#This Row],[Nome]],Table_Investimentos_Main[Data]&amp;Table_Investimentos_Main[Nome],Table_Investimentos_Main[Total (R$)],"NOT FOUND")</f>
        <v>11077.641000000001</v>
      </c>
      <c r="K288" s="80" cm="1">
        <f t="array" ref="K288">Table_Investimentos_Porcent[[#This Row],[Total (R$)]]/_xlfn.XLOOKUP(Table_Investimentos_Porcent[[#This Row],[Data]]&amp;Table_Investimentos_Porcent[[#This Row],[Nome]],Table_Investimentos_Main[Data]&amp;Table_Investimentos_Main[Nome],Table_Investimentos_Main[Cotação Dolar],"NOT FOUND")</f>
        <v>2228.7670764340182</v>
      </c>
      <c r="O288" s="3"/>
      <c r="P288" s="3"/>
      <c r="Q288" s="3"/>
      <c r="V288" s="5"/>
      <c r="W288" s="5"/>
    </row>
    <row r="289" spans="2:23" x14ac:dyDescent="0.2">
      <c r="B289" s="8">
        <v>46113</v>
      </c>
      <c r="C289" s="34" t="s">
        <v>81</v>
      </c>
      <c r="D289" s="5" t="s">
        <v>20</v>
      </c>
      <c r="E289" s="5"/>
      <c r="F289" s="5"/>
      <c r="G289" s="5" cm="1">
        <f t="array" ref="G289">_xlfn.XLOOKUP(Table_Investimentos_Porcent[[#This Row],[Data]]&amp;Table_Investimentos_Porcent[[#This Row],[Nome]],Table_Investimentos_Main[Data]&amp;Table_Investimentos_Main[Nome],Table_Investimentos_Main[Estratégia],"NOT FOUND")</f>
        <v>0</v>
      </c>
      <c r="H289" s="5" t="str" cm="1">
        <f t="array" ref="H289">_xlfn.XLOOKUP(Table_Investimentos_Porcent[[#This Row],[Data]]&amp;Table_Investimentos_Porcent[[#This Row],[Nome]],Table_Investimentos_Main[Data]&amp;Table_Investimentos_Main[Nome],Table_Investimentos_Main[Moeda Base],"NOT FOUND")</f>
        <v>BRL</v>
      </c>
      <c r="I289" s="69">
        <v>1</v>
      </c>
      <c r="J289" s="18" cm="1">
        <f t="array" ref="J289">Table_Investimentos_Porcent[[#This Row],[Porcentagem]]*_xlfn.XLOOKUP(Table_Investimentos_Porcent[[#This Row],[Data]]&amp;Table_Investimentos_Porcent[[#This Row],[Nome]],Table_Investimentos_Main[Data]&amp;Table_Investimentos_Main[Nome],Table_Investimentos_Main[Total (R$)],"NOT FOUND")</f>
        <v>9436.5090000000018</v>
      </c>
      <c r="K289" s="80" cm="1">
        <f t="array" ref="K289">Table_Investimentos_Porcent[[#This Row],[Total (R$)]]/_xlfn.XLOOKUP(Table_Investimentos_Porcent[[#This Row],[Data]]&amp;Table_Investimentos_Porcent[[#This Row],[Nome]],Table_Investimentos_Main[Data]&amp;Table_Investimentos_Main[Nome],Table_Investimentos_Main[Cotação Dolar],"NOT FOUND")</f>
        <v>1898.5793614067566</v>
      </c>
      <c r="O289" s="3"/>
      <c r="P289" s="3"/>
      <c r="Q289" s="3"/>
      <c r="V289" s="5"/>
      <c r="W289" s="5"/>
    </row>
    <row r="290" spans="2:23" x14ac:dyDescent="0.2">
      <c r="B290" s="8">
        <v>46113</v>
      </c>
      <c r="C290" s="34" t="s">
        <v>58</v>
      </c>
      <c r="D290" s="5" t="s">
        <v>17</v>
      </c>
      <c r="E290" s="5"/>
      <c r="F290" s="5"/>
      <c r="G290" s="5" cm="1">
        <f t="array" ref="G290">_xlfn.XLOOKUP(Table_Investimentos_Porcent[[#This Row],[Data]]&amp;Table_Investimentos_Porcent[[#This Row],[Nome]],Table_Investimentos_Main[Data]&amp;Table_Investimentos_Main[Nome],Table_Investimentos_Main[Estratégia],"NOT FOUND")</f>
        <v>0</v>
      </c>
      <c r="H290" s="5" t="str" cm="1">
        <f t="array" ref="H290">_xlfn.XLOOKUP(Table_Investimentos_Porcent[[#This Row],[Data]]&amp;Table_Investimentos_Porcent[[#This Row],[Nome]],Table_Investimentos_Main[Data]&amp;Table_Investimentos_Main[Nome],Table_Investimentos_Main[Moeda Base],"NOT FOUND")</f>
        <v>BRL</v>
      </c>
      <c r="I290" s="69">
        <v>1</v>
      </c>
      <c r="J290" s="18" cm="1">
        <f t="array" ref="J290">Table_Investimentos_Porcent[[#This Row],[Porcentagem]]*_xlfn.XLOOKUP(Table_Investimentos_Porcent[[#This Row],[Data]]&amp;Table_Investimentos_Porcent[[#This Row],[Nome]],Table_Investimentos_Main[Data]&amp;Table_Investimentos_Main[Nome],Table_Investimentos_Main[Total (R$)],"NOT FOUND")</f>
        <v>2842.03</v>
      </c>
      <c r="K290" s="80" cm="1">
        <f t="array" ref="K290">Table_Investimentos_Porcent[[#This Row],[Total (R$)]]/_xlfn.XLOOKUP(Table_Investimentos_Porcent[[#This Row],[Data]]&amp;Table_Investimentos_Porcent[[#This Row],[Nome]],Table_Investimentos_Main[Data]&amp;Table_Investimentos_Main[Nome],Table_Investimentos_Main[Cotação Dolar],"NOT FOUND")</f>
        <v>571.80250689093214</v>
      </c>
      <c r="O290" s="3"/>
      <c r="P290" s="3"/>
      <c r="Q290" s="3"/>
      <c r="V290" s="5"/>
      <c r="W290" s="5"/>
    </row>
    <row r="291" spans="2:23" x14ac:dyDescent="0.2">
      <c r="B291" s="8">
        <v>46113</v>
      </c>
      <c r="C291" s="34" t="s">
        <v>82</v>
      </c>
      <c r="D291" s="5" t="s">
        <v>20</v>
      </c>
      <c r="E291" s="5"/>
      <c r="F291" s="5"/>
      <c r="G291" s="5" cm="1">
        <f t="array" ref="G291">_xlfn.XLOOKUP(Table_Investimentos_Porcent[[#This Row],[Data]]&amp;Table_Investimentos_Porcent[[#This Row],[Nome]],Table_Investimentos_Main[Data]&amp;Table_Investimentos_Main[Nome],Table_Investimentos_Main[Estratégia],"NOT FOUND")</f>
        <v>0</v>
      </c>
      <c r="H291" s="5" t="str" cm="1">
        <f t="array" ref="H291">_xlfn.XLOOKUP(Table_Investimentos_Porcent[[#This Row],[Data]]&amp;Table_Investimentos_Porcent[[#This Row],[Nome]],Table_Investimentos_Main[Data]&amp;Table_Investimentos_Main[Nome],Table_Investimentos_Main[Moeda Base],"NOT FOUND")</f>
        <v>BRL</v>
      </c>
      <c r="I291" s="69">
        <v>1</v>
      </c>
      <c r="J291" s="18" cm="1">
        <f t="array" ref="J291">Table_Investimentos_Porcent[[#This Row],[Porcentagem]]*_xlfn.XLOOKUP(Table_Investimentos_Porcent[[#This Row],[Data]]&amp;Table_Investimentos_Porcent[[#This Row],[Nome]],Table_Investimentos_Main[Data]&amp;Table_Investimentos_Main[Nome],Table_Investimentos_Main[Total (R$)],"NOT FOUND")</f>
        <v>9594.66</v>
      </c>
      <c r="K291" s="80" cm="1">
        <f t="array" ref="K291">Table_Investimentos_Porcent[[#This Row],[Total (R$)]]/_xlfn.XLOOKUP(Table_Investimentos_Porcent[[#This Row],[Data]]&amp;Table_Investimentos_Porcent[[#This Row],[Nome]],Table_Investimentos_Main[Data]&amp;Table_Investimentos_Main[Nome],Table_Investimentos_Main[Cotação Dolar],"NOT FOUND")</f>
        <v>1930.3985674908959</v>
      </c>
      <c r="O291" s="3"/>
      <c r="P291" s="3"/>
      <c r="Q291" s="3"/>
      <c r="V291" s="5"/>
      <c r="W291" s="5"/>
    </row>
    <row r="292" spans="2:23" x14ac:dyDescent="0.2">
      <c r="B292" s="8">
        <v>46113</v>
      </c>
      <c r="C292" s="34" t="s">
        <v>74</v>
      </c>
      <c r="D292" s="5" t="s">
        <v>17</v>
      </c>
      <c r="E292" s="5"/>
      <c r="F292" s="5"/>
      <c r="G292" s="5" cm="1">
        <f t="array" ref="G292">_xlfn.XLOOKUP(Table_Investimentos_Porcent[[#This Row],[Data]]&amp;Table_Investimentos_Porcent[[#This Row],[Nome]],Table_Investimentos_Main[Data]&amp;Table_Investimentos_Main[Nome],Table_Investimentos_Main[Estratégia],"NOT FOUND")</f>
        <v>0</v>
      </c>
      <c r="H292" s="5" t="str" cm="1">
        <f t="array" ref="H292">_xlfn.XLOOKUP(Table_Investimentos_Porcent[[#This Row],[Data]]&amp;Table_Investimentos_Porcent[[#This Row],[Nome]],Table_Investimentos_Main[Data]&amp;Table_Investimentos_Main[Nome],Table_Investimentos_Main[Moeda Base],"NOT FOUND")</f>
        <v>BRL</v>
      </c>
      <c r="I292" s="69">
        <v>1</v>
      </c>
      <c r="J292" s="18" cm="1">
        <f t="array" ref="J292">Table_Investimentos_Porcent[[#This Row],[Porcentagem]]*_xlfn.XLOOKUP(Table_Investimentos_Porcent[[#This Row],[Data]]&amp;Table_Investimentos_Porcent[[#This Row],[Nome]],Table_Investimentos_Main[Data]&amp;Table_Investimentos_Main[Nome],Table_Investimentos_Main[Total (R$)],"NOT FOUND")</f>
        <v>11870.58</v>
      </c>
      <c r="K292" s="80" cm="1">
        <f t="array" ref="K292">Table_Investimentos_Porcent[[#This Row],[Total (R$)]]/_xlfn.XLOOKUP(Table_Investimentos_Porcent[[#This Row],[Data]]&amp;Table_Investimentos_Porcent[[#This Row],[Nome]],Table_Investimentos_Main[Data]&amp;Table_Investimentos_Main[Nome],Table_Investimentos_Main[Cotação Dolar],"NOT FOUND")</f>
        <v>2388.3025169506873</v>
      </c>
      <c r="O292" s="3"/>
      <c r="P292" s="3"/>
      <c r="Q292" s="3"/>
      <c r="V292" s="5"/>
      <c r="W292" s="5"/>
    </row>
    <row r="293" spans="2:23" x14ac:dyDescent="0.2">
      <c r="B293" s="8">
        <v>46113</v>
      </c>
      <c r="C293" s="34" t="s">
        <v>51</v>
      </c>
      <c r="D293" s="5" t="s">
        <v>36</v>
      </c>
      <c r="E293" s="5"/>
      <c r="F293" s="5"/>
      <c r="G293" s="5" cm="1">
        <f t="array" ref="G293">_xlfn.XLOOKUP(Table_Investimentos_Porcent[[#This Row],[Data]]&amp;Table_Investimentos_Porcent[[#This Row],[Nome]],Table_Investimentos_Main[Data]&amp;Table_Investimentos_Main[Nome],Table_Investimentos_Main[Estratégia],"NOT FOUND")</f>
        <v>0</v>
      </c>
      <c r="H293" s="5" t="str" cm="1">
        <f t="array" ref="H293">_xlfn.XLOOKUP(Table_Investimentos_Porcent[[#This Row],[Data]]&amp;Table_Investimentos_Porcent[[#This Row],[Nome]],Table_Investimentos_Main[Data]&amp;Table_Investimentos_Main[Nome],Table_Investimentos_Main[Moeda Base],"NOT FOUND")</f>
        <v>USD</v>
      </c>
      <c r="I293" s="69">
        <v>1</v>
      </c>
      <c r="J293" s="18" cm="1">
        <f t="array" ref="J293">Table_Investimentos_Porcent[[#This Row],[Porcentagem]]*_xlfn.XLOOKUP(Table_Investimentos_Porcent[[#This Row],[Data]]&amp;Table_Investimentos_Porcent[[#This Row],[Nome]],Table_Investimentos_Main[Data]&amp;Table_Investimentos_Main[Nome],Table_Investimentos_Main[Total (R$)],"NOT FOUND")</f>
        <v>5487.4876605117497</v>
      </c>
      <c r="K293" s="80" cm="1">
        <f t="array" ref="K293">Table_Investimentos_Porcent[[#This Row],[Total (R$)]]/_xlfn.XLOOKUP(Table_Investimentos_Porcent[[#This Row],[Data]]&amp;Table_Investimentos_Porcent[[#This Row],[Nome]],Table_Investimentos_Main[Data]&amp;Table_Investimentos_Main[Nome],Table_Investimentos_Main[Cotação Dolar],"NOT FOUND")</f>
        <v>1104.0556225</v>
      </c>
      <c r="O293" s="3"/>
      <c r="P293" s="3"/>
      <c r="Q293" s="3"/>
      <c r="V293" s="5"/>
      <c r="W293" s="5"/>
    </row>
    <row r="294" spans="2:23" x14ac:dyDescent="0.2">
      <c r="B294" s="8">
        <v>46113</v>
      </c>
      <c r="C294" s="34" t="s">
        <v>77</v>
      </c>
      <c r="D294" s="5" t="s">
        <v>36</v>
      </c>
      <c r="E294" s="5"/>
      <c r="F294" s="5"/>
      <c r="G294" s="5" cm="1">
        <f t="array" ref="G294">_xlfn.XLOOKUP(Table_Investimentos_Porcent[[#This Row],[Data]]&amp;Table_Investimentos_Porcent[[#This Row],[Nome]],Table_Investimentos_Main[Data]&amp;Table_Investimentos_Main[Nome],Table_Investimentos_Main[Estratégia],"NOT FOUND")</f>
        <v>0</v>
      </c>
      <c r="H294" s="5" t="str" cm="1">
        <f t="array" ref="H294">_xlfn.XLOOKUP(Table_Investimentos_Porcent[[#This Row],[Data]]&amp;Table_Investimentos_Porcent[[#This Row],[Nome]],Table_Investimentos_Main[Data]&amp;Table_Investimentos_Main[Nome],Table_Investimentos_Main[Moeda Base],"NOT FOUND")</f>
        <v>USD</v>
      </c>
      <c r="I294" s="69">
        <v>1</v>
      </c>
      <c r="J294" s="18" cm="1">
        <f t="array" ref="J294">Table_Investimentos_Porcent[[#This Row],[Porcentagem]]*_xlfn.XLOOKUP(Table_Investimentos_Porcent[[#This Row],[Data]]&amp;Table_Investimentos_Porcent[[#This Row],[Nome]],Table_Investimentos_Main[Data]&amp;Table_Investimentos_Main[Nome],Table_Investimentos_Main[Total (R$)],"NOT FOUND")</f>
        <v>1178.1717537397499</v>
      </c>
      <c r="K294" s="80" cm="1">
        <f t="array" ref="K294">Table_Investimentos_Porcent[[#This Row],[Total (R$)]]/_xlfn.XLOOKUP(Table_Investimentos_Porcent[[#This Row],[Data]]&amp;Table_Investimentos_Porcent[[#This Row],[Nome]],Table_Investimentos_Main[Data]&amp;Table_Investimentos_Main[Nome],Table_Investimentos_Main[Cotação Dolar],"NOT FOUND")</f>
        <v>237.04238249999997</v>
      </c>
      <c r="O294" s="3"/>
      <c r="P294" s="3"/>
      <c r="Q294" s="3"/>
      <c r="V294" s="5"/>
      <c r="W294" s="5"/>
    </row>
    <row r="295" spans="2:23" x14ac:dyDescent="0.2">
      <c r="B295" s="8">
        <v>46113</v>
      </c>
      <c r="C295" s="34" t="s">
        <v>79</v>
      </c>
      <c r="D295" s="5" t="s">
        <v>23</v>
      </c>
      <c r="E295" s="5"/>
      <c r="F295" s="5"/>
      <c r="G295" s="5" cm="1">
        <f t="array" ref="G295">_xlfn.XLOOKUP(Table_Investimentos_Porcent[[#This Row],[Data]]&amp;Table_Investimentos_Porcent[[#This Row],[Nome]],Table_Investimentos_Main[Data]&amp;Table_Investimentos_Main[Nome],Table_Investimentos_Main[Estratégia],"NOT FOUND")</f>
        <v>0</v>
      </c>
      <c r="H295" s="5" t="str" cm="1">
        <f t="array" ref="H295">_xlfn.XLOOKUP(Table_Investimentos_Porcent[[#This Row],[Data]]&amp;Table_Investimentos_Porcent[[#This Row],[Nome]],Table_Investimentos_Main[Data]&amp;Table_Investimentos_Main[Nome],Table_Investimentos_Main[Moeda Base],"NOT FOUND")</f>
        <v>USD</v>
      </c>
      <c r="I295" s="69">
        <v>1</v>
      </c>
      <c r="J295" s="18" cm="1">
        <f t="array" ref="J295">Table_Investimentos_Porcent[[#This Row],[Porcentagem]]*_xlfn.XLOOKUP(Table_Investimentos_Porcent[[#This Row],[Data]]&amp;Table_Investimentos_Porcent[[#This Row],[Nome]],Table_Investimentos_Main[Data]&amp;Table_Investimentos_Main[Nome],Table_Investimentos_Main[Total (R$)],"NOT FOUND")</f>
        <v>3433.4723053399998</v>
      </c>
      <c r="K295" s="80" cm="1">
        <f t="array" ref="K295">Table_Investimentos_Porcent[[#This Row],[Total (R$)]]/_xlfn.XLOOKUP(Table_Investimentos_Porcent[[#This Row],[Data]]&amp;Table_Investimentos_Porcent[[#This Row],[Nome]],Table_Investimentos_Main[Data]&amp;Table_Investimentos_Main[Nome],Table_Investimentos_Main[Cotação Dolar],"NOT FOUND")</f>
        <v>690.79779999999994</v>
      </c>
      <c r="O295" s="3"/>
      <c r="P295" s="3"/>
      <c r="Q295" s="3"/>
      <c r="V295" s="5"/>
      <c r="W295" s="5"/>
    </row>
    <row r="296" spans="2:23" x14ac:dyDescent="0.2">
      <c r="B296" s="8">
        <v>46113</v>
      </c>
      <c r="C296" s="34" t="s">
        <v>83</v>
      </c>
      <c r="D296" s="5" t="s">
        <v>36</v>
      </c>
      <c r="E296" s="5"/>
      <c r="F296" s="5"/>
      <c r="G296" s="5" cm="1">
        <f t="array" ref="G296">_xlfn.XLOOKUP(Table_Investimentos_Porcent[[#This Row],[Data]]&amp;Table_Investimentos_Porcent[[#This Row],[Nome]],Table_Investimentos_Main[Data]&amp;Table_Investimentos_Main[Nome],Table_Investimentos_Main[Estratégia],"NOT FOUND")</f>
        <v>0</v>
      </c>
      <c r="H296" s="5" t="str" cm="1">
        <f t="array" ref="H296">_xlfn.XLOOKUP(Table_Investimentos_Porcent[[#This Row],[Data]]&amp;Table_Investimentos_Porcent[[#This Row],[Nome]],Table_Investimentos_Main[Data]&amp;Table_Investimentos_Main[Nome],Table_Investimentos_Main[Moeda Base],"NOT FOUND")</f>
        <v>USD</v>
      </c>
      <c r="I296" s="69">
        <v>1</v>
      </c>
      <c r="J296" s="18" cm="1">
        <f t="array" ref="J296">Table_Investimentos_Porcent[[#This Row],[Porcentagem]]*_xlfn.XLOOKUP(Table_Investimentos_Porcent[[#This Row],[Data]]&amp;Table_Investimentos_Porcent[[#This Row],[Nome]],Table_Investimentos_Main[Data]&amp;Table_Investimentos_Main[Nome],Table_Investimentos_Main[Total (R$)],"NOT FOUND")</f>
        <v>1252.0133194984999</v>
      </c>
      <c r="K296" s="80" cm="1">
        <f t="array" ref="K296">Table_Investimentos_Porcent[[#This Row],[Total (R$)]]/_xlfn.XLOOKUP(Table_Investimentos_Porcent[[#This Row],[Data]]&amp;Table_Investimentos_Porcent[[#This Row],[Nome]],Table_Investimentos_Main[Data]&amp;Table_Investimentos_Main[Nome],Table_Investimentos_Main[Cotação Dolar],"NOT FOUND")</f>
        <v>251.89894362483147</v>
      </c>
      <c r="O296" s="3"/>
      <c r="P296" s="3"/>
      <c r="Q296" s="3"/>
      <c r="V296" s="5"/>
      <c r="W296" s="5"/>
    </row>
    <row r="297" spans="2:23" x14ac:dyDescent="0.2">
      <c r="B297" s="8">
        <v>46113</v>
      </c>
      <c r="C297" s="34" t="s">
        <v>70</v>
      </c>
      <c r="D297" s="5" t="s">
        <v>23</v>
      </c>
      <c r="E297" s="5"/>
      <c r="F297" s="5"/>
      <c r="G297" s="5" cm="1">
        <f t="array" ref="G297">_xlfn.XLOOKUP(Table_Investimentos_Porcent[[#This Row],[Data]]&amp;Table_Investimentos_Porcent[[#This Row],[Nome]],Table_Investimentos_Main[Data]&amp;Table_Investimentos_Main[Nome],Table_Investimentos_Main[Estratégia],"NOT FOUND")</f>
        <v>0</v>
      </c>
      <c r="H297" s="5" t="str" cm="1">
        <f t="array" ref="H297">_xlfn.XLOOKUP(Table_Investimentos_Porcent[[#This Row],[Data]]&amp;Table_Investimentos_Porcent[[#This Row],[Nome]],Table_Investimentos_Main[Data]&amp;Table_Investimentos_Main[Nome],Table_Investimentos_Main[Moeda Base],"NOT FOUND")</f>
        <v>USD</v>
      </c>
      <c r="I297" s="69">
        <v>1</v>
      </c>
      <c r="J297" s="18" cm="1">
        <f t="array" ref="J297">Table_Investimentos_Porcent[[#This Row],[Porcentagem]]*_xlfn.XLOOKUP(Table_Investimentos_Porcent[[#This Row],[Data]]&amp;Table_Investimentos_Porcent[[#This Row],[Nome]],Table_Investimentos_Main[Data]&amp;Table_Investimentos_Main[Nome],Table_Investimentos_Main[Total (R$)],"NOT FOUND")</f>
        <v>6537.1914902879707</v>
      </c>
      <c r="K297" s="80" cm="1">
        <f t="array" ref="K297">Table_Investimentos_Porcent[[#This Row],[Total (R$)]]/_xlfn.XLOOKUP(Table_Investimentos_Porcent[[#This Row],[Data]]&amp;Table_Investimentos_Porcent[[#This Row],[Nome]],Table_Investimentos_Main[Data]&amp;Table_Investimentos_Main[Nome],Table_Investimentos_Main[Cotação Dolar],"NOT FOUND")</f>
        <v>1315.2508883342998</v>
      </c>
      <c r="O297" s="3"/>
      <c r="P297" s="3"/>
      <c r="Q297" s="3"/>
      <c r="V297" s="5"/>
      <c r="W297" s="5"/>
    </row>
    <row r="298" spans="2:23" x14ac:dyDescent="0.2">
      <c r="B298" s="8">
        <v>46113</v>
      </c>
      <c r="C298" s="34" t="s">
        <v>55</v>
      </c>
      <c r="D298" s="5" t="s">
        <v>36</v>
      </c>
      <c r="E298" s="5"/>
      <c r="F298" s="5"/>
      <c r="G298" s="5" cm="1">
        <f t="array" ref="G298">_xlfn.XLOOKUP(Table_Investimentos_Porcent[[#This Row],[Data]]&amp;Table_Investimentos_Porcent[[#This Row],[Nome]],Table_Investimentos_Main[Data]&amp;Table_Investimentos_Main[Nome],Table_Investimentos_Main[Estratégia],"NOT FOUND")</f>
        <v>0</v>
      </c>
      <c r="H298" s="5" t="str" cm="1">
        <f t="array" ref="H298">_xlfn.XLOOKUP(Table_Investimentos_Porcent[[#This Row],[Data]]&amp;Table_Investimentos_Porcent[[#This Row],[Nome]],Table_Investimentos_Main[Data]&amp;Table_Investimentos_Main[Nome],Table_Investimentos_Main[Moeda Base],"NOT FOUND")</f>
        <v>USD</v>
      </c>
      <c r="I298" s="69">
        <v>1</v>
      </c>
      <c r="J298" s="18" cm="1">
        <f t="array" ref="J298">Table_Investimentos_Porcent[[#This Row],[Porcentagem]]*_xlfn.XLOOKUP(Table_Investimentos_Porcent[[#This Row],[Data]]&amp;Table_Investimentos_Porcent[[#This Row],[Nome]],Table_Investimentos_Main[Data]&amp;Table_Investimentos_Main[Nome],Table_Investimentos_Main[Total (R$)],"NOT FOUND")</f>
        <v>2901.7191195435603</v>
      </c>
      <c r="K298" s="80" cm="1">
        <f t="array" ref="K298">Table_Investimentos_Porcent[[#This Row],[Total (R$)]]/_xlfn.XLOOKUP(Table_Investimentos_Porcent[[#This Row],[Data]]&amp;Table_Investimentos_Porcent[[#This Row],[Nome]],Table_Investimentos_Main[Data]&amp;Table_Investimentos_Main[Nome],Table_Investimentos_Main[Cotação Dolar],"NOT FOUND")</f>
        <v>583.81166520000011</v>
      </c>
      <c r="O298" s="3"/>
      <c r="P298" s="3"/>
      <c r="Q298" s="3"/>
      <c r="V298" s="5"/>
      <c r="W298" s="5"/>
    </row>
    <row r="299" spans="2:23" x14ac:dyDescent="0.2">
      <c r="B299" s="8">
        <v>46113</v>
      </c>
      <c r="C299" s="34" t="s">
        <v>41</v>
      </c>
      <c r="D299" s="5" t="s">
        <v>13</v>
      </c>
      <c r="E299" s="5"/>
      <c r="F299" s="5"/>
      <c r="G299" s="5" cm="1">
        <f t="array" ref="G299">_xlfn.XLOOKUP(Table_Investimentos_Porcent[[#This Row],[Data]]&amp;Table_Investimentos_Porcent[[#This Row],[Nome]],Table_Investimentos_Main[Data]&amp;Table_Investimentos_Main[Nome],Table_Investimentos_Main[Estratégia],"NOT FOUND")</f>
        <v>0</v>
      </c>
      <c r="H299" s="5" t="str" cm="1">
        <f t="array" ref="H299">_xlfn.XLOOKUP(Table_Investimentos_Porcent[[#This Row],[Data]]&amp;Table_Investimentos_Porcent[[#This Row],[Nome]],Table_Investimentos_Main[Data]&amp;Table_Investimentos_Main[Nome],Table_Investimentos_Main[Moeda Base],"NOT FOUND")</f>
        <v>BTC</v>
      </c>
      <c r="I299" s="69">
        <v>1</v>
      </c>
      <c r="J299" s="18" cm="1">
        <f t="array" ref="J299">Table_Investimentos_Porcent[[#This Row],[Porcentagem]]*_xlfn.XLOOKUP(Table_Investimentos_Porcent[[#This Row],[Data]]&amp;Table_Investimentos_Porcent[[#This Row],[Nome]],Table_Investimentos_Main[Data]&amp;Table_Investimentos_Main[Nome],Table_Investimentos_Main[Total (R$)],"NOT FOUND")</f>
        <v>112372.02883466</v>
      </c>
      <c r="K299" s="80" cm="1">
        <f t="array" ref="K299">Table_Investimentos_Porcent[[#This Row],[Total (R$)]]/_xlfn.XLOOKUP(Table_Investimentos_Porcent[[#This Row],[Data]]&amp;Table_Investimentos_Porcent[[#This Row],[Nome]],Table_Investimentos_Main[Data]&amp;Table_Investimentos_Main[Nome],Table_Investimentos_Main[Cotação Dolar],"NOT FOUND")</f>
        <v>22608.701453566184</v>
      </c>
      <c r="O299" s="3"/>
      <c r="P299" s="3"/>
      <c r="Q299" s="3"/>
      <c r="V299" s="5"/>
      <c r="W299" s="5"/>
    </row>
    <row r="300" spans="2:23" x14ac:dyDescent="0.2">
      <c r="B300" s="8">
        <v>46143</v>
      </c>
      <c r="C300" s="34" t="s">
        <v>44</v>
      </c>
      <c r="D300" s="5" t="s">
        <v>17</v>
      </c>
      <c r="E300" s="5"/>
      <c r="F300" s="5"/>
      <c r="G300" s="5" cm="1">
        <f t="array" ref="G300">_xlfn.XLOOKUP(Table_Investimentos_Porcent[[#This Row],[Data]]&amp;Table_Investimentos_Porcent[[#This Row],[Nome]],Table_Investimentos_Main[Data]&amp;Table_Investimentos_Main[Nome],Table_Investimentos_Main[Estratégia],"NOT FOUND")</f>
        <v>0</v>
      </c>
      <c r="H300" s="5" t="str" cm="1">
        <f t="array" ref="H300">_xlfn.XLOOKUP(Table_Investimentos_Porcent[[#This Row],[Data]]&amp;Table_Investimentos_Porcent[[#This Row],[Nome]],Table_Investimentos_Main[Data]&amp;Table_Investimentos_Main[Nome],Table_Investimentos_Main[Moeda Base],"NOT FOUND")</f>
        <v>USD</v>
      </c>
      <c r="I300" s="69">
        <v>1</v>
      </c>
      <c r="J300" s="18" cm="1">
        <f t="array" ref="J300">Table_Investimentos_Porcent[[#This Row],[Porcentagem]]*_xlfn.XLOOKUP(Table_Investimentos_Porcent[[#This Row],[Data]]&amp;Table_Investimentos_Porcent[[#This Row],[Nome]],Table_Investimentos_Main[Data]&amp;Table_Investimentos_Main[Nome],Table_Investimentos_Main[Total (R$)],"NOT FOUND")</f>
        <v>8366.4353699999992</v>
      </c>
      <c r="K300" s="80" cm="1">
        <f t="array" ref="K300">Table_Investimentos_Porcent[[#This Row],[Total (R$)]]/_xlfn.XLOOKUP(Table_Investimentos_Porcent[[#This Row],[Data]]&amp;Table_Investimentos_Porcent[[#This Row],[Nome]],Table_Investimentos_Main[Data]&amp;Table_Investimentos_Main[Nome],Table_Investimentos_Main[Cotação Dolar],"NOT FOUND")</f>
        <v>1697.7</v>
      </c>
      <c r="O300" s="3"/>
      <c r="P300" s="3"/>
      <c r="Q300" s="3"/>
      <c r="V300" s="5"/>
      <c r="W300" s="5"/>
    </row>
    <row r="301" spans="2:23" x14ac:dyDescent="0.2">
      <c r="B301" s="8">
        <v>46143</v>
      </c>
      <c r="C301" s="34" t="s">
        <v>42</v>
      </c>
      <c r="D301" s="5" t="s">
        <v>13</v>
      </c>
      <c r="E301" s="5"/>
      <c r="F301" s="5"/>
      <c r="G301" s="5" cm="1">
        <f t="array" ref="G301">_xlfn.XLOOKUP(Table_Investimentos_Porcent[[#This Row],[Data]]&amp;Table_Investimentos_Porcent[[#This Row],[Nome]],Table_Investimentos_Main[Data]&amp;Table_Investimentos_Main[Nome],Table_Investimentos_Main[Estratégia],"NOT FOUND")</f>
        <v>0</v>
      </c>
      <c r="H301" s="5" t="str" cm="1">
        <f t="array" ref="H301">_xlfn.XLOOKUP(Table_Investimentos_Porcent[[#This Row],[Data]]&amp;Table_Investimentos_Porcent[[#This Row],[Nome]],Table_Investimentos_Main[Data]&amp;Table_Investimentos_Main[Nome],Table_Investimentos_Main[Moeda Base],"NOT FOUND")</f>
        <v>BTC</v>
      </c>
      <c r="I301" s="69">
        <v>1</v>
      </c>
      <c r="J301" s="18" cm="1">
        <f t="array" ref="J301">Table_Investimentos_Porcent[[#This Row],[Porcentagem]]*_xlfn.XLOOKUP(Table_Investimentos_Porcent[[#This Row],[Data]]&amp;Table_Investimentos_Porcent[[#This Row],[Nome]],Table_Investimentos_Main[Data]&amp;Table_Investimentos_Main[Nome],Table_Investimentos_Main[Total (R$)],"NOT FOUND")</f>
        <v>2453.7720297599999</v>
      </c>
      <c r="K301" s="80" cm="1">
        <f t="array" ref="K301">Table_Investimentos_Porcent[[#This Row],[Total (R$)]]/_xlfn.XLOOKUP(Table_Investimentos_Porcent[[#This Row],[Data]]&amp;Table_Investimentos_Porcent[[#This Row],[Nome]],Table_Investimentos_Main[Data]&amp;Table_Investimentos_Main[Nome],Table_Investimentos_Main[Cotação Dolar],"NOT FOUND")</f>
        <v>497.9144152431972</v>
      </c>
      <c r="O301" s="3"/>
      <c r="P301" s="3"/>
      <c r="Q301" s="3"/>
      <c r="V301" s="5"/>
      <c r="W301" s="5"/>
    </row>
    <row r="302" spans="2:23" x14ac:dyDescent="0.2">
      <c r="B302" s="8">
        <v>46143</v>
      </c>
      <c r="C302" s="34" t="s">
        <v>49</v>
      </c>
      <c r="D302" s="5" t="s">
        <v>13</v>
      </c>
      <c r="E302" s="5"/>
      <c r="F302" s="5"/>
      <c r="G302" s="5" cm="1">
        <f t="array" ref="G302">_xlfn.XLOOKUP(Table_Investimentos_Porcent[[#This Row],[Data]]&amp;Table_Investimentos_Porcent[[#This Row],[Nome]],Table_Investimentos_Main[Data]&amp;Table_Investimentos_Main[Nome],Table_Investimentos_Main[Estratégia],"NOT FOUND")</f>
        <v>0</v>
      </c>
      <c r="H302" s="5" t="str" cm="1">
        <f t="array" ref="H302">_xlfn.XLOOKUP(Table_Investimentos_Porcent[[#This Row],[Data]]&amp;Table_Investimentos_Porcent[[#This Row],[Nome]],Table_Investimentos_Main[Data]&amp;Table_Investimentos_Main[Nome],Table_Investimentos_Main[Moeda Base],"NOT FOUND")</f>
        <v>USD</v>
      </c>
      <c r="I302" s="69">
        <v>1</v>
      </c>
      <c r="J302" s="18" cm="1">
        <f t="array" ref="J302">Table_Investimentos_Porcent[[#This Row],[Porcentagem]]*_xlfn.XLOOKUP(Table_Investimentos_Porcent[[#This Row],[Data]]&amp;Table_Investimentos_Porcent[[#This Row],[Nome]],Table_Investimentos_Main[Data]&amp;Table_Investimentos_Main[Nome],Table_Investimentos_Main[Total (R$)],"NOT FOUND")</f>
        <v>2587.5329220000003</v>
      </c>
      <c r="K302" s="80" cm="1">
        <f t="array" ref="K302">Table_Investimentos_Porcent[[#This Row],[Total (R$)]]/_xlfn.XLOOKUP(Table_Investimentos_Porcent[[#This Row],[Data]]&amp;Table_Investimentos_Porcent[[#This Row],[Nome]],Table_Investimentos_Main[Data]&amp;Table_Investimentos_Main[Nome],Table_Investimentos_Main[Cotação Dolar],"NOT FOUND")</f>
        <v>525.05690266025454</v>
      </c>
      <c r="O302" s="3"/>
      <c r="P302" s="3"/>
      <c r="Q302" s="3"/>
      <c r="V302" s="5"/>
      <c r="W302" s="5"/>
    </row>
    <row r="303" spans="2:23" x14ac:dyDescent="0.2">
      <c r="B303" s="8">
        <v>46143</v>
      </c>
      <c r="C303" s="34" t="s">
        <v>64</v>
      </c>
      <c r="D303" s="5" t="s">
        <v>20</v>
      </c>
      <c r="E303" s="5"/>
      <c r="F303" s="5"/>
      <c r="G303" s="5" cm="1">
        <f t="array" ref="G303">_xlfn.XLOOKUP(Table_Investimentos_Porcent[[#This Row],[Data]]&amp;Table_Investimentos_Porcent[[#This Row],[Nome]],Table_Investimentos_Main[Data]&amp;Table_Investimentos_Main[Nome],Table_Investimentos_Main[Estratégia],"NOT FOUND")</f>
        <v>0</v>
      </c>
      <c r="H303" s="5" t="str" cm="1">
        <f t="array" ref="H303">_xlfn.XLOOKUP(Table_Investimentos_Porcent[[#This Row],[Data]]&amp;Table_Investimentos_Porcent[[#This Row],[Nome]],Table_Investimentos_Main[Data]&amp;Table_Investimentos_Main[Nome],Table_Investimentos_Main[Moeda Base],"NOT FOUND")</f>
        <v>USD</v>
      </c>
      <c r="I303" s="69">
        <v>1</v>
      </c>
      <c r="J303" s="18" cm="1">
        <f t="array" ref="J303">Table_Investimentos_Porcent[[#This Row],[Porcentagem]]*_xlfn.XLOOKUP(Table_Investimentos_Porcent[[#This Row],[Data]]&amp;Table_Investimentos_Porcent[[#This Row],[Nome]],Table_Investimentos_Main[Data]&amp;Table_Investimentos_Main[Nome],Table_Investimentos_Main[Total (R$)],"NOT FOUND")</f>
        <v>1594.0925070000001</v>
      </c>
      <c r="K303" s="80" cm="1">
        <f t="array" ref="K303">Table_Investimentos_Porcent[[#This Row],[Total (R$)]]/_xlfn.XLOOKUP(Table_Investimentos_Porcent[[#This Row],[Data]]&amp;Table_Investimentos_Porcent[[#This Row],[Nome]],Table_Investimentos_Main[Data]&amp;Table_Investimentos_Main[Nome],Table_Investimentos_Main[Cotação Dolar],"NOT FOUND")</f>
        <v>323.47000000000003</v>
      </c>
      <c r="O303" s="3"/>
      <c r="P303" s="3"/>
      <c r="Q303" s="3"/>
      <c r="V303" s="5"/>
      <c r="W303" s="5"/>
    </row>
    <row r="304" spans="2:23" x14ac:dyDescent="0.2">
      <c r="B304" s="8">
        <v>46143</v>
      </c>
      <c r="C304" s="34" t="s">
        <v>68</v>
      </c>
      <c r="D304" s="5" t="s">
        <v>20</v>
      </c>
      <c r="E304" s="5"/>
      <c r="F304" s="5"/>
      <c r="G304" s="5" cm="1">
        <f t="array" ref="G304">_xlfn.XLOOKUP(Table_Investimentos_Porcent[[#This Row],[Data]]&amp;Table_Investimentos_Porcent[[#This Row],[Nome]],Table_Investimentos_Main[Data]&amp;Table_Investimentos_Main[Nome],Table_Investimentos_Main[Estratégia],"NOT FOUND")</f>
        <v>0</v>
      </c>
      <c r="H304" s="5" t="str" cm="1">
        <f t="array" ref="H304">_xlfn.XLOOKUP(Table_Investimentos_Porcent[[#This Row],[Data]]&amp;Table_Investimentos_Porcent[[#This Row],[Nome]],Table_Investimentos_Main[Data]&amp;Table_Investimentos_Main[Nome],Table_Investimentos_Main[Moeda Base],"NOT FOUND")</f>
        <v>BRL</v>
      </c>
      <c r="I304" s="69">
        <v>1</v>
      </c>
      <c r="J304" s="18" cm="1">
        <f t="array" ref="J304">Table_Investimentos_Porcent[[#This Row],[Porcentagem]]*_xlfn.XLOOKUP(Table_Investimentos_Porcent[[#This Row],[Data]]&amp;Table_Investimentos_Porcent[[#This Row],[Nome]],Table_Investimentos_Main[Data]&amp;Table_Investimentos_Main[Nome],Table_Investimentos_Main[Total (R$)],"NOT FOUND")</f>
        <v>12860.49</v>
      </c>
      <c r="K304" s="80" cm="1">
        <f t="array" ref="K304">Table_Investimentos_Porcent[[#This Row],[Total (R$)]]/_xlfn.XLOOKUP(Table_Investimentos_Porcent[[#This Row],[Data]]&amp;Table_Investimentos_Porcent[[#This Row],[Nome]],Table_Investimentos_Main[Data]&amp;Table_Investimentos_Main[Nome],Table_Investimentos_Main[Cotação Dolar],"NOT FOUND")</f>
        <v>2609.6243988555429</v>
      </c>
      <c r="O304" s="3"/>
      <c r="P304" s="3"/>
      <c r="Q304" s="3"/>
      <c r="V304" s="5"/>
      <c r="W304" s="5"/>
    </row>
    <row r="305" spans="2:23" x14ac:dyDescent="0.2">
      <c r="B305" s="8">
        <v>46143</v>
      </c>
      <c r="C305" s="34" t="s">
        <v>75</v>
      </c>
      <c r="D305" s="5" t="s">
        <v>36</v>
      </c>
      <c r="E305" s="5"/>
      <c r="F305" s="5"/>
      <c r="G305" s="5" cm="1">
        <f t="array" ref="G305">_xlfn.XLOOKUP(Table_Investimentos_Porcent[[#This Row],[Data]]&amp;Table_Investimentos_Porcent[[#This Row],[Nome]],Table_Investimentos_Main[Data]&amp;Table_Investimentos_Main[Nome],Table_Investimentos_Main[Estratégia],"NOT FOUND")</f>
        <v>0</v>
      </c>
      <c r="H305" s="5" t="str" cm="1">
        <f t="array" ref="H305">_xlfn.XLOOKUP(Table_Investimentos_Porcent[[#This Row],[Data]]&amp;Table_Investimentos_Porcent[[#This Row],[Nome]],Table_Investimentos_Main[Data]&amp;Table_Investimentos_Main[Nome],Table_Investimentos_Main[Moeda Base],"NOT FOUND")</f>
        <v>BRL</v>
      </c>
      <c r="I305" s="69">
        <v>1</v>
      </c>
      <c r="J305" s="18" cm="1">
        <f t="array" ref="J305">Table_Investimentos_Porcent[[#This Row],[Porcentagem]]*_xlfn.XLOOKUP(Table_Investimentos_Porcent[[#This Row],[Data]]&amp;Table_Investimentos_Porcent[[#This Row],[Nome]],Table_Investimentos_Main[Data]&amp;Table_Investimentos_Main[Nome],Table_Investimentos_Main[Total (R$)],"NOT FOUND")</f>
        <v>11035.2726</v>
      </c>
      <c r="K305" s="80" cm="1">
        <f t="array" ref="K305">Table_Investimentos_Porcent[[#This Row],[Total (R$)]]/_xlfn.XLOOKUP(Table_Investimentos_Porcent[[#This Row],[Data]]&amp;Table_Investimentos_Porcent[[#This Row],[Nome]],Table_Investimentos_Main[Data]&amp;Table_Investimentos_Main[Nome],Table_Investimentos_Main[Cotação Dolar],"NOT FOUND")</f>
        <v>2239.2550070006696</v>
      </c>
      <c r="O305" s="3"/>
      <c r="P305" s="3"/>
      <c r="Q305" s="3"/>
      <c r="V305" s="5"/>
      <c r="W305" s="5"/>
    </row>
    <row r="306" spans="2:23" x14ac:dyDescent="0.2">
      <c r="B306" s="8">
        <v>46143</v>
      </c>
      <c r="C306" s="34" t="s">
        <v>81</v>
      </c>
      <c r="D306" s="5" t="s">
        <v>20</v>
      </c>
      <c r="E306" s="5"/>
      <c r="F306" s="5"/>
      <c r="G306" s="5" cm="1">
        <f t="array" ref="G306">_xlfn.XLOOKUP(Table_Investimentos_Porcent[[#This Row],[Data]]&amp;Table_Investimentos_Porcent[[#This Row],[Nome]],Table_Investimentos_Main[Data]&amp;Table_Investimentos_Main[Nome],Table_Investimentos_Main[Estratégia],"NOT FOUND")</f>
        <v>0</v>
      </c>
      <c r="H306" s="5" t="str" cm="1">
        <f t="array" ref="H306">_xlfn.XLOOKUP(Table_Investimentos_Porcent[[#This Row],[Data]]&amp;Table_Investimentos_Porcent[[#This Row],[Nome]],Table_Investimentos_Main[Data]&amp;Table_Investimentos_Main[Nome],Table_Investimentos_Main[Moeda Base],"NOT FOUND")</f>
        <v>BRL</v>
      </c>
      <c r="I306" s="69">
        <v>1</v>
      </c>
      <c r="J306" s="18" cm="1">
        <f t="array" ref="J306">Table_Investimentos_Porcent[[#This Row],[Porcentagem]]*_xlfn.XLOOKUP(Table_Investimentos_Porcent[[#This Row],[Data]]&amp;Table_Investimentos_Porcent[[#This Row],[Nome]],Table_Investimentos_Main[Data]&amp;Table_Investimentos_Main[Nome],Table_Investimentos_Main[Total (R$)],"NOT FOUND")</f>
        <v>9400.4174000000003</v>
      </c>
      <c r="K306" s="80" cm="1">
        <f t="array" ref="K306">Table_Investimentos_Porcent[[#This Row],[Total (R$)]]/_xlfn.XLOOKUP(Table_Investimentos_Porcent[[#This Row],[Data]]&amp;Table_Investimentos_Porcent[[#This Row],[Nome]],Table_Investimentos_Main[Data]&amp;Table_Investimentos_Main[Nome],Table_Investimentos_Main[Cotação Dolar],"NOT FOUND")</f>
        <v>1907.5135244820522</v>
      </c>
      <c r="O306" s="3"/>
      <c r="P306" s="3"/>
      <c r="Q306" s="3"/>
      <c r="V306" s="5"/>
      <c r="W306" s="5"/>
    </row>
    <row r="307" spans="2:23" x14ac:dyDescent="0.2">
      <c r="B307" s="8">
        <v>46143</v>
      </c>
      <c r="C307" s="34" t="s">
        <v>58</v>
      </c>
      <c r="D307" s="5" t="s">
        <v>17</v>
      </c>
      <c r="E307" s="5"/>
      <c r="F307" s="5"/>
      <c r="G307" s="5" cm="1">
        <f t="array" ref="G307">_xlfn.XLOOKUP(Table_Investimentos_Porcent[[#This Row],[Data]]&amp;Table_Investimentos_Porcent[[#This Row],[Nome]],Table_Investimentos_Main[Data]&amp;Table_Investimentos_Main[Nome],Table_Investimentos_Main[Estratégia],"NOT FOUND")</f>
        <v>0</v>
      </c>
      <c r="H307" s="5" t="str" cm="1">
        <f t="array" ref="H307">_xlfn.XLOOKUP(Table_Investimentos_Porcent[[#This Row],[Data]]&amp;Table_Investimentos_Porcent[[#This Row],[Nome]],Table_Investimentos_Main[Data]&amp;Table_Investimentos_Main[Nome],Table_Investimentos_Main[Moeda Base],"NOT FOUND")</f>
        <v>BRL</v>
      </c>
      <c r="I307" s="69">
        <v>1</v>
      </c>
      <c r="J307" s="18" cm="1">
        <f t="array" ref="J307">Table_Investimentos_Porcent[[#This Row],[Porcentagem]]*_xlfn.XLOOKUP(Table_Investimentos_Porcent[[#This Row],[Data]]&amp;Table_Investimentos_Porcent[[#This Row],[Nome]],Table_Investimentos_Main[Data]&amp;Table_Investimentos_Main[Nome],Table_Investimentos_Main[Total (R$)],"NOT FOUND")</f>
        <v>8555.89</v>
      </c>
      <c r="K307" s="80" cm="1">
        <f t="array" ref="K307">Table_Investimentos_Porcent[[#This Row],[Total (R$)]]/_xlfn.XLOOKUP(Table_Investimentos_Porcent[[#This Row],[Data]]&amp;Table_Investimentos_Porcent[[#This Row],[Nome]],Table_Investimentos_Main[Data]&amp;Table_Investimentos_Main[Nome],Table_Investimentos_Main[Cotação Dolar],"NOT FOUND")</f>
        <v>1736.1437470830542</v>
      </c>
      <c r="O307" s="3"/>
      <c r="P307" s="3"/>
      <c r="Q307" s="3"/>
      <c r="V307" s="5"/>
      <c r="W307" s="5"/>
    </row>
    <row r="308" spans="2:23" ht="17" customHeight="1" x14ac:dyDescent="0.2">
      <c r="B308" s="8">
        <v>46143</v>
      </c>
      <c r="C308" s="34" t="s">
        <v>82</v>
      </c>
      <c r="D308" s="5" t="s">
        <v>20</v>
      </c>
      <c r="E308" s="5"/>
      <c r="F308" s="5"/>
      <c r="G308" s="5" cm="1">
        <f t="array" ref="G308">_xlfn.XLOOKUP(Table_Investimentos_Porcent[[#This Row],[Data]]&amp;Table_Investimentos_Porcent[[#This Row],[Nome]],Table_Investimentos_Main[Data]&amp;Table_Investimentos_Main[Nome],Table_Investimentos_Main[Estratégia],"NOT FOUND")</f>
        <v>0</v>
      </c>
      <c r="H308" s="5" t="str" cm="1">
        <f t="array" ref="H308">_xlfn.XLOOKUP(Table_Investimentos_Porcent[[#This Row],[Data]]&amp;Table_Investimentos_Porcent[[#This Row],[Nome]],Table_Investimentos_Main[Data]&amp;Table_Investimentos_Main[Nome],Table_Investimentos_Main[Moeda Base],"NOT FOUND")</f>
        <v>BRL</v>
      </c>
      <c r="I308" s="69">
        <v>1</v>
      </c>
      <c r="J308" s="18" cm="1">
        <f t="array" ref="J308">Table_Investimentos_Porcent[[#This Row],[Porcentagem]]*_xlfn.XLOOKUP(Table_Investimentos_Porcent[[#This Row],[Data]]&amp;Table_Investimentos_Porcent[[#This Row],[Nome]],Table_Investimentos_Main[Data]&amp;Table_Investimentos_Main[Nome],Table_Investimentos_Main[Total (R$)],"NOT FOUND")</f>
        <v>9651.92</v>
      </c>
      <c r="K308" s="80" cm="1">
        <f t="array" ref="K308">Table_Investimentos_Porcent[[#This Row],[Total (R$)]]/_xlfn.XLOOKUP(Table_Investimentos_Porcent[[#This Row],[Data]]&amp;Table_Investimentos_Porcent[[#This Row],[Nome]],Table_Investimentos_Main[Data]&amp;Table_Investimentos_Main[Nome],Table_Investimentos_Main[Cotação Dolar],"NOT FOUND")</f>
        <v>1958.5479190763176</v>
      </c>
      <c r="O308" s="3"/>
      <c r="P308" s="3"/>
      <c r="Q308" s="3"/>
      <c r="V308" s="5"/>
      <c r="W308" s="5"/>
    </row>
    <row r="309" spans="2:23" ht="17" customHeight="1" x14ac:dyDescent="0.2">
      <c r="B309" s="8">
        <v>46143</v>
      </c>
      <c r="C309" s="34" t="s">
        <v>74</v>
      </c>
      <c r="D309" s="5" t="s">
        <v>17</v>
      </c>
      <c r="E309" s="5"/>
      <c r="F309" s="5"/>
      <c r="G309" s="5" cm="1">
        <f t="array" ref="G309">_xlfn.XLOOKUP(Table_Investimentos_Porcent[[#This Row],[Data]]&amp;Table_Investimentos_Porcent[[#This Row],[Nome]],Table_Investimentos_Main[Data]&amp;Table_Investimentos_Main[Nome],Table_Investimentos_Main[Estratégia],"NOT FOUND")</f>
        <v>0</v>
      </c>
      <c r="H309" s="5" t="str" cm="1">
        <f t="array" ref="H309">_xlfn.XLOOKUP(Table_Investimentos_Porcent[[#This Row],[Data]]&amp;Table_Investimentos_Porcent[[#This Row],[Nome]],Table_Investimentos_Main[Data]&amp;Table_Investimentos_Main[Nome],Table_Investimentos_Main[Moeda Base],"NOT FOUND")</f>
        <v>BRL</v>
      </c>
      <c r="I309" s="69">
        <v>1</v>
      </c>
      <c r="J309" s="18" cm="1">
        <f t="array" ref="J309">Table_Investimentos_Porcent[[#This Row],[Porcentagem]]*_xlfn.XLOOKUP(Table_Investimentos_Porcent[[#This Row],[Data]]&amp;Table_Investimentos_Porcent[[#This Row],[Nome]],Table_Investimentos_Main[Data]&amp;Table_Investimentos_Main[Nome],Table_Investimentos_Main[Total (R$)],"NOT FOUND")</f>
        <v>11942.62</v>
      </c>
      <c r="K309" s="80" cm="1">
        <f t="array" ref="K309">Table_Investimentos_Porcent[[#This Row],[Total (R$)]]/_xlfn.XLOOKUP(Table_Investimentos_Porcent[[#This Row],[Data]]&amp;Table_Investimentos_Porcent[[#This Row],[Nome]],Table_Investimentos_Main[Data]&amp;Table_Investimentos_Main[Nome],Table_Investimentos_Main[Cotação Dolar],"NOT FOUND")</f>
        <v>2423.372090663745</v>
      </c>
      <c r="O309" s="3"/>
      <c r="P309" s="3"/>
      <c r="Q309" s="3"/>
      <c r="V309" s="5"/>
      <c r="W309" s="5"/>
    </row>
    <row r="310" spans="2:23" ht="17" customHeight="1" x14ac:dyDescent="0.2">
      <c r="B310" s="8">
        <v>46143</v>
      </c>
      <c r="C310" s="34" t="s">
        <v>51</v>
      </c>
      <c r="D310" s="5" t="s">
        <v>36</v>
      </c>
      <c r="E310" s="5"/>
      <c r="F310" s="5"/>
      <c r="G310" s="5" cm="1">
        <f t="array" ref="G310">_xlfn.XLOOKUP(Table_Investimentos_Porcent[[#This Row],[Data]]&amp;Table_Investimentos_Porcent[[#This Row],[Nome]],Table_Investimentos_Main[Data]&amp;Table_Investimentos_Main[Nome],Table_Investimentos_Main[Estratégia],"NOT FOUND")</f>
        <v>0</v>
      </c>
      <c r="H310" s="5" t="str" cm="1">
        <f t="array" ref="H310">_xlfn.XLOOKUP(Table_Investimentos_Porcent[[#This Row],[Data]]&amp;Table_Investimentos_Porcent[[#This Row],[Nome]],Table_Investimentos_Main[Data]&amp;Table_Investimentos_Main[Nome],Table_Investimentos_Main[Moeda Base],"NOT FOUND")</f>
        <v>USD</v>
      </c>
      <c r="I310" s="69">
        <v>1</v>
      </c>
      <c r="J310" s="18" cm="1">
        <f t="array" ref="J310">Table_Investimentos_Porcent[[#This Row],[Porcentagem]]*_xlfn.XLOOKUP(Table_Investimentos_Porcent[[#This Row],[Data]]&amp;Table_Investimentos_Porcent[[#This Row],[Nome]],Table_Investimentos_Main[Data]&amp;Table_Investimentos_Main[Nome],Table_Investimentos_Main[Total (R$)],"NOT FOUND")</f>
        <v>5718.9705680242496</v>
      </c>
      <c r="K310" s="80" cm="1">
        <f t="array" ref="K310">Table_Investimentos_Porcent[[#This Row],[Total (R$)]]/_xlfn.XLOOKUP(Table_Investimentos_Porcent[[#This Row],[Data]]&amp;Table_Investimentos_Porcent[[#This Row],[Nome]],Table_Investimentos_Main[Data]&amp;Table_Investimentos_Main[Nome],Table_Investimentos_Main[Cotação Dolar],"NOT FOUND")</f>
        <v>1160.4818425000001</v>
      </c>
      <c r="O310" s="3"/>
      <c r="P310" s="3"/>
      <c r="Q310" s="3"/>
      <c r="V310" s="5"/>
      <c r="W310" s="5"/>
    </row>
    <row r="311" spans="2:23" ht="17" customHeight="1" x14ac:dyDescent="0.2">
      <c r="B311" s="8">
        <v>46143</v>
      </c>
      <c r="C311" s="34" t="s">
        <v>77</v>
      </c>
      <c r="D311" s="5" t="s">
        <v>36</v>
      </c>
      <c r="E311" s="5"/>
      <c r="F311" s="5"/>
      <c r="G311" s="5" cm="1">
        <f t="array" ref="G311">_xlfn.XLOOKUP(Table_Investimentos_Porcent[[#This Row],[Data]]&amp;Table_Investimentos_Porcent[[#This Row],[Nome]],Table_Investimentos_Main[Data]&amp;Table_Investimentos_Main[Nome],Table_Investimentos_Main[Estratégia],"NOT FOUND")</f>
        <v>0</v>
      </c>
      <c r="H311" s="5" t="str" cm="1">
        <f t="array" ref="H311">_xlfn.XLOOKUP(Table_Investimentos_Porcent[[#This Row],[Data]]&amp;Table_Investimentos_Porcent[[#This Row],[Nome]],Table_Investimentos_Main[Data]&amp;Table_Investimentos_Main[Nome],Table_Investimentos_Main[Moeda Base],"NOT FOUND")</f>
        <v>USD</v>
      </c>
      <c r="I311" s="69">
        <v>1</v>
      </c>
      <c r="J311" s="18" cm="1">
        <f t="array" ref="J311">Table_Investimentos_Porcent[[#This Row],[Porcentagem]]*_xlfn.XLOOKUP(Table_Investimentos_Porcent[[#This Row],[Data]]&amp;Table_Investimentos_Porcent[[#This Row],[Nome]],Table_Investimentos_Main[Data]&amp;Table_Investimentos_Main[Nome],Table_Investimentos_Main[Total (R$)],"NOT FOUND")</f>
        <v>1089.03202805418</v>
      </c>
      <c r="K311" s="80" cm="1">
        <f t="array" ref="K311">Table_Investimentos_Porcent[[#This Row],[Total (R$)]]/_xlfn.XLOOKUP(Table_Investimentos_Porcent[[#This Row],[Data]]&amp;Table_Investimentos_Porcent[[#This Row],[Nome]],Table_Investimentos_Main[Data]&amp;Table_Investimentos_Main[Nome],Table_Investimentos_Main[Cotação Dolar],"NOT FOUND")</f>
        <v>220.98415780000002</v>
      </c>
      <c r="O311" s="3"/>
      <c r="P311" s="3"/>
      <c r="Q311" s="3"/>
      <c r="V311" s="5"/>
      <c r="W311" s="5"/>
    </row>
    <row r="312" spans="2:23" x14ac:dyDescent="0.2">
      <c r="B312" s="8">
        <v>46143</v>
      </c>
      <c r="C312" s="34" t="s">
        <v>79</v>
      </c>
      <c r="D312" s="5" t="s">
        <v>23</v>
      </c>
      <c r="E312" s="5"/>
      <c r="F312" s="5"/>
      <c r="G312" s="5" cm="1">
        <f t="array" ref="G312">_xlfn.XLOOKUP(Table_Investimentos_Porcent[[#This Row],[Data]]&amp;Table_Investimentos_Porcent[[#This Row],[Nome]],Table_Investimentos_Main[Data]&amp;Table_Investimentos_Main[Nome],Table_Investimentos_Main[Estratégia],"NOT FOUND")</f>
        <v>0</v>
      </c>
      <c r="H312" s="5" t="str" cm="1">
        <f t="array" ref="H312">_xlfn.XLOOKUP(Table_Investimentos_Porcent[[#This Row],[Data]]&amp;Table_Investimentos_Porcent[[#This Row],[Nome]],Table_Investimentos_Main[Data]&amp;Table_Investimentos_Main[Nome],Table_Investimentos_Main[Moeda Base],"NOT FOUND")</f>
        <v>USD</v>
      </c>
      <c r="I312" s="69">
        <v>1</v>
      </c>
      <c r="J312" s="18" cm="1">
        <f t="array" ref="J312">Table_Investimentos_Porcent[[#This Row],[Porcentagem]]*_xlfn.XLOOKUP(Table_Investimentos_Porcent[[#This Row],[Data]]&amp;Table_Investimentos_Porcent[[#This Row],[Nome]],Table_Investimentos_Main[Data]&amp;Table_Investimentos_Main[Nome],Table_Investimentos_Main[Total (R$)],"NOT FOUND")</f>
        <v>3238.1692538700004</v>
      </c>
      <c r="K312" s="80" cm="1">
        <f t="array" ref="K312">Table_Investimentos_Porcent[[#This Row],[Total (R$)]]/_xlfn.XLOOKUP(Table_Investimentos_Porcent[[#This Row],[Data]]&amp;Table_Investimentos_Porcent[[#This Row],[Nome]],Table_Investimentos_Main[Data]&amp;Table_Investimentos_Main[Nome],Table_Investimentos_Main[Cotação Dolar],"NOT FOUND")</f>
        <v>657.08270000000016</v>
      </c>
      <c r="O312" s="3"/>
      <c r="P312" s="3"/>
      <c r="Q312" s="3"/>
      <c r="V312" s="5"/>
      <c r="W312" s="5"/>
    </row>
    <row r="313" spans="2:23" x14ac:dyDescent="0.2">
      <c r="B313" s="8">
        <v>46143</v>
      </c>
      <c r="C313" s="34" t="s">
        <v>83</v>
      </c>
      <c r="D313" s="5" t="s">
        <v>36</v>
      </c>
      <c r="E313" s="5"/>
      <c r="F313" s="5"/>
      <c r="G313" s="5" cm="1">
        <f t="array" ref="G313">_xlfn.XLOOKUP(Table_Investimentos_Porcent[[#This Row],[Data]]&amp;Table_Investimentos_Porcent[[#This Row],[Nome]],Table_Investimentos_Main[Data]&amp;Table_Investimentos_Main[Nome],Table_Investimentos_Main[Estratégia],"NOT FOUND")</f>
        <v>0</v>
      </c>
      <c r="H313" s="5" t="str" cm="1">
        <f t="array" ref="H313">_xlfn.XLOOKUP(Table_Investimentos_Porcent[[#This Row],[Data]]&amp;Table_Investimentos_Porcent[[#This Row],[Nome]],Table_Investimentos_Main[Data]&amp;Table_Investimentos_Main[Nome],Table_Investimentos_Main[Moeda Base],"NOT FOUND")</f>
        <v>USD</v>
      </c>
      <c r="I313" s="69">
        <v>1</v>
      </c>
      <c r="J313" s="18" cm="1">
        <f t="array" ref="J313">Table_Investimentos_Porcent[[#This Row],[Porcentagem]]*_xlfn.XLOOKUP(Table_Investimentos_Porcent[[#This Row],[Data]]&amp;Table_Investimentos_Porcent[[#This Row],[Nome]],Table_Investimentos_Main[Data]&amp;Table_Investimentos_Main[Nome],Table_Investimentos_Main[Total (R$)],"NOT FOUND")</f>
        <v>1315.2782340677627</v>
      </c>
      <c r="K313" s="80" cm="1">
        <f t="array" ref="K313">Table_Investimentos_Porcent[[#This Row],[Total (R$)]]/_xlfn.XLOOKUP(Table_Investimentos_Porcent[[#This Row],[Data]]&amp;Table_Investimentos_Porcent[[#This Row],[Nome]],Table_Investimentos_Main[Data]&amp;Table_Investimentos_Main[Nome],Table_Investimentos_Main[Cotação Dolar],"NOT FOUND")</f>
        <v>266.8935764428</v>
      </c>
      <c r="O313" s="3"/>
      <c r="P313" s="3"/>
      <c r="Q313" s="3"/>
      <c r="V313" s="5"/>
      <c r="W313" s="5"/>
    </row>
    <row r="314" spans="2:23" x14ac:dyDescent="0.2">
      <c r="B314" s="8">
        <v>46143</v>
      </c>
      <c r="C314" s="34" t="s">
        <v>70</v>
      </c>
      <c r="D314" s="5" t="s">
        <v>23</v>
      </c>
      <c r="E314" s="5"/>
      <c r="F314" s="5"/>
      <c r="G314" s="5" cm="1">
        <f t="array" ref="G314">_xlfn.XLOOKUP(Table_Investimentos_Porcent[[#This Row],[Data]]&amp;Table_Investimentos_Porcent[[#This Row],[Nome]],Table_Investimentos_Main[Data]&amp;Table_Investimentos_Main[Nome],Table_Investimentos_Main[Estratégia],"NOT FOUND")</f>
        <v>0</v>
      </c>
      <c r="H314" s="5" t="str" cm="1">
        <f t="array" ref="H314">_xlfn.XLOOKUP(Table_Investimentos_Porcent[[#This Row],[Data]]&amp;Table_Investimentos_Porcent[[#This Row],[Nome]],Table_Investimentos_Main[Data]&amp;Table_Investimentos_Main[Nome],Table_Investimentos_Main[Moeda Base],"NOT FOUND")</f>
        <v>USD</v>
      </c>
      <c r="I314" s="69">
        <v>1</v>
      </c>
      <c r="J314" s="18" cm="1">
        <f t="array" ref="J314">Table_Investimentos_Porcent[[#This Row],[Porcentagem]]*_xlfn.XLOOKUP(Table_Investimentos_Porcent[[#This Row],[Data]]&amp;Table_Investimentos_Porcent[[#This Row],[Nome]],Table_Investimentos_Main[Data]&amp;Table_Investimentos_Main[Nome],Table_Investimentos_Main[Total (R$)],"NOT FOUND")</f>
        <v>6164.4072627644664</v>
      </c>
      <c r="K314" s="80" cm="1">
        <f t="array" ref="K314">Table_Investimentos_Porcent[[#This Row],[Total (R$)]]/_xlfn.XLOOKUP(Table_Investimentos_Porcent[[#This Row],[Data]]&amp;Table_Investimentos_Porcent[[#This Row],[Nome]],Table_Investimentos_Main[Data]&amp;Table_Investimentos_Main[Nome],Table_Investimentos_Main[Cotação Dolar],"NOT FOUND")</f>
        <v>1250.8689480255</v>
      </c>
      <c r="O314" s="3"/>
      <c r="P314" s="3"/>
      <c r="Q314" s="3"/>
      <c r="V314" s="5"/>
      <c r="W314" s="5"/>
    </row>
    <row r="315" spans="2:23" x14ac:dyDescent="0.2">
      <c r="B315" s="8">
        <v>46143</v>
      </c>
      <c r="C315" s="34" t="s">
        <v>85</v>
      </c>
      <c r="D315" s="5" t="s">
        <v>17</v>
      </c>
      <c r="E315" s="5"/>
      <c r="F315" s="5"/>
      <c r="G315" s="5" cm="1">
        <f t="array" ref="G315">_xlfn.XLOOKUP(Table_Investimentos_Porcent[[#This Row],[Data]]&amp;Table_Investimentos_Porcent[[#This Row],[Nome]],Table_Investimentos_Main[Data]&amp;Table_Investimentos_Main[Nome],Table_Investimentos_Main[Estratégia],"NOT FOUND")</f>
        <v>0</v>
      </c>
      <c r="H315" s="5" t="str" cm="1">
        <f t="array" ref="H315">_xlfn.XLOOKUP(Table_Investimentos_Porcent[[#This Row],[Data]]&amp;Table_Investimentos_Porcent[[#This Row],[Nome]],Table_Investimentos_Main[Data]&amp;Table_Investimentos_Main[Nome],Table_Investimentos_Main[Moeda Base],"NOT FOUND")</f>
        <v>USD</v>
      </c>
      <c r="I315" s="69">
        <v>1</v>
      </c>
      <c r="J315" s="18" cm="1">
        <f t="array" ref="J315">Table_Investimentos_Porcent[[#This Row],[Porcentagem]]*_xlfn.XLOOKUP(Table_Investimentos_Porcent[[#This Row],[Data]]&amp;Table_Investimentos_Porcent[[#This Row],[Nome]],Table_Investimentos_Main[Data]&amp;Table_Investimentos_Main[Nome],Table_Investimentos_Main[Total (R$)],"NOT FOUND")</f>
        <v>2811.1360829999994</v>
      </c>
      <c r="K315" s="80" cm="1">
        <f t="array" ref="K315">Table_Investimentos_Porcent[[#This Row],[Total (R$)]]/_xlfn.XLOOKUP(Table_Investimentos_Porcent[[#This Row],[Data]]&amp;Table_Investimentos_Porcent[[#This Row],[Nome]],Table_Investimentos_Main[Data]&amp;Table_Investimentos_Main[Nome],Table_Investimentos_Main[Cotação Dolar],"NOT FOUND")</f>
        <v>570.42999999999995</v>
      </c>
      <c r="O315" s="3"/>
      <c r="P315" s="3"/>
      <c r="Q315" s="3"/>
      <c r="V315" s="5"/>
      <c r="W315" s="5"/>
    </row>
    <row r="316" spans="2:23" x14ac:dyDescent="0.2">
      <c r="B316" s="8">
        <v>46143</v>
      </c>
      <c r="C316" s="34" t="s">
        <v>41</v>
      </c>
      <c r="D316" s="5" t="s">
        <v>13</v>
      </c>
      <c r="E316" s="5"/>
      <c r="F316" s="5"/>
      <c r="G316" s="5" cm="1">
        <f t="array" ref="G316">_xlfn.XLOOKUP(Table_Investimentos_Porcent[[#This Row],[Data]]&amp;Table_Investimentos_Porcent[[#This Row],[Nome]],Table_Investimentos_Main[Data]&amp;Table_Investimentos_Main[Nome],Table_Investimentos_Main[Estratégia],"NOT FOUND")</f>
        <v>0</v>
      </c>
      <c r="H316" s="5" t="str" cm="1">
        <f t="array" ref="H316">_xlfn.XLOOKUP(Table_Investimentos_Porcent[[#This Row],[Data]]&amp;Table_Investimentos_Porcent[[#This Row],[Nome]],Table_Investimentos_Main[Data]&amp;Table_Investimentos_Main[Nome],Table_Investimentos_Main[Moeda Base],"NOT FOUND")</f>
        <v>BTC</v>
      </c>
      <c r="I316" s="69">
        <v>1</v>
      </c>
      <c r="J316" s="18" cm="1">
        <f t="array" ref="J316">Table_Investimentos_Porcent[[#This Row],[Porcentagem]]*_xlfn.XLOOKUP(Table_Investimentos_Porcent[[#This Row],[Data]]&amp;Table_Investimentos_Porcent[[#This Row],[Nome]],Table_Investimentos_Main[Data]&amp;Table_Investimentos_Main[Nome],Table_Investimentos_Main[Total (R$)],"NOT FOUND")</f>
        <v>120720.10821556</v>
      </c>
      <c r="K316" s="80" cm="1">
        <f t="array" ref="K316">Table_Investimentos_Porcent[[#This Row],[Total (R$)]]/_xlfn.XLOOKUP(Table_Investimentos_Porcent[[#This Row],[Data]]&amp;Table_Investimentos_Porcent[[#This Row],[Nome]],Table_Investimentos_Main[Data]&amp;Table_Investimentos_Main[Nome],Table_Investimentos_Main[Cotação Dolar],"NOT FOUND")</f>
        <v>24496.278122513748</v>
      </c>
      <c r="O316" s="3"/>
      <c r="P316" s="3"/>
      <c r="Q316" s="3"/>
      <c r="V316" s="5"/>
      <c r="W316" s="5"/>
    </row>
    <row r="317" spans="2:23" x14ac:dyDescent="0.2">
      <c r="B317" s="8">
        <v>46174</v>
      </c>
      <c r="C317" s="34" t="s">
        <v>44</v>
      </c>
      <c r="D317" s="5" t="s">
        <v>17</v>
      </c>
      <c r="E317" s="5"/>
      <c r="F317" s="5"/>
      <c r="G317" s="5" cm="1">
        <f t="array" ref="G317">_xlfn.XLOOKUP(Table_Investimentos_Porcent[[#This Row],[Data]]&amp;Table_Investimentos_Porcent[[#This Row],[Nome]],Table_Investimentos_Main[Data]&amp;Table_Investimentos_Main[Nome],Table_Investimentos_Main[Estratégia],"NOT FOUND")</f>
        <v>0</v>
      </c>
      <c r="H317" s="5" t="str" cm="1">
        <f t="array" ref="H317">_xlfn.XLOOKUP(Table_Investimentos_Porcent[[#This Row],[Data]]&amp;Table_Investimentos_Porcent[[#This Row],[Nome]],Table_Investimentos_Main[Data]&amp;Table_Investimentos_Main[Nome],Table_Investimentos_Main[Moeda Base],"NOT FOUND")</f>
        <v>USD</v>
      </c>
      <c r="I317" s="69">
        <v>1</v>
      </c>
      <c r="J317" s="18" cm="1">
        <f t="array" ref="J317">Table_Investimentos_Porcent[[#This Row],[Porcentagem]]*_xlfn.XLOOKUP(Table_Investimentos_Porcent[[#This Row],[Data]]&amp;Table_Investimentos_Porcent[[#This Row],[Nome]],Table_Investimentos_Main[Data]&amp;Table_Investimentos_Main[Nome],Table_Investimentos_Main[Total (R$)],"NOT FOUND")</f>
        <v>8821.9476960000011</v>
      </c>
      <c r="K317" s="80" cm="1">
        <f t="array" ref="K317">Table_Investimentos_Porcent[[#This Row],[Total (R$)]]/_xlfn.XLOOKUP(Table_Investimentos_Porcent[[#This Row],[Data]]&amp;Table_Investimentos_Porcent[[#This Row],[Nome]],Table_Investimentos_Main[Data]&amp;Table_Investimentos_Main[Nome],Table_Investimentos_Main[Cotação Dolar],"NOT FOUND")</f>
        <v>1702.2900000000002</v>
      </c>
      <c r="O317" s="3"/>
      <c r="P317" s="3"/>
      <c r="Q317" s="3"/>
      <c r="V317" s="5"/>
      <c r="W317" s="5"/>
    </row>
    <row r="318" spans="2:23" x14ac:dyDescent="0.2">
      <c r="B318" s="8">
        <v>46174</v>
      </c>
      <c r="C318" s="34" t="s">
        <v>42</v>
      </c>
      <c r="D318" s="5" t="s">
        <v>13</v>
      </c>
      <c r="E318" s="5"/>
      <c r="F318" s="5"/>
      <c r="G318" s="5" cm="1">
        <f t="array" ref="G318">_xlfn.XLOOKUP(Table_Investimentos_Porcent[[#This Row],[Data]]&amp;Table_Investimentos_Porcent[[#This Row],[Nome]],Table_Investimentos_Main[Data]&amp;Table_Investimentos_Main[Nome],Table_Investimentos_Main[Estratégia],"NOT FOUND")</f>
        <v>0</v>
      </c>
      <c r="H318" s="5" t="str" cm="1">
        <f t="array" ref="H318">_xlfn.XLOOKUP(Table_Investimentos_Porcent[[#This Row],[Data]]&amp;Table_Investimentos_Porcent[[#This Row],[Nome]],Table_Investimentos_Main[Data]&amp;Table_Investimentos_Main[Nome],Table_Investimentos_Main[Moeda Base],"NOT FOUND")</f>
        <v>BTC</v>
      </c>
      <c r="I318" s="69">
        <v>1</v>
      </c>
      <c r="J318" s="18" cm="1">
        <f t="array" ref="J318">Table_Investimentos_Porcent[[#This Row],[Porcentagem]]*_xlfn.XLOOKUP(Table_Investimentos_Porcent[[#This Row],[Data]]&amp;Table_Investimentos_Porcent[[#This Row],[Nome]],Table_Investimentos_Main[Data]&amp;Table_Investimentos_Main[Nome],Table_Investimentos_Main[Total (R$)],"NOT FOUND")</f>
        <v>1944.65253312</v>
      </c>
      <c r="K318" s="80" cm="1">
        <f t="array" ref="K318">Table_Investimentos_Porcent[[#This Row],[Total (R$)]]/_xlfn.XLOOKUP(Table_Investimentos_Porcent[[#This Row],[Data]]&amp;Table_Investimentos_Porcent[[#This Row],[Nome]],Table_Investimentos_Main[Data]&amp;Table_Investimentos_Main[Nome],Table_Investimentos_Main[Cotação Dolar],"NOT FOUND")</f>
        <v>375.24168978079655</v>
      </c>
      <c r="O318" s="3"/>
      <c r="P318" s="3"/>
      <c r="Q318" s="3"/>
      <c r="V318" s="5"/>
      <c r="W318" s="5"/>
    </row>
    <row r="319" spans="2:23" x14ac:dyDescent="0.2">
      <c r="B319" s="8">
        <v>46174</v>
      </c>
      <c r="C319" s="34" t="s">
        <v>49</v>
      </c>
      <c r="D319" s="5" t="s">
        <v>13</v>
      </c>
      <c r="E319" s="5"/>
      <c r="F319" s="5"/>
      <c r="G319" s="5" cm="1">
        <f t="array" ref="G319">_xlfn.XLOOKUP(Table_Investimentos_Porcent[[#This Row],[Data]]&amp;Table_Investimentos_Porcent[[#This Row],[Nome]],Table_Investimentos_Main[Data]&amp;Table_Investimentos_Main[Nome],Table_Investimentos_Main[Estratégia],"NOT FOUND")</f>
        <v>0</v>
      </c>
      <c r="H319" s="5" t="str" cm="1">
        <f t="array" ref="H319">_xlfn.XLOOKUP(Table_Investimentos_Porcent[[#This Row],[Data]]&amp;Table_Investimentos_Porcent[[#This Row],[Nome]],Table_Investimentos_Main[Data]&amp;Table_Investimentos_Main[Nome],Table_Investimentos_Main[Moeda Base],"NOT FOUND")</f>
        <v>USD</v>
      </c>
      <c r="I319" s="69">
        <v>1</v>
      </c>
      <c r="J319" s="18" cm="1">
        <f t="array" ref="J319">Table_Investimentos_Porcent[[#This Row],[Porcentagem]]*_xlfn.XLOOKUP(Table_Investimentos_Porcent[[#This Row],[Data]]&amp;Table_Investimentos_Porcent[[#This Row],[Nome]],Table_Investimentos_Main[Data]&amp;Table_Investimentos_Main[Nome],Table_Investimentos_Main[Total (R$)],"NOT FOUND")</f>
        <v>2051.747312</v>
      </c>
      <c r="K319" s="80" cm="1">
        <f t="array" ref="K319">Table_Investimentos_Porcent[[#This Row],[Total (R$)]]/_xlfn.XLOOKUP(Table_Investimentos_Porcent[[#This Row],[Data]]&amp;Table_Investimentos_Porcent[[#This Row],[Nome]],Table_Investimentos_Main[Data]&amp;Table_Investimentos_Main[Nome],Table_Investimentos_Main[Cotação Dolar],"NOT FOUND")</f>
        <v>395.90678295770294</v>
      </c>
      <c r="O319" s="3"/>
      <c r="P319" s="3"/>
      <c r="Q319" s="3"/>
      <c r="V319" s="5"/>
      <c r="W319" s="5"/>
    </row>
    <row r="320" spans="2:23" x14ac:dyDescent="0.2">
      <c r="B320" s="8">
        <v>46174</v>
      </c>
      <c r="C320" s="34" t="s">
        <v>68</v>
      </c>
      <c r="D320" s="5" t="s">
        <v>20</v>
      </c>
      <c r="E320" s="5"/>
      <c r="F320" s="5"/>
      <c r="G320" s="5" cm="1">
        <f t="array" ref="G320">_xlfn.XLOOKUP(Table_Investimentos_Porcent[[#This Row],[Data]]&amp;Table_Investimentos_Porcent[[#This Row],[Nome]],Table_Investimentos_Main[Data]&amp;Table_Investimentos_Main[Nome],Table_Investimentos_Main[Estratégia],"NOT FOUND")</f>
        <v>0</v>
      </c>
      <c r="H320" s="5" t="str" cm="1">
        <f t="array" ref="H320">_xlfn.XLOOKUP(Table_Investimentos_Porcent[[#This Row],[Data]]&amp;Table_Investimentos_Porcent[[#This Row],[Nome]],Table_Investimentos_Main[Data]&amp;Table_Investimentos_Main[Nome],Table_Investimentos_Main[Moeda Base],"NOT FOUND")</f>
        <v>BRL</v>
      </c>
      <c r="I320" s="69">
        <v>1</v>
      </c>
      <c r="J320" s="18" cm="1">
        <f t="array" ref="J320">Table_Investimentos_Porcent[[#This Row],[Porcentagem]]*_xlfn.XLOOKUP(Table_Investimentos_Porcent[[#This Row],[Data]]&amp;Table_Investimentos_Porcent[[#This Row],[Nome]],Table_Investimentos_Main[Data]&amp;Table_Investimentos_Main[Nome],Table_Investimentos_Main[Total (R$)],"NOT FOUND")</f>
        <v>11400.78</v>
      </c>
      <c r="K320" s="80" cm="1">
        <f t="array" ref="K320">Table_Investimentos_Porcent[[#This Row],[Total (R$)]]/_xlfn.XLOOKUP(Table_Investimentos_Porcent[[#This Row],[Data]]&amp;Table_Investimentos_Porcent[[#This Row],[Nome]],Table_Investimentos_Main[Data]&amp;Table_Investimentos_Main[Nome],Table_Investimentos_Main[Cotação Dolar],"NOT FOUND")</f>
        <v>2199.9035196048162</v>
      </c>
      <c r="O320" s="3"/>
      <c r="P320" s="3"/>
      <c r="Q320" s="3"/>
      <c r="V320" s="5"/>
      <c r="W320" s="5"/>
    </row>
    <row r="321" spans="2:23" x14ac:dyDescent="0.2">
      <c r="B321" s="8">
        <v>46174</v>
      </c>
      <c r="C321" s="34" t="s">
        <v>75</v>
      </c>
      <c r="D321" s="5" t="s">
        <v>36</v>
      </c>
      <c r="E321" s="5"/>
      <c r="F321" s="5"/>
      <c r="G321" s="5" cm="1">
        <f t="array" ref="G321">_xlfn.XLOOKUP(Table_Investimentos_Porcent[[#This Row],[Data]]&amp;Table_Investimentos_Porcent[[#This Row],[Nome]],Table_Investimentos_Main[Data]&amp;Table_Investimentos_Main[Nome],Table_Investimentos_Main[Estratégia],"NOT FOUND")</f>
        <v>0</v>
      </c>
      <c r="H321" s="5" t="str" cm="1">
        <f t="array" ref="H321">_xlfn.XLOOKUP(Table_Investimentos_Porcent[[#This Row],[Data]]&amp;Table_Investimentos_Porcent[[#This Row],[Nome]],Table_Investimentos_Main[Data]&amp;Table_Investimentos_Main[Nome],Table_Investimentos_Main[Moeda Base],"NOT FOUND")</f>
        <v>BRL</v>
      </c>
      <c r="I321" s="69">
        <v>1</v>
      </c>
      <c r="J321" s="18" cm="1">
        <f t="array" ref="J321">Table_Investimentos_Porcent[[#This Row],[Porcentagem]]*_xlfn.XLOOKUP(Table_Investimentos_Porcent[[#This Row],[Data]]&amp;Table_Investimentos_Porcent[[#This Row],[Nome]],Table_Investimentos_Main[Data]&amp;Table_Investimentos_Main[Nome],Table_Investimentos_Main[Total (R$)],"NOT FOUND")</f>
        <v>11502.021600000002</v>
      </c>
      <c r="K321" s="80" cm="1">
        <f t="array" ref="K321">Table_Investimentos_Porcent[[#This Row],[Total (R$)]]/_xlfn.XLOOKUP(Table_Investimentos_Porcent[[#This Row],[Data]]&amp;Table_Investimentos_Porcent[[#This Row],[Nome]],Table_Investimentos_Main[Data]&amp;Table_Investimentos_Main[Nome],Table_Investimentos_Main[Cotação Dolar],"NOT FOUND")</f>
        <v>2219.4391787588766</v>
      </c>
      <c r="O321" s="3"/>
      <c r="P321" s="3"/>
      <c r="Q321" s="3"/>
      <c r="V321" s="5"/>
      <c r="W321" s="5"/>
    </row>
    <row r="322" spans="2:23" x14ac:dyDescent="0.2">
      <c r="B322" s="8">
        <v>46174</v>
      </c>
      <c r="C322" s="34" t="s">
        <v>81</v>
      </c>
      <c r="D322" s="5" t="s">
        <v>20</v>
      </c>
      <c r="E322" s="5"/>
      <c r="F322" s="5"/>
      <c r="G322" s="5" cm="1">
        <f t="array" ref="G322">_xlfn.XLOOKUP(Table_Investimentos_Porcent[[#This Row],[Data]]&amp;Table_Investimentos_Porcent[[#This Row],[Nome]],Table_Investimentos_Main[Data]&amp;Table_Investimentos_Main[Nome],Table_Investimentos_Main[Estratégia],"NOT FOUND")</f>
        <v>0</v>
      </c>
      <c r="H322" s="5" t="str" cm="1">
        <f t="array" ref="H322">_xlfn.XLOOKUP(Table_Investimentos_Porcent[[#This Row],[Data]]&amp;Table_Investimentos_Porcent[[#This Row],[Nome]],Table_Investimentos_Main[Data]&amp;Table_Investimentos_Main[Nome],Table_Investimentos_Main[Moeda Base],"NOT FOUND")</f>
        <v>BRL</v>
      </c>
      <c r="I322" s="69">
        <v>1</v>
      </c>
      <c r="J322" s="18" cm="1">
        <f t="array" ref="J322">Table_Investimentos_Porcent[[#This Row],[Porcentagem]]*_xlfn.XLOOKUP(Table_Investimentos_Porcent[[#This Row],[Data]]&amp;Table_Investimentos_Porcent[[#This Row],[Nome]],Table_Investimentos_Main[Data]&amp;Table_Investimentos_Main[Nome],Table_Investimentos_Main[Total (R$)],"NOT FOUND")</f>
        <v>9798.0184000000008</v>
      </c>
      <c r="K322" s="80" cm="1">
        <f t="array" ref="K322">Table_Investimentos_Porcent[[#This Row],[Total (R$)]]/_xlfn.XLOOKUP(Table_Investimentos_Porcent[[#This Row],[Data]]&amp;Table_Investimentos_Porcent[[#This Row],[Nome]],Table_Investimentos_Main[Data]&amp;Table_Investimentos_Main[Nome],Table_Investimentos_Main[Cotação Dolar],"NOT FOUND")</f>
        <v>1890.6333744983019</v>
      </c>
      <c r="O322" s="3"/>
      <c r="P322" s="3"/>
      <c r="Q322" s="3"/>
      <c r="V322" s="5"/>
      <c r="W322" s="5"/>
    </row>
    <row r="323" spans="2:23" x14ac:dyDescent="0.2">
      <c r="B323" s="8">
        <v>46174</v>
      </c>
      <c r="C323" s="34" t="s">
        <v>58</v>
      </c>
      <c r="D323" s="5" t="s">
        <v>17</v>
      </c>
      <c r="E323" s="5"/>
      <c r="F323" s="5"/>
      <c r="G323" s="5" cm="1">
        <f t="array" ref="G323">_xlfn.XLOOKUP(Table_Investimentos_Porcent[[#This Row],[Data]]&amp;Table_Investimentos_Porcent[[#This Row],[Nome]],Table_Investimentos_Main[Data]&amp;Table_Investimentos_Main[Nome],Table_Investimentos_Main[Estratégia],"NOT FOUND")</f>
        <v>0</v>
      </c>
      <c r="H323" s="5" t="str" cm="1">
        <f t="array" ref="H323">_xlfn.XLOOKUP(Table_Investimentos_Porcent[[#This Row],[Data]]&amp;Table_Investimentos_Porcent[[#This Row],[Nome]],Table_Investimentos_Main[Data]&amp;Table_Investimentos_Main[Nome],Table_Investimentos_Main[Moeda Base],"NOT FOUND")</f>
        <v>BRL</v>
      </c>
      <c r="I323" s="69">
        <v>1</v>
      </c>
      <c r="J323" s="18" cm="1">
        <f t="array" ref="J323">Table_Investimentos_Porcent[[#This Row],[Porcentagem]]*_xlfn.XLOOKUP(Table_Investimentos_Porcent[[#This Row],[Data]]&amp;Table_Investimentos_Porcent[[#This Row],[Nome]],Table_Investimentos_Main[Data]&amp;Table_Investimentos_Main[Nome],Table_Investimentos_Main[Total (R$)],"NOT FOUND")</f>
        <v>5202.4399999999996</v>
      </c>
      <c r="K323" s="80" cm="1">
        <f t="array" ref="K323">Table_Investimentos_Porcent[[#This Row],[Total (R$)]]/_xlfn.XLOOKUP(Table_Investimentos_Porcent[[#This Row],[Data]]&amp;Table_Investimentos_Porcent[[#This Row],[Nome]],Table_Investimentos_Main[Data]&amp;Table_Investimentos_Main[Nome],Table_Investimentos_Main[Cotação Dolar],"NOT FOUND")</f>
        <v>1003.8669342389625</v>
      </c>
      <c r="O323" s="3"/>
      <c r="P323" s="3"/>
      <c r="Q323" s="3"/>
      <c r="V323" s="5"/>
      <c r="W323" s="5"/>
    </row>
    <row r="324" spans="2:23" x14ac:dyDescent="0.2">
      <c r="B324" s="8">
        <v>46174</v>
      </c>
      <c r="C324" s="34" t="s">
        <v>89</v>
      </c>
      <c r="D324" s="5" t="s">
        <v>20</v>
      </c>
      <c r="E324" s="5"/>
      <c r="F324" s="5"/>
      <c r="G324" s="5" cm="1">
        <f t="array" ref="G324">_xlfn.XLOOKUP(Table_Investimentos_Porcent[[#This Row],[Data]]&amp;Table_Investimentos_Porcent[[#This Row],[Nome]],Table_Investimentos_Main[Data]&amp;Table_Investimentos_Main[Nome],Table_Investimentos_Main[Estratégia],"NOT FOUND")</f>
        <v>0</v>
      </c>
      <c r="H324" s="5" t="str" cm="1">
        <f t="array" ref="H324">_xlfn.XLOOKUP(Table_Investimentos_Porcent[[#This Row],[Data]]&amp;Table_Investimentos_Porcent[[#This Row],[Nome]],Table_Investimentos_Main[Data]&amp;Table_Investimentos_Main[Nome],Table_Investimentos_Main[Moeda Base],"NOT FOUND")</f>
        <v>BRL</v>
      </c>
      <c r="I324" s="69">
        <v>1</v>
      </c>
      <c r="J324" s="18" cm="1">
        <f t="array" ref="J324">Table_Investimentos_Porcent[[#This Row],[Porcentagem]]*_xlfn.XLOOKUP(Table_Investimentos_Porcent[[#This Row],[Data]]&amp;Table_Investimentos_Porcent[[#This Row],[Nome]],Table_Investimentos_Main[Data]&amp;Table_Investimentos_Main[Nome],Table_Investimentos_Main[Total (R$)],"NOT FOUND")</f>
        <v>9776.3799999999992</v>
      </c>
      <c r="K324" s="80" cm="1">
        <f t="array" ref="K324">Table_Investimentos_Porcent[[#This Row],[Total (R$)]]/_xlfn.XLOOKUP(Table_Investimentos_Porcent[[#This Row],[Data]]&amp;Table_Investimentos_Porcent[[#This Row],[Nome]],Table_Investimentos_Main[Data]&amp;Table_Investimentos_Main[Nome],Table_Investimentos_Main[Cotação Dolar],"NOT FOUND")</f>
        <v>1886.4580117320158</v>
      </c>
      <c r="O324" s="3"/>
      <c r="P324" s="3"/>
      <c r="Q324" s="3"/>
      <c r="V324" s="5"/>
      <c r="W324" s="5"/>
    </row>
    <row r="325" spans="2:23" x14ac:dyDescent="0.2">
      <c r="B325" s="8">
        <v>46174</v>
      </c>
      <c r="C325" s="34" t="s">
        <v>74</v>
      </c>
      <c r="D325" s="5" t="s">
        <v>17</v>
      </c>
      <c r="E325" s="5"/>
      <c r="F325" s="5"/>
      <c r="G325" s="5" cm="1">
        <f t="array" ref="G325">_xlfn.XLOOKUP(Table_Investimentos_Porcent[[#This Row],[Data]]&amp;Table_Investimentos_Porcent[[#This Row],[Nome]],Table_Investimentos_Main[Data]&amp;Table_Investimentos_Main[Nome],Table_Investimentos_Main[Estratégia],"NOT FOUND")</f>
        <v>0</v>
      </c>
      <c r="H325" s="5" t="str" cm="1">
        <f t="array" ref="H325">_xlfn.XLOOKUP(Table_Investimentos_Porcent[[#This Row],[Data]]&amp;Table_Investimentos_Porcent[[#This Row],[Nome]],Table_Investimentos_Main[Data]&amp;Table_Investimentos_Main[Nome],Table_Investimentos_Main[Moeda Base],"NOT FOUND")</f>
        <v>BRL</v>
      </c>
      <c r="I325" s="69">
        <v>1</v>
      </c>
      <c r="J325" s="18" cm="1">
        <f t="array" ref="J325">Table_Investimentos_Porcent[[#This Row],[Porcentagem]]*_xlfn.XLOOKUP(Table_Investimentos_Porcent[[#This Row],[Data]]&amp;Table_Investimentos_Porcent[[#This Row],[Nome]],Table_Investimentos_Main[Data]&amp;Table_Investimentos_Main[Nome],Table_Investimentos_Main[Total (R$)],"NOT FOUND")</f>
        <v>12074.95</v>
      </c>
      <c r="K325" s="80" cm="1">
        <f t="array" ref="K325">Table_Investimentos_Porcent[[#This Row],[Total (R$)]]/_xlfn.XLOOKUP(Table_Investimentos_Porcent[[#This Row],[Data]]&amp;Table_Investimentos_Porcent[[#This Row],[Nome]],Table_Investimentos_Main[Data]&amp;Table_Investimentos_Main[Nome],Table_Investimentos_Main[Cotação Dolar],"NOT FOUND")</f>
        <v>2329.9918956468046</v>
      </c>
      <c r="O325" s="3"/>
      <c r="V325" s="5"/>
      <c r="W325" s="5"/>
    </row>
    <row r="326" spans="2:23" x14ac:dyDescent="0.2">
      <c r="B326" s="8">
        <v>46174</v>
      </c>
      <c r="C326" s="34" t="s">
        <v>51</v>
      </c>
      <c r="D326" s="5" t="s">
        <v>36</v>
      </c>
      <c r="E326" s="5"/>
      <c r="F326" s="5"/>
      <c r="G326" s="5" cm="1">
        <f t="array" ref="G326">_xlfn.XLOOKUP(Table_Investimentos_Porcent[[#This Row],[Data]]&amp;Table_Investimentos_Porcent[[#This Row],[Nome]],Table_Investimentos_Main[Data]&amp;Table_Investimentos_Main[Nome],Table_Investimentos_Main[Estratégia],"NOT FOUND")</f>
        <v>0</v>
      </c>
      <c r="H326" s="5" t="str" cm="1">
        <f t="array" ref="H326">_xlfn.XLOOKUP(Table_Investimentos_Porcent[[#This Row],[Data]]&amp;Table_Investimentos_Porcent[[#This Row],[Nome]],Table_Investimentos_Main[Data]&amp;Table_Investimentos_Main[Nome],Table_Investimentos_Main[Moeda Base],"NOT FOUND")</f>
        <v>USD</v>
      </c>
      <c r="I326" s="69">
        <v>1</v>
      </c>
      <c r="J326" s="18" cm="1">
        <f t="array" ref="J326">Table_Investimentos_Porcent[[#This Row],[Porcentagem]]*_xlfn.XLOOKUP(Table_Investimentos_Porcent[[#This Row],[Data]]&amp;Table_Investimentos_Porcent[[#This Row],[Nome]],Table_Investimentos_Main[Data]&amp;Table_Investimentos_Main[Nome],Table_Investimentos_Main[Total (R$)],"NOT FOUND")</f>
        <v>9903.8481152639997</v>
      </c>
      <c r="K326" s="80" cm="1">
        <f t="array" ref="K326">Table_Investimentos_Porcent[[#This Row],[Total (R$)]]/_xlfn.XLOOKUP(Table_Investimentos_Porcent[[#This Row],[Data]]&amp;Table_Investimentos_Porcent[[#This Row],[Nome]],Table_Investimentos_Main[Data]&amp;Table_Investimentos_Main[Nome],Table_Investimentos_Main[Cotação Dolar],"NOT FOUND")</f>
        <v>1911.0543599999999</v>
      </c>
      <c r="O326" s="3"/>
      <c r="V326" s="5"/>
      <c r="W326" s="5"/>
    </row>
    <row r="327" spans="2:23" x14ac:dyDescent="0.2">
      <c r="B327" s="8">
        <v>46174</v>
      </c>
      <c r="C327" s="34" t="s">
        <v>77</v>
      </c>
      <c r="D327" s="5" t="s">
        <v>36</v>
      </c>
      <c r="E327" s="5"/>
      <c r="F327" s="5"/>
      <c r="G327" s="5" cm="1">
        <f t="array" ref="G327">_xlfn.XLOOKUP(Table_Investimentos_Porcent[[#This Row],[Data]]&amp;Table_Investimentos_Porcent[[#This Row],[Nome]],Table_Investimentos_Main[Data]&amp;Table_Investimentos_Main[Nome],Table_Investimentos_Main[Estratégia],"NOT FOUND")</f>
        <v>0</v>
      </c>
      <c r="H327" s="5" t="str" cm="1">
        <f t="array" ref="H327">_xlfn.XLOOKUP(Table_Investimentos_Porcent[[#This Row],[Data]]&amp;Table_Investimentos_Porcent[[#This Row],[Nome]],Table_Investimentos_Main[Data]&amp;Table_Investimentos_Main[Nome],Table_Investimentos_Main[Moeda Base],"NOT FOUND")</f>
        <v>USD</v>
      </c>
      <c r="I327" s="69">
        <v>1</v>
      </c>
      <c r="J327" s="18" cm="1">
        <f t="array" ref="J327">Table_Investimentos_Porcent[[#This Row],[Porcentagem]]*_xlfn.XLOOKUP(Table_Investimentos_Porcent[[#This Row],[Data]]&amp;Table_Investimentos_Porcent[[#This Row],[Nome]],Table_Investimentos_Main[Data]&amp;Table_Investimentos_Main[Nome],Table_Investimentos_Main[Total (R$)],"NOT FOUND")</f>
        <v>1045.6288431231999</v>
      </c>
      <c r="K327" s="80" cm="1">
        <f t="array" ref="K327">Table_Investimentos_Porcent[[#This Row],[Total (R$)]]/_xlfn.XLOOKUP(Table_Investimentos_Porcent[[#This Row],[Data]]&amp;Table_Investimentos_Porcent[[#This Row],[Nome]],Table_Investimentos_Main[Data]&amp;Table_Investimentos_Main[Nome],Table_Investimentos_Main[Cotação Dolar],"NOT FOUND")</f>
        <v>201.76536799999997</v>
      </c>
      <c r="O327" s="3"/>
      <c r="V327" s="5"/>
      <c r="W327" s="5"/>
    </row>
    <row r="328" spans="2:23" x14ac:dyDescent="0.2">
      <c r="B328" s="8">
        <v>46174</v>
      </c>
      <c r="C328" s="34" t="s">
        <v>79</v>
      </c>
      <c r="D328" s="5" t="s">
        <v>23</v>
      </c>
      <c r="E328" s="5"/>
      <c r="F328" s="5"/>
      <c r="G328" s="5" cm="1">
        <f t="array" ref="G328">_xlfn.XLOOKUP(Table_Investimentos_Porcent[[#This Row],[Data]]&amp;Table_Investimentos_Porcent[[#This Row],[Nome]],Table_Investimentos_Main[Data]&amp;Table_Investimentos_Main[Nome],Table_Investimentos_Main[Estratégia],"NOT FOUND")</f>
        <v>0</v>
      </c>
      <c r="H328" s="5" t="str" cm="1">
        <f t="array" ref="H328">_xlfn.XLOOKUP(Table_Investimentos_Porcent[[#This Row],[Data]]&amp;Table_Investimentos_Porcent[[#This Row],[Nome]],Table_Investimentos_Main[Data]&amp;Table_Investimentos_Main[Nome],Table_Investimentos_Main[Moeda Base],"NOT FOUND")</f>
        <v>USD</v>
      </c>
      <c r="I328" s="69">
        <v>1</v>
      </c>
      <c r="J328" s="18" cm="1">
        <f t="array" ref="J328">Table_Investimentos_Porcent[[#This Row],[Porcentagem]]*_xlfn.XLOOKUP(Table_Investimentos_Porcent[[#This Row],[Data]]&amp;Table_Investimentos_Porcent[[#This Row],[Nome]],Table_Investimentos_Main[Data]&amp;Table_Investimentos_Main[Nome],Table_Investimentos_Main[Total (R$)],"NOT FOUND")</f>
        <v>3221.5415308800002</v>
      </c>
      <c r="K328" s="80" cm="1">
        <f t="array" ref="K328">Table_Investimentos_Porcent[[#This Row],[Total (R$)]]/_xlfn.XLOOKUP(Table_Investimentos_Porcent[[#This Row],[Data]]&amp;Table_Investimentos_Porcent[[#This Row],[Nome]],Table_Investimentos_Main[Data]&amp;Table_Investimentos_Main[Nome],Table_Investimentos_Main[Cotação Dolar],"NOT FOUND")</f>
        <v>621.63120000000004</v>
      </c>
      <c r="O328" s="3"/>
      <c r="V328" s="5"/>
      <c r="W328" s="5"/>
    </row>
    <row r="329" spans="2:23" x14ac:dyDescent="0.2">
      <c r="B329" s="8">
        <v>46174</v>
      </c>
      <c r="C329" s="34" t="s">
        <v>83</v>
      </c>
      <c r="D329" s="5" t="s">
        <v>36</v>
      </c>
      <c r="E329" s="5"/>
      <c r="F329" s="5"/>
      <c r="G329" s="5" cm="1">
        <f t="array" ref="G329">_xlfn.XLOOKUP(Table_Investimentos_Porcent[[#This Row],[Data]]&amp;Table_Investimentos_Porcent[[#This Row],[Nome]],Table_Investimentos_Main[Data]&amp;Table_Investimentos_Main[Nome],Table_Investimentos_Main[Estratégia],"NOT FOUND")</f>
        <v>0</v>
      </c>
      <c r="H329" s="5" t="str" cm="1">
        <f t="array" ref="H329">_xlfn.XLOOKUP(Table_Investimentos_Porcent[[#This Row],[Data]]&amp;Table_Investimentos_Porcent[[#This Row],[Nome]],Table_Investimentos_Main[Data]&amp;Table_Investimentos_Main[Nome],Table_Investimentos_Main[Moeda Base],"NOT FOUND")</f>
        <v>USD</v>
      </c>
      <c r="I329" s="69">
        <v>1</v>
      </c>
      <c r="J329" s="18" cm="1">
        <f t="array" ref="J329">Table_Investimentos_Porcent[[#This Row],[Porcentagem]]*_xlfn.XLOOKUP(Table_Investimentos_Porcent[[#This Row],[Data]]&amp;Table_Investimentos_Porcent[[#This Row],[Nome]],Table_Investimentos_Main[Data]&amp;Table_Investimentos_Main[Nome],Table_Investimentos_Main[Total (R$)],"NOT FOUND")</f>
        <v>1325.4794499997765</v>
      </c>
      <c r="K329" s="80" cm="1">
        <f t="array" ref="K329">Table_Investimentos_Porcent[[#This Row],[Total (R$)]]/_xlfn.XLOOKUP(Table_Investimentos_Porcent[[#This Row],[Data]]&amp;Table_Investimentos_Porcent[[#This Row],[Nome]],Table_Investimentos_Main[Data]&amp;Table_Investimentos_Main[Nome],Table_Investimentos_Main[Cotação Dolar],"NOT FOUND")</f>
        <v>255.76556228769999</v>
      </c>
      <c r="O329" s="3"/>
      <c r="V329" s="5"/>
      <c r="W329" s="5"/>
    </row>
    <row r="330" spans="2:23" ht="17" customHeight="1" x14ac:dyDescent="0.2">
      <c r="B330" s="8">
        <v>46174</v>
      </c>
      <c r="C330" s="34" t="s">
        <v>70</v>
      </c>
      <c r="D330" s="5" t="s">
        <v>23</v>
      </c>
      <c r="E330" s="5"/>
      <c r="F330" s="5"/>
      <c r="G330" s="5" cm="1">
        <f t="array" ref="G330">_xlfn.XLOOKUP(Table_Investimentos_Porcent[[#This Row],[Data]]&amp;Table_Investimentos_Porcent[[#This Row],[Nome]],Table_Investimentos_Main[Data]&amp;Table_Investimentos_Main[Nome],Table_Investimentos_Main[Estratégia],"NOT FOUND")</f>
        <v>0</v>
      </c>
      <c r="H330" s="5" t="str" cm="1">
        <f t="array" ref="H330">_xlfn.XLOOKUP(Table_Investimentos_Porcent[[#This Row],[Data]]&amp;Table_Investimentos_Porcent[[#This Row],[Nome]],Table_Investimentos_Main[Data]&amp;Table_Investimentos_Main[Nome],Table_Investimentos_Main[Moeda Base],"NOT FOUND")</f>
        <v>USD</v>
      </c>
      <c r="I330" s="69">
        <v>1</v>
      </c>
      <c r="J330" s="18" cm="1">
        <f t="array" ref="J330">Table_Investimentos_Porcent[[#This Row],[Porcentagem]]*_xlfn.XLOOKUP(Table_Investimentos_Porcent[[#This Row],[Data]]&amp;Table_Investimentos_Porcent[[#This Row],[Nome]],Table_Investimentos_Main[Data]&amp;Table_Investimentos_Main[Nome],Table_Investimentos_Main[Total (R$)],"NOT FOUND")</f>
        <v>6134.4686753661863</v>
      </c>
      <c r="K330" s="80" cm="1">
        <f t="array" ref="K330">Table_Investimentos_Porcent[[#This Row],[Total (R$)]]/_xlfn.XLOOKUP(Table_Investimentos_Porcent[[#This Row],[Data]]&amp;Table_Investimentos_Porcent[[#This Row],[Nome]],Table_Investimentos_Main[Data]&amp;Table_Investimentos_Main[Nome],Table_Investimentos_Main[Cotação Dolar],"NOT FOUND")</f>
        <v>1183.7119240827003</v>
      </c>
      <c r="O330" s="3"/>
      <c r="V330" s="5"/>
    </row>
    <row r="331" spans="2:23" x14ac:dyDescent="0.2">
      <c r="B331" s="8">
        <v>46174</v>
      </c>
      <c r="C331" s="34" t="s">
        <v>41</v>
      </c>
      <c r="D331" s="5" t="s">
        <v>13</v>
      </c>
      <c r="E331" s="5"/>
      <c r="F331" s="5"/>
      <c r="G331" s="5" cm="1">
        <f t="array" ref="G331">_xlfn.XLOOKUP(Table_Investimentos_Porcent[[#This Row],[Data]]&amp;Table_Investimentos_Porcent[[#This Row],[Nome]],Table_Investimentos_Main[Data]&amp;Table_Investimentos_Main[Nome],Table_Investimentos_Main[Estratégia],"NOT FOUND")</f>
        <v>0</v>
      </c>
      <c r="H331" s="5" t="str" cm="1">
        <f t="array" ref="H331">_xlfn.XLOOKUP(Table_Investimentos_Porcent[[#This Row],[Data]]&amp;Table_Investimentos_Porcent[[#This Row],[Nome]],Table_Investimentos_Main[Data]&amp;Table_Investimentos_Main[Nome],Table_Investimentos_Main[Moeda Base],"NOT FOUND")</f>
        <v>BTC</v>
      </c>
      <c r="I331" s="69">
        <v>1</v>
      </c>
      <c r="J331" s="18" cm="1">
        <f t="array" ref="J331">Table_Investimentos_Porcent[[#This Row],[Porcentagem]]*_xlfn.XLOOKUP(Table_Investimentos_Porcent[[#This Row],[Data]]&amp;Table_Investimentos_Porcent[[#This Row],[Nome]],Table_Investimentos_Main[Data]&amp;Table_Investimentos_Main[Nome],Table_Investimentos_Main[Total (R$)],"NOT FOUND")</f>
        <v>95672.565092720004</v>
      </c>
      <c r="K331" s="80" cm="1">
        <f t="array" ref="K331">Table_Investimentos_Porcent[[#This Row],[Total (R$)]]/_xlfn.XLOOKUP(Table_Investimentos_Porcent[[#This Row],[Data]]&amp;Table_Investimentos_Porcent[[#This Row],[Nome]],Table_Investimentos_Main[Data]&amp;Table_Investimentos_Main[Nome],Table_Investimentos_Main[Cotação Dolar],"NOT FOUND")</f>
        <v>18461.05377676752</v>
      </c>
      <c r="O331" s="3"/>
      <c r="V331" s="5"/>
    </row>
    <row r="332" spans="2:23" x14ac:dyDescent="0.2">
      <c r="B332" s="8">
        <v>46174</v>
      </c>
      <c r="C332" s="34" t="s">
        <v>91</v>
      </c>
      <c r="D332" s="5" t="s">
        <v>36</v>
      </c>
      <c r="E332" s="5"/>
      <c r="F332" s="5"/>
      <c r="G332" s="5" cm="1">
        <f t="array" ref="G332">_xlfn.XLOOKUP(Table_Investimentos_Porcent[[#This Row],[Data]]&amp;Table_Investimentos_Porcent[[#This Row],[Nome]],Table_Investimentos_Main[Data]&amp;Table_Investimentos_Main[Nome],Table_Investimentos_Main[Estratégia],"NOT FOUND")</f>
        <v>0</v>
      </c>
      <c r="H332" s="5" t="str" cm="1">
        <f t="array" ref="H332">_xlfn.XLOOKUP(Table_Investimentos_Porcent[[#This Row],[Data]]&amp;Table_Investimentos_Porcent[[#This Row],[Nome]],Table_Investimentos_Main[Data]&amp;Table_Investimentos_Main[Nome],Table_Investimentos_Main[Moeda Base],"NOT FOUND")</f>
        <v>USD</v>
      </c>
      <c r="I332" s="69">
        <v>1</v>
      </c>
      <c r="J332" s="18" cm="1">
        <f t="array" ref="J332">Table_Investimentos_Porcent[[#This Row],[Porcentagem]]*_xlfn.XLOOKUP(Table_Investimentos_Porcent[[#This Row],[Data]]&amp;Table_Investimentos_Porcent[[#This Row],[Nome]],Table_Investimentos_Main[Data]&amp;Table_Investimentos_Main[Nome],Table_Investimentos_Main[Total (R$)],"NOT FOUND")</f>
        <v>1985.18848</v>
      </c>
      <c r="K332" s="80" cm="1">
        <f t="array" ref="K332">Table_Investimentos_Porcent[[#This Row],[Total (R$)]]/_xlfn.XLOOKUP(Table_Investimentos_Porcent[[#This Row],[Data]]&amp;Table_Investimentos_Porcent[[#This Row],[Nome]],Table_Investimentos_Main[Data]&amp;Table_Investimentos_Main[Nome],Table_Investimentos_Main[Cotação Dolar],"NOT FOUND")</f>
        <v>383.06353812905218</v>
      </c>
      <c r="O332" s="3"/>
      <c r="V332" s="5"/>
    </row>
    <row r="333" spans="2:23" x14ac:dyDescent="0.2">
      <c r="B333" s="8">
        <v>46174</v>
      </c>
      <c r="C333" s="34" t="s">
        <v>93</v>
      </c>
      <c r="D333" s="5" t="s">
        <v>20</v>
      </c>
      <c r="E333" s="5"/>
      <c r="F333" s="5"/>
      <c r="G333" s="5" cm="1">
        <f t="array" ref="G333">_xlfn.XLOOKUP(Table_Investimentos_Porcent[[#This Row],[Data]]&amp;Table_Investimentos_Porcent[[#This Row],[Nome]],Table_Investimentos_Main[Data]&amp;Table_Investimentos_Main[Nome],Table_Investimentos_Main[Estratégia],"NOT FOUND")</f>
        <v>0</v>
      </c>
      <c r="H333" s="5" t="str" cm="1">
        <f t="array" ref="H333">_xlfn.XLOOKUP(Table_Investimentos_Porcent[[#This Row],[Data]]&amp;Table_Investimentos_Porcent[[#This Row],[Nome]],Table_Investimentos_Main[Data]&amp;Table_Investimentos_Main[Nome],Table_Investimentos_Main[Moeda Base],"NOT FOUND")</f>
        <v>BRL</v>
      </c>
      <c r="I333" s="69">
        <v>1</v>
      </c>
      <c r="J333" s="18" cm="1">
        <f t="array" ref="J333">Table_Investimentos_Porcent[[#This Row],[Porcentagem]]*_xlfn.XLOOKUP(Table_Investimentos_Porcent[[#This Row],[Data]]&amp;Table_Investimentos_Porcent[[#This Row],[Nome]],Table_Investimentos_Main[Data]&amp;Table_Investimentos_Main[Nome],Table_Investimentos_Main[Total (R$)],"NOT FOUND")</f>
        <v>6000</v>
      </c>
      <c r="K333" s="80" cm="1">
        <f t="array" ref="K333">Table_Investimentos_Porcent[[#This Row],[Total (R$)]]/_xlfn.XLOOKUP(Table_Investimentos_Porcent[[#This Row],[Data]]&amp;Table_Investimentos_Porcent[[#This Row],[Nome]],Table_Investimentos_Main[Data]&amp;Table_Investimentos_Main[Nome],Table_Investimentos_Main[Cotação Dolar],"NOT FOUND")</f>
        <v>1157.764742204384</v>
      </c>
      <c r="O333" s="3"/>
      <c r="V333" s="5"/>
    </row>
    <row r="334" spans="2:23" x14ac:dyDescent="0.2">
      <c r="B334" s="8">
        <v>46235</v>
      </c>
      <c r="C334" s="34" t="s">
        <v>44</v>
      </c>
      <c r="D334" s="5" t="s">
        <v>17</v>
      </c>
      <c r="E334" s="5" t="s">
        <v>94</v>
      </c>
      <c r="F334" s="5" t="s">
        <v>95</v>
      </c>
      <c r="G334" s="5" t="s">
        <v>86</v>
      </c>
      <c r="H334" s="5" t="s">
        <v>24</v>
      </c>
      <c r="I334" s="69">
        <v>1</v>
      </c>
      <c r="J334" s="18">
        <v>8807.1311000000005</v>
      </c>
      <c r="K334" s="80">
        <v>1704.7599999999998</v>
      </c>
    </row>
    <row r="335" spans="2:23" x14ac:dyDescent="0.2">
      <c r="B335" s="8">
        <v>46235</v>
      </c>
      <c r="C335" s="34" t="s">
        <v>42</v>
      </c>
      <c r="D335" s="5" t="s">
        <v>13</v>
      </c>
      <c r="E335" s="5" t="s">
        <v>14</v>
      </c>
      <c r="F335" s="5" t="s">
        <v>96</v>
      </c>
      <c r="G335" s="5" t="s">
        <v>87</v>
      </c>
      <c r="H335" s="5" t="s">
        <v>14</v>
      </c>
      <c r="I335" s="69">
        <v>1</v>
      </c>
      <c r="J335" s="18">
        <v>1957.8315</v>
      </c>
      <c r="K335" s="80">
        <v>378.96936344702107</v>
      </c>
    </row>
    <row r="336" spans="2:23" x14ac:dyDescent="0.2">
      <c r="B336" s="8">
        <v>46235</v>
      </c>
      <c r="C336" s="34" t="s">
        <v>49</v>
      </c>
      <c r="D336" s="5" t="s">
        <v>13</v>
      </c>
      <c r="E336" s="5" t="s">
        <v>97</v>
      </c>
      <c r="F336" s="5" t="s">
        <v>96</v>
      </c>
      <c r="G336" s="5" t="s">
        <v>88</v>
      </c>
      <c r="H336" s="5" t="s">
        <v>24</v>
      </c>
      <c r="I336" s="69">
        <v>1</v>
      </c>
      <c r="J336" s="18">
        <v>2435.1669999999999</v>
      </c>
      <c r="K336" s="80">
        <v>471.36521621307742</v>
      </c>
    </row>
    <row r="337" spans="2:11" x14ac:dyDescent="0.2">
      <c r="B337" s="8">
        <v>46235</v>
      </c>
      <c r="C337" s="34" t="s">
        <v>64</v>
      </c>
      <c r="D337" s="5" t="s">
        <v>17</v>
      </c>
      <c r="E337" s="5" t="s">
        <v>98</v>
      </c>
      <c r="F337" s="5" t="s">
        <v>99</v>
      </c>
      <c r="G337" s="5" t="s">
        <v>86</v>
      </c>
      <c r="H337" s="5" t="s">
        <v>24</v>
      </c>
      <c r="I337" s="69">
        <v>1</v>
      </c>
      <c r="J337" s="18">
        <v>1331.1748</v>
      </c>
      <c r="K337" s="80">
        <v>257.67</v>
      </c>
    </row>
    <row r="338" spans="2:11" x14ac:dyDescent="0.2">
      <c r="B338" s="8">
        <v>46235</v>
      </c>
      <c r="C338" s="34" t="s">
        <v>100</v>
      </c>
      <c r="D338" s="5" t="s">
        <v>17</v>
      </c>
      <c r="E338" s="5" t="s">
        <v>99</v>
      </c>
      <c r="F338" s="5" t="s">
        <v>95</v>
      </c>
      <c r="G338" s="5" t="s">
        <v>86</v>
      </c>
      <c r="H338" s="5" t="s">
        <v>24</v>
      </c>
      <c r="I338" s="69">
        <v>1</v>
      </c>
      <c r="J338" s="18">
        <v>2991.2815000000001</v>
      </c>
      <c r="K338" s="80">
        <v>579.01</v>
      </c>
    </row>
    <row r="339" spans="2:11" x14ac:dyDescent="0.2">
      <c r="B339" s="8">
        <v>46235</v>
      </c>
      <c r="C339" s="34" t="s">
        <v>70</v>
      </c>
      <c r="D339" s="5" t="s">
        <v>23</v>
      </c>
      <c r="E339" s="5" t="s">
        <v>102</v>
      </c>
      <c r="F339" s="5" t="s">
        <v>96</v>
      </c>
      <c r="G339" s="5" t="s">
        <v>90</v>
      </c>
      <c r="H339" s="5" t="s">
        <v>24</v>
      </c>
      <c r="I339" s="69">
        <v>1</v>
      </c>
      <c r="J339" s="18">
        <v>5764.7618000000002</v>
      </c>
      <c r="K339" s="80">
        <v>1115.8611292313999</v>
      </c>
    </row>
    <row r="340" spans="2:11" x14ac:dyDescent="0.2">
      <c r="B340" s="8">
        <v>46235</v>
      </c>
      <c r="C340" s="34" t="s">
        <v>208</v>
      </c>
      <c r="D340" s="5" t="s">
        <v>20</v>
      </c>
      <c r="E340" s="5" t="s">
        <v>103</v>
      </c>
      <c r="F340" s="5" t="s">
        <v>99</v>
      </c>
      <c r="G340" s="5" t="s">
        <v>86</v>
      </c>
      <c r="H340" s="5" t="s">
        <v>124</v>
      </c>
      <c r="I340" s="69">
        <v>0.6</v>
      </c>
      <c r="J340" s="18">
        <v>3002.076</v>
      </c>
      <c r="K340" s="80">
        <v>581.09945414424533</v>
      </c>
    </row>
    <row r="341" spans="2:11" x14ac:dyDescent="0.2">
      <c r="B341" s="8">
        <v>46235</v>
      </c>
      <c r="C341" s="34" t="s">
        <v>104</v>
      </c>
      <c r="D341" s="5" t="s">
        <v>20</v>
      </c>
      <c r="E341" s="5" t="s">
        <v>103</v>
      </c>
      <c r="F341" s="5" t="s">
        <v>105</v>
      </c>
      <c r="G341" s="5" t="s">
        <v>86</v>
      </c>
      <c r="H341" s="5" t="s">
        <v>124</v>
      </c>
      <c r="I341" s="69">
        <v>1</v>
      </c>
      <c r="J341" s="18">
        <v>2986.86</v>
      </c>
      <c r="K341" s="80">
        <v>578.15415585923893</v>
      </c>
    </row>
    <row r="342" spans="2:11" x14ac:dyDescent="0.2">
      <c r="B342" s="8">
        <v>46235</v>
      </c>
      <c r="C342" s="34" t="s">
        <v>208</v>
      </c>
      <c r="D342" s="5" t="s">
        <v>20</v>
      </c>
      <c r="E342" s="5" t="s">
        <v>103</v>
      </c>
      <c r="F342" s="5" t="s">
        <v>105</v>
      </c>
      <c r="G342" s="5" t="s">
        <v>86</v>
      </c>
      <c r="H342" s="5" t="s">
        <v>124</v>
      </c>
      <c r="I342" s="69">
        <v>0.4</v>
      </c>
      <c r="J342" s="18">
        <v>2001.384</v>
      </c>
      <c r="K342" s="80">
        <v>387.39963609616353</v>
      </c>
    </row>
    <row r="343" spans="2:11" x14ac:dyDescent="0.2">
      <c r="B343" s="8">
        <v>46235</v>
      </c>
      <c r="C343" s="34" t="s">
        <v>79</v>
      </c>
      <c r="D343" s="5" t="s">
        <v>23</v>
      </c>
      <c r="E343" s="5" t="s">
        <v>102</v>
      </c>
      <c r="F343" s="5" t="s">
        <v>96</v>
      </c>
      <c r="G343" s="5" t="s">
        <v>90</v>
      </c>
      <c r="H343" s="5" t="s">
        <v>24</v>
      </c>
      <c r="I343" s="69">
        <v>1</v>
      </c>
      <c r="J343" s="18">
        <v>4695.6773000000003</v>
      </c>
      <c r="K343" s="80">
        <v>908.92286999999999</v>
      </c>
    </row>
    <row r="344" spans="2:11" x14ac:dyDescent="0.2">
      <c r="B344" s="8">
        <v>46235</v>
      </c>
      <c r="C344" s="34" t="s">
        <v>77</v>
      </c>
      <c r="D344" s="5" t="s">
        <v>36</v>
      </c>
      <c r="E344" s="5" t="s">
        <v>102</v>
      </c>
      <c r="F344" s="5" t="s">
        <v>96</v>
      </c>
      <c r="G344" s="5" t="s">
        <v>88</v>
      </c>
      <c r="H344" s="5" t="s">
        <v>24</v>
      </c>
      <c r="I344" s="69">
        <v>1</v>
      </c>
      <c r="J344" s="18">
        <v>908.1069</v>
      </c>
      <c r="K344" s="80">
        <v>175.77849939999999</v>
      </c>
    </row>
    <row r="345" spans="2:11" x14ac:dyDescent="0.2">
      <c r="B345" s="8">
        <v>46235</v>
      </c>
      <c r="C345" s="34" t="s">
        <v>51</v>
      </c>
      <c r="D345" s="5" t="s">
        <v>36</v>
      </c>
      <c r="E345" s="5" t="s">
        <v>106</v>
      </c>
      <c r="F345" s="5" t="s">
        <v>96</v>
      </c>
      <c r="G345" s="5" t="s">
        <v>86</v>
      </c>
      <c r="H345" s="5" t="s">
        <v>24</v>
      </c>
      <c r="I345" s="69">
        <v>1</v>
      </c>
      <c r="J345" s="18">
        <v>9918.2626</v>
      </c>
      <c r="K345" s="80">
        <v>1919.8371400000001</v>
      </c>
    </row>
    <row r="346" spans="2:11" x14ac:dyDescent="0.2">
      <c r="B346" s="8">
        <v>46235</v>
      </c>
      <c r="C346" s="34" t="s">
        <v>91</v>
      </c>
      <c r="D346" s="5" t="s">
        <v>36</v>
      </c>
      <c r="E346" s="5" t="s">
        <v>107</v>
      </c>
      <c r="F346" s="5" t="s">
        <v>96</v>
      </c>
      <c r="G346" s="5" t="s">
        <v>86</v>
      </c>
      <c r="H346" s="5" t="s">
        <v>24</v>
      </c>
      <c r="I346" s="69">
        <v>1</v>
      </c>
      <c r="J346" s="18">
        <v>2005.84</v>
      </c>
      <c r="K346" s="80">
        <v>388.26215999999999</v>
      </c>
    </row>
    <row r="347" spans="2:11" x14ac:dyDescent="0.2">
      <c r="B347" s="8">
        <v>46235</v>
      </c>
      <c r="C347" s="34" t="s">
        <v>83</v>
      </c>
      <c r="D347" s="5" t="s">
        <v>36</v>
      </c>
      <c r="E347" s="5" t="s">
        <v>106</v>
      </c>
      <c r="F347" s="5" t="s">
        <v>96</v>
      </c>
      <c r="G347" s="5" t="s">
        <v>88</v>
      </c>
      <c r="H347" s="5" t="s">
        <v>24</v>
      </c>
      <c r="I347" s="69">
        <v>1</v>
      </c>
      <c r="J347" s="18">
        <v>1273.7744</v>
      </c>
      <c r="K347" s="80">
        <v>246.55925338830002</v>
      </c>
    </row>
    <row r="348" spans="2:11" x14ac:dyDescent="0.2">
      <c r="B348" s="8">
        <v>46235</v>
      </c>
      <c r="C348" s="34" t="s">
        <v>74</v>
      </c>
      <c r="D348" s="5" t="s">
        <v>17</v>
      </c>
      <c r="E348" s="5" t="s">
        <v>98</v>
      </c>
      <c r="F348" s="5" t="s">
        <v>108</v>
      </c>
      <c r="G348" s="5" t="s">
        <v>86</v>
      </c>
      <c r="H348" s="5" t="s">
        <v>124</v>
      </c>
      <c r="I348" s="69">
        <v>1</v>
      </c>
      <c r="J348" s="18">
        <v>12174.15</v>
      </c>
      <c r="K348" s="80">
        <v>2356.4999419302389</v>
      </c>
    </row>
    <row r="349" spans="2:11" x14ac:dyDescent="0.2">
      <c r="B349" s="8">
        <v>46235</v>
      </c>
      <c r="C349" s="34" t="s">
        <v>93</v>
      </c>
      <c r="D349" s="5" t="s">
        <v>20</v>
      </c>
      <c r="E349" s="5" t="s">
        <v>98</v>
      </c>
      <c r="F349" s="5" t="s">
        <v>99</v>
      </c>
      <c r="G349" s="5" t="s">
        <v>86</v>
      </c>
      <c r="H349" s="5" t="s">
        <v>124</v>
      </c>
      <c r="I349" s="69">
        <v>1</v>
      </c>
      <c r="J349" s="18">
        <v>6054.12</v>
      </c>
      <c r="K349" s="80">
        <v>1171.8710077039216</v>
      </c>
    </row>
    <row r="350" spans="2:11" x14ac:dyDescent="0.2">
      <c r="B350" s="8">
        <v>46235</v>
      </c>
      <c r="C350" s="34" t="s">
        <v>89</v>
      </c>
      <c r="D350" s="5" t="s">
        <v>20</v>
      </c>
      <c r="E350" s="5" t="s">
        <v>98</v>
      </c>
      <c r="F350" s="5" t="s">
        <v>105</v>
      </c>
      <c r="G350" s="5" t="s">
        <v>86</v>
      </c>
      <c r="H350" s="5" t="s">
        <v>124</v>
      </c>
      <c r="I350" s="69">
        <v>1</v>
      </c>
      <c r="J350" s="18">
        <v>9869.83</v>
      </c>
      <c r="K350" s="80">
        <v>1910.4622352986721</v>
      </c>
    </row>
    <row r="351" spans="2:11" x14ac:dyDescent="0.2">
      <c r="B351" s="8">
        <v>46235</v>
      </c>
      <c r="C351" s="34" t="s">
        <v>58</v>
      </c>
      <c r="D351" s="5" t="s">
        <v>17</v>
      </c>
      <c r="E351" s="5" t="s">
        <v>98</v>
      </c>
      <c r="F351" s="5" t="s">
        <v>95</v>
      </c>
      <c r="G351" s="5" t="s">
        <v>86</v>
      </c>
      <c r="H351" s="5" t="s">
        <v>124</v>
      </c>
      <c r="I351" s="69">
        <v>1</v>
      </c>
      <c r="J351" s="18">
        <v>7100</v>
      </c>
      <c r="K351" s="80">
        <v>1374.3176803066083</v>
      </c>
    </row>
    <row r="352" spans="2:11" x14ac:dyDescent="0.2">
      <c r="B352" s="8">
        <v>46235</v>
      </c>
      <c r="C352" s="34" t="s">
        <v>209</v>
      </c>
      <c r="D352" s="5" t="s">
        <v>20</v>
      </c>
      <c r="E352" s="5" t="s">
        <v>98</v>
      </c>
      <c r="F352" s="5" t="s">
        <v>99</v>
      </c>
      <c r="G352" s="5" t="s">
        <v>86</v>
      </c>
      <c r="H352" s="5" t="s">
        <v>124</v>
      </c>
      <c r="I352" s="69">
        <v>0.16</v>
      </c>
      <c r="J352" s="18">
        <v>3762.9920000000002</v>
      </c>
      <c r="K352" s="80">
        <v>728.38682203553878</v>
      </c>
    </row>
    <row r="353" spans="2:11" x14ac:dyDescent="0.2">
      <c r="B353" s="8">
        <v>46235</v>
      </c>
      <c r="C353" s="34" t="s">
        <v>209</v>
      </c>
      <c r="D353" s="5" t="s">
        <v>20</v>
      </c>
      <c r="E353" s="5" t="s">
        <v>98</v>
      </c>
      <c r="F353" s="5" t="s">
        <v>109</v>
      </c>
      <c r="G353" s="5" t="s">
        <v>86</v>
      </c>
      <c r="H353" s="5" t="s">
        <v>124</v>
      </c>
      <c r="I353" s="69">
        <v>0.2</v>
      </c>
      <c r="J353" s="18">
        <v>4703.74</v>
      </c>
      <c r="K353" s="80">
        <v>910.48352754442351</v>
      </c>
    </row>
    <row r="354" spans="2:11" x14ac:dyDescent="0.2">
      <c r="B354" s="8">
        <v>46235</v>
      </c>
      <c r="C354" s="34" t="s">
        <v>41</v>
      </c>
      <c r="D354" s="5" t="s">
        <v>13</v>
      </c>
      <c r="E354" s="5" t="s">
        <v>14</v>
      </c>
      <c r="F354" s="5" t="s">
        <v>96</v>
      </c>
      <c r="G354" s="5" t="s">
        <v>87</v>
      </c>
      <c r="H354" s="5" t="s">
        <v>14</v>
      </c>
      <c r="I354" s="69">
        <v>1</v>
      </c>
      <c r="J354" s="18">
        <v>96320.9421</v>
      </c>
      <c r="K354" s="80">
        <v>18644.44700275638</v>
      </c>
    </row>
    <row r="355" spans="2:11" x14ac:dyDescent="0.2">
      <c r="B355" s="8">
        <v>46235</v>
      </c>
      <c r="C355" s="34" t="s">
        <v>209</v>
      </c>
      <c r="D355" s="5" t="s">
        <v>20</v>
      </c>
      <c r="E355" s="5" t="s">
        <v>98</v>
      </c>
      <c r="F355" s="5" t="s">
        <v>105</v>
      </c>
      <c r="G355" s="5" t="s">
        <v>86</v>
      </c>
      <c r="H355" s="5" t="s">
        <v>124</v>
      </c>
      <c r="I355" s="69">
        <v>0.09</v>
      </c>
      <c r="J355" s="18">
        <v>2116.683</v>
      </c>
      <c r="K355" s="80">
        <v>409.71758739499052</v>
      </c>
    </row>
    <row r="356" spans="2:11" x14ac:dyDescent="0.2">
      <c r="B356" s="8">
        <v>46235</v>
      </c>
      <c r="C356" s="34" t="s">
        <v>209</v>
      </c>
      <c r="D356" s="5" t="s">
        <v>36</v>
      </c>
      <c r="E356" s="5" t="s">
        <v>106</v>
      </c>
      <c r="F356" s="5" t="s">
        <v>96</v>
      </c>
      <c r="G356" s="5" t="s">
        <v>86</v>
      </c>
      <c r="H356" s="5" t="s">
        <v>124</v>
      </c>
      <c r="I356" s="69">
        <v>0.19</v>
      </c>
      <c r="J356" s="18">
        <v>4468.5529999999999</v>
      </c>
      <c r="K356" s="80">
        <v>864.95935116720216</v>
      </c>
    </row>
    <row r="357" spans="2:11" x14ac:dyDescent="0.2">
      <c r="B357" s="8">
        <v>46235</v>
      </c>
      <c r="C357" s="34" t="s">
        <v>209</v>
      </c>
      <c r="D357" s="5" t="s">
        <v>36</v>
      </c>
      <c r="E357" s="5" t="s">
        <v>110</v>
      </c>
      <c r="F357" s="5" t="s">
        <v>96</v>
      </c>
      <c r="G357" s="5" t="s">
        <v>86</v>
      </c>
      <c r="H357" s="5" t="s">
        <v>124</v>
      </c>
      <c r="I357" s="69">
        <v>0.28000000000000003</v>
      </c>
      <c r="J357" s="18">
        <v>6585.2359999999999</v>
      </c>
      <c r="K357" s="80">
        <v>1274.6769385621928</v>
      </c>
    </row>
    <row r="358" spans="2:11" x14ac:dyDescent="0.2">
      <c r="B358" s="8">
        <v>46235</v>
      </c>
      <c r="C358" s="34" t="s">
        <v>209</v>
      </c>
      <c r="D358" s="5" t="s">
        <v>36</v>
      </c>
      <c r="E358" s="5" t="s">
        <v>111</v>
      </c>
      <c r="F358" s="5" t="s">
        <v>96</v>
      </c>
      <c r="G358" s="5" t="s">
        <v>86</v>
      </c>
      <c r="H358" s="5" t="s">
        <v>124</v>
      </c>
      <c r="I358" s="69">
        <v>0.08</v>
      </c>
      <c r="J358" s="18">
        <v>1881.4960000000001</v>
      </c>
      <c r="K358" s="80">
        <v>364.19341101776939</v>
      </c>
    </row>
    <row r="359" spans="2:11" x14ac:dyDescent="0.2">
      <c r="B359" s="8">
        <v>46235</v>
      </c>
      <c r="C359" s="34" t="s">
        <v>68</v>
      </c>
      <c r="D359" s="5" t="s">
        <v>20</v>
      </c>
      <c r="E359" s="5" t="s">
        <v>103</v>
      </c>
      <c r="F359" s="5" t="s">
        <v>109</v>
      </c>
      <c r="G359" s="5" t="s">
        <v>86</v>
      </c>
      <c r="H359" s="5" t="s">
        <v>124</v>
      </c>
      <c r="I359" s="69">
        <v>1</v>
      </c>
      <c r="J359" s="18">
        <v>11955.66</v>
      </c>
      <c r="K359" s="80">
        <v>2314.2077348921839</v>
      </c>
    </row>
  </sheetData>
  <phoneticPr fontId="8" type="noConversion"/>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2"/>
  <dimension ref="A1:AI344"/>
  <sheetViews>
    <sheetView zoomScale="74" zoomScaleNormal="100" workbookViewId="0">
      <selection activeCell="K142" sqref="K142"/>
    </sheetView>
  </sheetViews>
  <sheetFormatPr baseColWidth="10" defaultColWidth="11" defaultRowHeight="16" x14ac:dyDescent="0.2"/>
  <cols>
    <col min="1" max="1" width="20.1640625" bestFit="1" customWidth="1"/>
    <col min="2" max="2" width="11" customWidth="1"/>
    <col min="3" max="3" width="12.1640625" bestFit="1" customWidth="1"/>
    <col min="4" max="4" width="13.1640625" bestFit="1" customWidth="1"/>
    <col min="5" max="5" width="15.5" bestFit="1" customWidth="1"/>
    <col min="6" max="6" width="18.83203125" bestFit="1" customWidth="1"/>
    <col min="7" max="7" width="11.83203125" bestFit="1" customWidth="1"/>
    <col min="8" max="24" width="11" customWidth="1"/>
    <col min="26" max="35" width="11" customWidth="1"/>
  </cols>
  <sheetData>
    <row r="1" spans="1:35" x14ac:dyDescent="0.2">
      <c r="A1" s="13" t="s">
        <v>129</v>
      </c>
      <c r="S1" s="18"/>
      <c r="T1" s="5"/>
      <c r="U1" s="5"/>
      <c r="V1" s="5"/>
      <c r="W1" s="5"/>
      <c r="X1" s="5"/>
      <c r="Y1" s="5"/>
      <c r="Z1" s="5"/>
      <c r="AA1" s="5"/>
      <c r="AB1" s="5"/>
      <c r="AC1" s="5"/>
      <c r="AD1" s="5"/>
      <c r="AE1" s="5"/>
      <c r="AF1" s="5"/>
      <c r="AG1" s="5"/>
      <c r="AH1" s="5"/>
    </row>
    <row r="2" spans="1:35" ht="15" customHeight="1" x14ac:dyDescent="0.2">
      <c r="A2" s="14">
        <v>46214.116805555554</v>
      </c>
      <c r="S2" s="18"/>
      <c r="T2" s="5"/>
      <c r="U2" s="5"/>
      <c r="V2" s="5"/>
      <c r="W2" s="5"/>
      <c r="X2" s="5"/>
      <c r="Y2" s="5"/>
      <c r="Z2" s="5"/>
      <c r="AA2" s="5"/>
      <c r="AB2" s="5"/>
      <c r="AC2" s="5"/>
      <c r="AD2" s="5"/>
      <c r="AE2" s="5"/>
      <c r="AF2" s="5"/>
      <c r="AG2" s="5"/>
      <c r="AH2" s="5"/>
    </row>
    <row r="3" spans="1:35" x14ac:dyDescent="0.2">
      <c r="C3" s="84" t="s">
        <v>130</v>
      </c>
      <c r="D3" s="85"/>
      <c r="E3" s="85"/>
      <c r="F3" s="85"/>
      <c r="G3" s="85"/>
      <c r="S3" s="18"/>
      <c r="T3" s="5"/>
      <c r="U3" s="5"/>
      <c r="V3" s="5"/>
      <c r="W3" s="5"/>
      <c r="X3" s="5"/>
      <c r="Y3" s="5"/>
      <c r="Z3" s="5"/>
      <c r="AA3" s="5"/>
      <c r="AB3" s="5"/>
      <c r="AC3" s="5"/>
      <c r="AD3" s="5"/>
      <c r="AE3" s="5"/>
      <c r="AF3" s="5"/>
      <c r="AG3" s="5"/>
      <c r="AH3" s="5"/>
    </row>
    <row r="4" spans="1:35" ht="15" customHeight="1" x14ac:dyDescent="0.2">
      <c r="C4" s="5" t="s">
        <v>0</v>
      </c>
      <c r="D4" s="5" t="s">
        <v>131</v>
      </c>
      <c r="E4" s="5" t="s">
        <v>132</v>
      </c>
      <c r="F4" s="5" t="s">
        <v>7</v>
      </c>
      <c r="G4" s="5" t="s">
        <v>121</v>
      </c>
      <c r="S4" s="18"/>
      <c r="T4" s="5"/>
      <c r="U4" s="5"/>
      <c r="V4" s="5"/>
      <c r="W4" s="5"/>
      <c r="X4" s="5"/>
      <c r="Y4" s="5"/>
      <c r="Z4" s="5"/>
      <c r="AA4" s="5"/>
      <c r="AB4" s="5"/>
      <c r="AC4" s="5"/>
      <c r="AD4" s="5"/>
      <c r="AE4" s="5"/>
      <c r="AF4" s="5"/>
      <c r="AG4" s="5"/>
      <c r="AH4" s="5"/>
      <c r="AI4" s="3"/>
    </row>
    <row r="5" spans="1:35" ht="15" hidden="1" customHeight="1" x14ac:dyDescent="0.2">
      <c r="C5" s="8">
        <v>45078</v>
      </c>
      <c r="D5" s="5" t="s">
        <v>24</v>
      </c>
      <c r="E5" s="9">
        <v>5.0069999999999997</v>
      </c>
      <c r="F5" s="5" t="s">
        <v>24</v>
      </c>
      <c r="G5" s="5" t="s">
        <v>133</v>
      </c>
      <c r="S5" s="18"/>
      <c r="T5" s="5"/>
      <c r="U5" s="5"/>
      <c r="V5" s="5"/>
      <c r="W5" s="5"/>
      <c r="X5" s="5"/>
      <c r="Y5" s="5"/>
      <c r="Z5" s="5"/>
      <c r="AA5" s="5"/>
      <c r="AB5" s="5"/>
      <c r="AC5" s="5"/>
      <c r="AD5" s="5"/>
      <c r="AE5" s="5"/>
      <c r="AF5" s="5"/>
      <c r="AG5" s="5"/>
      <c r="AH5" s="5"/>
      <c r="AI5" s="80"/>
    </row>
    <row r="6" spans="1:35" ht="15" hidden="1" customHeight="1" x14ac:dyDescent="0.2">
      <c r="C6" s="8">
        <v>45078</v>
      </c>
      <c r="D6" s="5" t="s">
        <v>14</v>
      </c>
      <c r="E6" s="9">
        <v>135052</v>
      </c>
      <c r="F6" s="5" t="s">
        <v>14</v>
      </c>
      <c r="G6" s="5" t="s">
        <v>134</v>
      </c>
      <c r="S6" s="18"/>
      <c r="T6" s="5"/>
      <c r="U6" s="5"/>
      <c r="V6" s="5"/>
      <c r="W6" s="5"/>
      <c r="X6" s="5"/>
      <c r="Y6" s="5"/>
      <c r="Z6" s="5"/>
      <c r="AA6" s="5"/>
      <c r="AB6" s="5"/>
      <c r="AC6" s="5"/>
      <c r="AD6" s="5"/>
      <c r="AE6" s="5"/>
      <c r="AF6" s="5"/>
      <c r="AG6" s="5"/>
      <c r="AH6" s="5"/>
      <c r="AI6" s="80"/>
    </row>
    <row r="7" spans="1:35" ht="15" hidden="1" customHeight="1" x14ac:dyDescent="0.2">
      <c r="C7" s="8">
        <v>45108</v>
      </c>
      <c r="D7" s="5" t="s">
        <v>24</v>
      </c>
      <c r="E7" s="9">
        <v>4.8899999999999997</v>
      </c>
      <c r="F7" s="5" t="s">
        <v>24</v>
      </c>
      <c r="G7" s="5" t="s">
        <v>133</v>
      </c>
      <c r="S7" s="18"/>
      <c r="T7" s="5"/>
      <c r="U7" s="5"/>
      <c r="V7" s="5"/>
      <c r="W7" s="5"/>
      <c r="X7" s="5"/>
      <c r="Y7" s="5"/>
      <c r="Z7" s="5"/>
      <c r="AA7" s="5"/>
      <c r="AB7" s="5"/>
      <c r="AC7" s="5"/>
      <c r="AD7" s="5"/>
      <c r="AE7" s="5"/>
      <c r="AF7" s="5"/>
      <c r="AG7" s="5"/>
      <c r="AH7" s="5"/>
      <c r="AI7" s="80"/>
    </row>
    <row r="8" spans="1:35" ht="15" hidden="1" customHeight="1" x14ac:dyDescent="0.2">
      <c r="C8" s="8">
        <v>45108</v>
      </c>
      <c r="D8" s="5" t="s">
        <v>14</v>
      </c>
      <c r="E8" s="9">
        <v>151373.22</v>
      </c>
      <c r="F8" s="5" t="s">
        <v>14</v>
      </c>
      <c r="G8" s="5" t="s">
        <v>134</v>
      </c>
      <c r="S8" s="18"/>
      <c r="T8" s="5"/>
      <c r="U8" s="5"/>
      <c r="V8" s="5"/>
      <c r="W8" s="5"/>
      <c r="X8" s="5"/>
      <c r="Y8" s="5"/>
      <c r="Z8" s="5"/>
      <c r="AA8" s="5"/>
      <c r="AB8" s="5"/>
      <c r="AC8" s="5"/>
      <c r="AD8" s="5"/>
      <c r="AE8" s="5"/>
      <c r="AF8" s="5"/>
      <c r="AG8" s="5"/>
      <c r="AH8" s="5"/>
      <c r="AI8" s="80"/>
    </row>
    <row r="9" spans="1:35" ht="15" hidden="1" customHeight="1" x14ac:dyDescent="0.2">
      <c r="C9" s="8">
        <v>45200</v>
      </c>
      <c r="D9" s="5" t="s">
        <v>24</v>
      </c>
      <c r="E9" s="9">
        <v>5.05</v>
      </c>
      <c r="F9" s="5" t="s">
        <v>24</v>
      </c>
      <c r="G9" s="5" t="s">
        <v>133</v>
      </c>
      <c r="S9" s="18"/>
      <c r="T9" s="5"/>
      <c r="U9" s="5"/>
      <c r="V9" s="5"/>
      <c r="W9" s="5"/>
      <c r="X9" s="5"/>
      <c r="Y9" s="5"/>
      <c r="Z9" s="5"/>
      <c r="AA9" s="5"/>
      <c r="AB9" s="5"/>
      <c r="AC9" s="5"/>
      <c r="AD9" s="5"/>
      <c r="AE9" s="5"/>
      <c r="AF9" s="5"/>
      <c r="AG9" s="5"/>
      <c r="AH9" s="5"/>
      <c r="AI9" s="80"/>
    </row>
    <row r="10" spans="1:35" ht="15" hidden="1" customHeight="1" x14ac:dyDescent="0.2">
      <c r="C10" s="8">
        <v>45200</v>
      </c>
      <c r="D10" s="5" t="s">
        <v>14</v>
      </c>
      <c r="E10" s="9">
        <v>174262.84</v>
      </c>
      <c r="F10" s="5" t="s">
        <v>14</v>
      </c>
      <c r="G10" s="5" t="s">
        <v>134</v>
      </c>
      <c r="S10" s="18"/>
      <c r="T10" s="5"/>
      <c r="U10" s="5"/>
      <c r="V10" s="5"/>
      <c r="W10" s="5"/>
      <c r="X10" s="5"/>
      <c r="Y10" s="5"/>
      <c r="Z10" s="5"/>
      <c r="AA10" s="5"/>
      <c r="AB10" s="5"/>
      <c r="AC10" s="5"/>
      <c r="AD10" s="5"/>
      <c r="AE10" s="5"/>
      <c r="AF10" s="5"/>
      <c r="AG10" s="5"/>
      <c r="AH10" s="5"/>
      <c r="AI10" s="80"/>
    </row>
    <row r="11" spans="1:35" ht="15" hidden="1" customHeight="1" x14ac:dyDescent="0.2">
      <c r="C11" s="8">
        <v>45261</v>
      </c>
      <c r="D11" s="5" t="s">
        <v>24</v>
      </c>
      <c r="E11" s="9">
        <v>4.95</v>
      </c>
      <c r="F11" s="5" t="s">
        <v>24</v>
      </c>
      <c r="G11" s="5" t="s">
        <v>133</v>
      </c>
      <c r="S11" s="18"/>
      <c r="T11" s="5"/>
      <c r="U11" s="5"/>
      <c r="V11" s="5"/>
      <c r="W11" s="5"/>
      <c r="X11" s="5"/>
      <c r="Y11" s="5"/>
      <c r="Z11" s="5"/>
      <c r="AA11" s="5"/>
      <c r="AB11" s="5"/>
      <c r="AC11" s="5"/>
      <c r="AD11" s="5"/>
      <c r="AE11" s="5"/>
      <c r="AF11" s="5"/>
      <c r="AG11" s="5"/>
      <c r="AH11" s="5"/>
      <c r="AI11" s="80"/>
    </row>
    <row r="12" spans="1:35" ht="15" hidden="1" customHeight="1" x14ac:dyDescent="0.2">
      <c r="C12" s="8">
        <v>45261</v>
      </c>
      <c r="D12" s="5" t="s">
        <v>14</v>
      </c>
      <c r="E12" s="9">
        <v>207740.79</v>
      </c>
      <c r="F12" s="5" t="s">
        <v>14</v>
      </c>
      <c r="G12" s="5" t="s">
        <v>134</v>
      </c>
      <c r="S12" s="18"/>
      <c r="T12" s="5"/>
      <c r="U12" s="5"/>
      <c r="V12" s="5"/>
      <c r="W12" s="5"/>
      <c r="X12" s="5"/>
      <c r="Y12" s="5"/>
      <c r="Z12" s="5"/>
      <c r="AA12" s="5"/>
      <c r="AB12" s="5"/>
      <c r="AC12" s="5"/>
      <c r="AD12" s="5"/>
      <c r="AE12" s="5"/>
      <c r="AF12" s="5"/>
      <c r="AG12" s="5"/>
      <c r="AH12" s="5"/>
      <c r="AI12" s="80"/>
    </row>
    <row r="13" spans="1:35" ht="15" hidden="1" customHeight="1" x14ac:dyDescent="0.2">
      <c r="C13" s="8">
        <v>45292</v>
      </c>
      <c r="D13" s="5" t="s">
        <v>24</v>
      </c>
      <c r="E13" s="9">
        <v>4.9800000000000004</v>
      </c>
      <c r="F13" s="5" t="s">
        <v>24</v>
      </c>
      <c r="G13" s="5" t="s">
        <v>133</v>
      </c>
      <c r="S13" s="18"/>
      <c r="T13" s="5"/>
      <c r="U13" s="5"/>
      <c r="V13" s="5"/>
      <c r="W13" s="5"/>
      <c r="X13" s="5"/>
      <c r="Y13" s="5"/>
      <c r="Z13" s="5"/>
      <c r="AA13" s="5"/>
      <c r="AB13" s="5"/>
      <c r="AC13" s="5"/>
      <c r="AD13" s="5"/>
      <c r="AE13" s="5"/>
      <c r="AF13" s="5"/>
      <c r="AG13" s="5"/>
      <c r="AH13" s="5"/>
      <c r="AI13" s="80"/>
    </row>
    <row r="14" spans="1:35" ht="15" hidden="1" customHeight="1" x14ac:dyDescent="0.2">
      <c r="C14" s="8">
        <v>45292</v>
      </c>
      <c r="D14" s="5" t="s">
        <v>14</v>
      </c>
      <c r="E14" s="9">
        <v>213280</v>
      </c>
      <c r="F14" s="5" t="s">
        <v>14</v>
      </c>
      <c r="G14" s="5" t="s">
        <v>134</v>
      </c>
      <c r="S14" s="18"/>
      <c r="T14" s="5"/>
      <c r="U14" s="5"/>
      <c r="V14" s="5"/>
      <c r="W14" s="5"/>
      <c r="X14" s="5"/>
      <c r="Y14" s="5"/>
      <c r="Z14" s="5"/>
      <c r="AA14" s="5"/>
      <c r="AB14" s="5"/>
      <c r="AC14" s="5"/>
      <c r="AD14" s="5"/>
      <c r="AE14" s="5"/>
      <c r="AF14" s="5"/>
      <c r="AG14" s="5"/>
      <c r="AH14" s="5"/>
      <c r="AI14" s="80"/>
    </row>
    <row r="15" spans="1:35" ht="15" hidden="1" customHeight="1" x14ac:dyDescent="0.2">
      <c r="C15" s="8">
        <v>45323</v>
      </c>
      <c r="D15" s="5" t="s">
        <v>24</v>
      </c>
      <c r="E15" s="9">
        <v>4.97</v>
      </c>
      <c r="F15" s="5" t="s">
        <v>24</v>
      </c>
      <c r="G15" s="5" t="s">
        <v>133</v>
      </c>
      <c r="S15" s="18"/>
      <c r="T15" s="5"/>
      <c r="U15" s="5"/>
      <c r="V15" s="5"/>
      <c r="W15" s="5"/>
      <c r="X15" s="5"/>
      <c r="Y15" s="5"/>
      <c r="Z15" s="5"/>
      <c r="AA15" s="5"/>
      <c r="AB15" s="5"/>
      <c r="AC15" s="5"/>
      <c r="AD15" s="5"/>
      <c r="AE15" s="5"/>
      <c r="AF15" s="5"/>
      <c r="AG15" s="5"/>
      <c r="AH15" s="5"/>
      <c r="AI15" s="80"/>
    </row>
    <row r="16" spans="1:35" ht="15" hidden="1" customHeight="1" x14ac:dyDescent="0.2">
      <c r="C16" s="8">
        <v>45323</v>
      </c>
      <c r="D16" s="5" t="s">
        <v>14</v>
      </c>
      <c r="E16" s="9">
        <v>258315</v>
      </c>
      <c r="F16" s="5" t="s">
        <v>14</v>
      </c>
      <c r="G16" s="5" t="s">
        <v>134</v>
      </c>
      <c r="S16" s="18"/>
      <c r="T16" s="5"/>
      <c r="U16" s="5"/>
      <c r="V16" s="5"/>
      <c r="W16" s="5"/>
      <c r="X16" s="5"/>
      <c r="Y16" s="5"/>
      <c r="Z16" s="5"/>
      <c r="AA16" s="5"/>
      <c r="AB16" s="5"/>
      <c r="AC16" s="5"/>
      <c r="AD16" s="5"/>
      <c r="AE16" s="5"/>
      <c r="AF16" s="5"/>
      <c r="AG16" s="5"/>
      <c r="AH16" s="5"/>
      <c r="AI16" s="80"/>
    </row>
    <row r="17" spans="3:35" ht="15" hidden="1" customHeight="1" x14ac:dyDescent="0.2">
      <c r="C17" s="8">
        <v>45352</v>
      </c>
      <c r="D17" s="5" t="s">
        <v>24</v>
      </c>
      <c r="E17" s="9">
        <v>4.97</v>
      </c>
      <c r="F17" s="5" t="s">
        <v>24</v>
      </c>
      <c r="G17" s="5" t="s">
        <v>133</v>
      </c>
      <c r="S17" s="18"/>
      <c r="T17" s="5"/>
      <c r="U17" s="5"/>
      <c r="V17" s="5"/>
      <c r="W17" s="5"/>
      <c r="X17" s="5"/>
      <c r="Y17" s="5"/>
      <c r="Z17" s="5"/>
      <c r="AA17" s="5"/>
      <c r="AB17" s="5"/>
      <c r="AC17" s="5"/>
      <c r="AD17" s="5"/>
      <c r="AE17" s="5"/>
      <c r="AF17" s="5"/>
      <c r="AG17" s="5"/>
      <c r="AH17" s="5"/>
      <c r="AI17" s="80"/>
    </row>
    <row r="18" spans="3:35" ht="15" hidden="1" customHeight="1" x14ac:dyDescent="0.2">
      <c r="C18" s="8">
        <v>45352</v>
      </c>
      <c r="D18" s="5" t="s">
        <v>14</v>
      </c>
      <c r="E18" s="9">
        <v>365000</v>
      </c>
      <c r="F18" s="5" t="s">
        <v>14</v>
      </c>
      <c r="G18" s="5" t="s">
        <v>134</v>
      </c>
      <c r="S18" s="18"/>
      <c r="T18" s="5"/>
      <c r="U18" s="5"/>
      <c r="V18" s="5"/>
      <c r="W18" s="5"/>
      <c r="X18" s="5"/>
      <c r="Y18" s="5"/>
      <c r="Z18" s="5"/>
      <c r="AA18" s="5"/>
      <c r="AB18" s="5"/>
      <c r="AC18" s="5"/>
      <c r="AD18" s="5"/>
      <c r="AE18" s="5"/>
      <c r="AF18" s="5"/>
      <c r="AG18" s="5"/>
      <c r="AH18" s="5"/>
      <c r="AI18" s="80"/>
    </row>
    <row r="19" spans="3:35" ht="15" hidden="1" customHeight="1" x14ac:dyDescent="0.2">
      <c r="C19" s="8">
        <v>45383</v>
      </c>
      <c r="D19" s="5" t="s">
        <v>24</v>
      </c>
      <c r="E19" s="9">
        <v>5.1162999999999998</v>
      </c>
      <c r="F19" s="5" t="s">
        <v>24</v>
      </c>
      <c r="G19" s="5" t="s">
        <v>133</v>
      </c>
      <c r="S19" s="18"/>
      <c r="T19" s="5"/>
      <c r="U19" s="5"/>
      <c r="V19" s="5"/>
      <c r="W19" s="5"/>
      <c r="X19" s="5"/>
      <c r="Y19" s="5"/>
      <c r="Z19" s="5"/>
      <c r="AA19" s="5"/>
      <c r="AB19" s="5"/>
      <c r="AC19" s="5"/>
      <c r="AD19" s="5"/>
      <c r="AE19" s="5"/>
      <c r="AF19" s="5"/>
      <c r="AG19" s="5"/>
      <c r="AH19" s="5"/>
      <c r="AI19" s="80"/>
    </row>
    <row r="20" spans="3:35" ht="15" hidden="1" customHeight="1" x14ac:dyDescent="0.2">
      <c r="C20" s="8">
        <v>45383</v>
      </c>
      <c r="D20" s="5" t="s">
        <v>14</v>
      </c>
      <c r="E20" s="9">
        <v>301966</v>
      </c>
      <c r="F20" s="5" t="s">
        <v>14</v>
      </c>
      <c r="G20" s="5" t="s">
        <v>134</v>
      </c>
      <c r="S20" s="18"/>
      <c r="T20" s="5"/>
      <c r="U20" s="5"/>
      <c r="V20" s="5"/>
      <c r="W20" s="5"/>
      <c r="X20" s="5"/>
      <c r="Y20" s="5"/>
      <c r="Z20" s="5"/>
      <c r="AA20" s="5"/>
      <c r="AB20" s="5"/>
      <c r="AC20" s="5"/>
      <c r="AD20" s="5"/>
      <c r="AE20" s="5"/>
      <c r="AF20" s="5"/>
      <c r="AG20" s="5"/>
      <c r="AH20" s="5"/>
      <c r="AI20" s="80"/>
    </row>
    <row r="21" spans="3:35" ht="15" hidden="1" customHeight="1" x14ac:dyDescent="0.2">
      <c r="C21" s="8">
        <v>45413</v>
      </c>
      <c r="D21" s="5" t="s">
        <v>24</v>
      </c>
      <c r="E21" s="9">
        <v>5.1550000000000002</v>
      </c>
      <c r="F21" s="5" t="s">
        <v>24</v>
      </c>
      <c r="G21" s="5" t="s">
        <v>133</v>
      </c>
      <c r="S21" s="18"/>
      <c r="T21" s="5"/>
      <c r="U21" s="5"/>
      <c r="V21" s="5"/>
      <c r="W21" s="5"/>
      <c r="X21" s="5"/>
      <c r="Y21" s="5"/>
      <c r="Z21" s="5"/>
      <c r="AA21" s="5"/>
      <c r="AB21" s="5"/>
      <c r="AC21" s="5"/>
      <c r="AD21" s="5"/>
      <c r="AE21" s="5"/>
      <c r="AF21" s="5"/>
      <c r="AG21" s="5"/>
      <c r="AH21" s="5"/>
      <c r="AI21" s="80"/>
    </row>
    <row r="22" spans="3:35" ht="15" hidden="1" customHeight="1" x14ac:dyDescent="0.2">
      <c r="C22" s="8">
        <v>45413</v>
      </c>
      <c r="D22" s="5" t="s">
        <v>14</v>
      </c>
      <c r="E22" s="9">
        <v>355704</v>
      </c>
      <c r="F22" s="5" t="s">
        <v>14</v>
      </c>
      <c r="G22" s="5" t="s">
        <v>134</v>
      </c>
      <c r="S22" s="18"/>
      <c r="T22" s="5"/>
      <c r="U22" s="5"/>
      <c r="V22" s="5"/>
      <c r="W22" s="5"/>
      <c r="X22" s="5"/>
      <c r="Y22" s="5"/>
      <c r="Z22" s="5"/>
      <c r="AA22" s="5"/>
      <c r="AB22" s="5"/>
      <c r="AC22" s="5"/>
      <c r="AD22" s="5"/>
      <c r="AE22" s="5"/>
      <c r="AF22" s="5"/>
      <c r="AG22" s="5"/>
      <c r="AH22" s="5"/>
      <c r="AI22" s="80"/>
    </row>
    <row r="23" spans="3:35" ht="15" hidden="1" customHeight="1" x14ac:dyDescent="0.2">
      <c r="C23" s="8">
        <v>45444</v>
      </c>
      <c r="D23" s="5" t="s">
        <v>24</v>
      </c>
      <c r="E23" s="9">
        <v>5.43</v>
      </c>
      <c r="F23" s="5" t="s">
        <v>24</v>
      </c>
      <c r="G23" s="5" t="s">
        <v>133</v>
      </c>
      <c r="S23" s="18"/>
      <c r="T23" s="5"/>
      <c r="U23" s="5"/>
      <c r="V23" s="5"/>
      <c r="W23" s="5"/>
      <c r="X23" s="5"/>
      <c r="Y23" s="5"/>
      <c r="Z23" s="5"/>
      <c r="AA23" s="5"/>
      <c r="AB23" s="5"/>
      <c r="AC23" s="5"/>
      <c r="AD23" s="5"/>
      <c r="AE23" s="5"/>
      <c r="AF23" s="5"/>
      <c r="AG23" s="5"/>
      <c r="AH23" s="5"/>
      <c r="AI23" s="80"/>
    </row>
    <row r="24" spans="3:35" ht="15" hidden="1" customHeight="1" x14ac:dyDescent="0.2">
      <c r="C24" s="8">
        <v>45444</v>
      </c>
      <c r="D24" s="5" t="s">
        <v>14</v>
      </c>
      <c r="E24" s="9">
        <v>346000</v>
      </c>
      <c r="F24" s="5" t="s">
        <v>14</v>
      </c>
      <c r="G24" s="5" t="s">
        <v>134</v>
      </c>
      <c r="S24" s="18"/>
      <c r="T24" s="5"/>
      <c r="U24" s="5"/>
      <c r="V24" s="5"/>
      <c r="W24" s="5"/>
      <c r="X24" s="5"/>
      <c r="Y24" s="5"/>
      <c r="Z24" s="5"/>
      <c r="AA24" s="5"/>
      <c r="AB24" s="5"/>
      <c r="AC24" s="5"/>
      <c r="AD24" s="5"/>
      <c r="AE24" s="5"/>
      <c r="AF24" s="5"/>
      <c r="AG24" s="5"/>
      <c r="AH24" s="5"/>
      <c r="AI24" s="80"/>
    </row>
    <row r="25" spans="3:35" ht="15" hidden="1" customHeight="1" x14ac:dyDescent="0.2">
      <c r="C25" s="8">
        <v>45505</v>
      </c>
      <c r="D25" s="5" t="s">
        <v>24</v>
      </c>
      <c r="E25" s="9">
        <v>5.5</v>
      </c>
      <c r="F25" s="5" t="s">
        <v>24</v>
      </c>
      <c r="G25" s="5" t="s">
        <v>133</v>
      </c>
      <c r="S25" s="18"/>
      <c r="T25" s="5"/>
      <c r="U25" s="5"/>
      <c r="V25" s="5"/>
      <c r="W25" s="5"/>
      <c r="X25" s="5"/>
      <c r="Y25" s="5"/>
      <c r="Z25" s="5"/>
      <c r="AA25" s="5"/>
      <c r="AB25" s="5"/>
      <c r="AC25" s="5"/>
      <c r="AD25" s="5"/>
      <c r="AE25" s="5"/>
      <c r="AF25" s="5"/>
      <c r="AG25" s="5"/>
      <c r="AH25" s="5"/>
      <c r="AI25" s="80"/>
    </row>
    <row r="26" spans="3:35" ht="15" hidden="1" customHeight="1" x14ac:dyDescent="0.2">
      <c r="C26" s="8">
        <v>45505</v>
      </c>
      <c r="D26" s="5" t="s">
        <v>14</v>
      </c>
      <c r="E26" s="9">
        <v>339653.67</v>
      </c>
      <c r="F26" s="5" t="s">
        <v>14</v>
      </c>
      <c r="G26" s="5" t="s">
        <v>134</v>
      </c>
      <c r="S26" s="18"/>
      <c r="T26" s="5"/>
      <c r="U26" s="5"/>
      <c r="V26" s="5"/>
      <c r="W26" s="5"/>
      <c r="X26" s="5"/>
      <c r="Y26" s="5"/>
      <c r="Z26" s="5"/>
      <c r="AA26" s="5"/>
      <c r="AB26" s="5"/>
      <c r="AC26" s="5"/>
      <c r="AD26" s="5"/>
      <c r="AE26" s="5"/>
      <c r="AF26" s="5"/>
      <c r="AG26" s="5"/>
      <c r="AH26" s="5"/>
      <c r="AI26" s="80"/>
    </row>
    <row r="27" spans="3:35" ht="15" hidden="1" customHeight="1" x14ac:dyDescent="0.2">
      <c r="C27" s="8">
        <v>45536</v>
      </c>
      <c r="D27" s="5" t="s">
        <v>24</v>
      </c>
      <c r="E27" s="9">
        <v>5.52</v>
      </c>
      <c r="F27" s="5" t="s">
        <v>24</v>
      </c>
      <c r="G27" s="5" t="s">
        <v>133</v>
      </c>
      <c r="S27" s="18"/>
      <c r="T27" s="5"/>
      <c r="U27" s="5"/>
      <c r="V27" s="5"/>
      <c r="W27" s="5"/>
      <c r="X27" s="5"/>
      <c r="Y27" s="5"/>
      <c r="Z27" s="5"/>
      <c r="AA27" s="5"/>
      <c r="AB27" s="5"/>
      <c r="AC27" s="5"/>
      <c r="AD27" s="5"/>
      <c r="AE27" s="5"/>
      <c r="AF27" s="5"/>
      <c r="AG27" s="5"/>
      <c r="AH27" s="5"/>
      <c r="AI27" s="80"/>
    </row>
    <row r="28" spans="3:35" ht="15" hidden="1" customHeight="1" x14ac:dyDescent="0.2">
      <c r="C28" s="8">
        <v>45536</v>
      </c>
      <c r="D28" s="5" t="s">
        <v>14</v>
      </c>
      <c r="E28" s="9">
        <v>348333.72</v>
      </c>
      <c r="F28" s="5" t="s">
        <v>14</v>
      </c>
      <c r="G28" s="5" t="s">
        <v>134</v>
      </c>
      <c r="S28" s="18"/>
      <c r="T28" s="5"/>
      <c r="U28" s="5"/>
      <c r="V28" s="5"/>
      <c r="W28" s="5"/>
      <c r="X28" s="5"/>
      <c r="Y28" s="5"/>
      <c r="Z28" s="5"/>
      <c r="AA28" s="5"/>
      <c r="AB28" s="5"/>
      <c r="AC28" s="5"/>
      <c r="AD28" s="5"/>
      <c r="AE28" s="5"/>
      <c r="AF28" s="5"/>
      <c r="AG28" s="5"/>
      <c r="AH28" s="5"/>
      <c r="AI28" s="80"/>
    </row>
    <row r="29" spans="3:35" ht="15" hidden="1" customHeight="1" x14ac:dyDescent="0.2">
      <c r="C29" s="8">
        <v>45566</v>
      </c>
      <c r="D29" s="5" t="s">
        <v>24</v>
      </c>
      <c r="E29" s="9">
        <v>5.76</v>
      </c>
      <c r="F29" s="5" t="s">
        <v>24</v>
      </c>
      <c r="G29" s="5" t="s">
        <v>133</v>
      </c>
      <c r="S29" s="18"/>
      <c r="T29" s="5"/>
      <c r="U29" s="5"/>
      <c r="V29" s="5"/>
      <c r="W29" s="5"/>
      <c r="X29" s="5"/>
      <c r="Y29" s="5"/>
      <c r="Z29" s="5"/>
      <c r="AA29" s="5"/>
      <c r="AB29" s="5"/>
      <c r="AC29" s="5"/>
      <c r="AD29" s="5"/>
      <c r="AE29" s="5"/>
      <c r="AF29" s="5"/>
      <c r="AG29" s="5"/>
      <c r="AH29" s="5"/>
      <c r="AI29" s="80"/>
    </row>
    <row r="30" spans="3:35" ht="15" hidden="1" customHeight="1" x14ac:dyDescent="0.2">
      <c r="C30" s="8">
        <v>45566</v>
      </c>
      <c r="D30" s="5" t="s">
        <v>14</v>
      </c>
      <c r="E30" s="9">
        <v>418028.58</v>
      </c>
      <c r="F30" s="5" t="s">
        <v>14</v>
      </c>
      <c r="G30" s="5" t="s">
        <v>134</v>
      </c>
      <c r="S30" s="18"/>
      <c r="T30" s="5"/>
      <c r="U30" s="5"/>
      <c r="V30" s="5"/>
      <c r="W30" s="5"/>
      <c r="X30" s="5"/>
      <c r="Y30" s="5"/>
      <c r="Z30" s="5"/>
      <c r="AA30" s="5"/>
      <c r="AB30" s="5"/>
      <c r="AC30" s="5"/>
      <c r="AD30" s="5"/>
      <c r="AE30" s="5"/>
      <c r="AF30" s="5"/>
      <c r="AG30" s="5"/>
      <c r="AH30" s="5"/>
      <c r="AI30" s="80"/>
    </row>
    <row r="31" spans="3:35" ht="15" hidden="1" customHeight="1" x14ac:dyDescent="0.2">
      <c r="C31" s="8">
        <v>45597</v>
      </c>
      <c r="D31" s="5" t="s">
        <v>24</v>
      </c>
      <c r="E31" s="9">
        <v>5.81</v>
      </c>
      <c r="F31" s="5" t="s">
        <v>24</v>
      </c>
      <c r="G31" s="5" t="s">
        <v>133</v>
      </c>
      <c r="S31" s="18"/>
      <c r="T31" s="5"/>
      <c r="U31" s="5"/>
      <c r="V31" s="5"/>
      <c r="W31" s="5"/>
      <c r="X31" s="5"/>
      <c r="Y31" s="5"/>
      <c r="Z31" s="5"/>
      <c r="AA31" s="5"/>
      <c r="AB31" s="5"/>
      <c r="AC31" s="5"/>
      <c r="AD31" s="5"/>
      <c r="AE31" s="5"/>
      <c r="AF31" s="5"/>
      <c r="AG31" s="5"/>
      <c r="AH31" s="5"/>
      <c r="AI31" s="80"/>
    </row>
    <row r="32" spans="3:35" ht="15" hidden="1" customHeight="1" x14ac:dyDescent="0.2">
      <c r="C32" s="8">
        <v>45597</v>
      </c>
      <c r="D32" s="5" t="s">
        <v>14</v>
      </c>
      <c r="E32" s="9">
        <v>569958.14</v>
      </c>
      <c r="F32" s="5" t="s">
        <v>14</v>
      </c>
      <c r="G32" s="5" t="s">
        <v>134</v>
      </c>
      <c r="S32" s="18"/>
      <c r="T32" s="5"/>
      <c r="U32" s="5"/>
      <c r="V32" s="5"/>
      <c r="W32" s="5"/>
      <c r="X32" s="5"/>
      <c r="Y32" s="5"/>
      <c r="Z32" s="5"/>
      <c r="AA32" s="5"/>
      <c r="AB32" s="5"/>
      <c r="AC32" s="5"/>
      <c r="AD32" s="5"/>
      <c r="AE32" s="5"/>
      <c r="AF32" s="5"/>
      <c r="AG32" s="5"/>
      <c r="AH32" s="5"/>
      <c r="AI32" s="80"/>
    </row>
    <row r="33" spans="3:35" ht="15" hidden="1" customHeight="1" x14ac:dyDescent="0.2">
      <c r="C33" s="8">
        <v>45627</v>
      </c>
      <c r="D33" s="5" t="s">
        <v>24</v>
      </c>
      <c r="E33" s="9">
        <v>6.19</v>
      </c>
      <c r="F33" s="5" t="s">
        <v>24</v>
      </c>
      <c r="G33" s="5" t="s">
        <v>133</v>
      </c>
      <c r="S33" s="18"/>
      <c r="T33" s="5"/>
      <c r="U33" s="5"/>
      <c r="V33" s="5"/>
      <c r="W33" s="5"/>
      <c r="X33" s="5"/>
      <c r="Y33" s="5"/>
      <c r="Z33" s="5"/>
      <c r="AA33" s="5"/>
      <c r="AB33" s="5"/>
      <c r="AC33" s="5"/>
      <c r="AD33" s="5"/>
      <c r="AE33" s="5"/>
      <c r="AF33" s="5"/>
      <c r="AG33" s="5"/>
      <c r="AH33" s="5"/>
      <c r="AI33" s="80"/>
    </row>
    <row r="34" spans="3:35" ht="15" hidden="1" customHeight="1" x14ac:dyDescent="0.2">
      <c r="C34" s="8">
        <v>45627</v>
      </c>
      <c r="D34" s="5" t="s">
        <v>14</v>
      </c>
      <c r="E34" s="9">
        <v>582401</v>
      </c>
      <c r="F34" s="5" t="s">
        <v>124</v>
      </c>
      <c r="G34" s="5" t="s">
        <v>134</v>
      </c>
      <c r="S34" s="18"/>
      <c r="T34" s="5"/>
      <c r="U34" s="5"/>
      <c r="V34" s="5"/>
      <c r="W34" s="5"/>
      <c r="X34" s="5"/>
      <c r="Y34" s="5"/>
      <c r="Z34" s="5"/>
      <c r="AA34" s="5"/>
      <c r="AB34" s="5"/>
      <c r="AC34" s="5"/>
      <c r="AD34" s="5"/>
      <c r="AE34" s="5"/>
      <c r="AF34" s="5"/>
      <c r="AG34" s="5"/>
      <c r="AH34" s="5"/>
      <c r="AI34" s="80"/>
    </row>
    <row r="35" spans="3:35" ht="15" hidden="1" customHeight="1" x14ac:dyDescent="0.2">
      <c r="C35" s="8">
        <v>45658</v>
      </c>
      <c r="D35" s="5" t="s">
        <v>14</v>
      </c>
      <c r="E35" s="9">
        <v>596551.43000000005</v>
      </c>
      <c r="F35" s="5" t="s">
        <v>14</v>
      </c>
      <c r="G35" s="5" t="s">
        <v>134</v>
      </c>
      <c r="S35" s="18"/>
      <c r="T35" s="5"/>
      <c r="U35" s="5"/>
      <c r="V35" s="5"/>
      <c r="W35" s="5"/>
      <c r="X35" s="5"/>
      <c r="Y35" s="5"/>
      <c r="Z35" s="5"/>
      <c r="AA35" s="5"/>
      <c r="AB35" s="5"/>
      <c r="AC35" s="5"/>
      <c r="AD35" s="5"/>
      <c r="AE35" s="5"/>
      <c r="AF35" s="5"/>
      <c r="AG35" s="5"/>
      <c r="AH35" s="5"/>
      <c r="AI35" s="80"/>
    </row>
    <row r="36" spans="3:35" ht="15" hidden="1" customHeight="1" x14ac:dyDescent="0.2">
      <c r="C36" s="8">
        <v>45658</v>
      </c>
      <c r="D36" s="5" t="s">
        <v>24</v>
      </c>
      <c r="E36" s="9">
        <v>6.19</v>
      </c>
      <c r="F36" s="5" t="s">
        <v>24</v>
      </c>
      <c r="G36" s="5" t="s">
        <v>133</v>
      </c>
      <c r="S36" s="18"/>
      <c r="T36" s="5"/>
      <c r="U36" s="5"/>
      <c r="V36" s="5"/>
      <c r="W36" s="5"/>
      <c r="X36" s="5"/>
      <c r="Y36" s="5"/>
      <c r="Z36" s="5"/>
      <c r="AA36" s="5"/>
      <c r="AB36" s="5"/>
      <c r="AC36" s="5"/>
      <c r="AD36" s="5"/>
      <c r="AE36" s="5"/>
      <c r="AF36" s="5"/>
      <c r="AG36" s="5"/>
      <c r="AH36" s="5"/>
      <c r="AI36" s="80"/>
    </row>
    <row r="37" spans="3:35" ht="15" hidden="1" customHeight="1" x14ac:dyDescent="0.2">
      <c r="C37" s="8">
        <v>45658</v>
      </c>
      <c r="D37" s="5" t="s">
        <v>57</v>
      </c>
      <c r="E37" s="9">
        <v>1272.72</v>
      </c>
      <c r="F37" s="5" t="s">
        <v>24</v>
      </c>
      <c r="G37" s="5" t="s">
        <v>134</v>
      </c>
      <c r="S37" s="18"/>
      <c r="T37" s="5"/>
      <c r="U37" s="5"/>
      <c r="V37" s="5"/>
      <c r="W37" s="5"/>
      <c r="X37" s="5"/>
      <c r="Y37" s="5"/>
      <c r="Z37" s="5"/>
      <c r="AA37" s="5"/>
      <c r="AB37" s="5"/>
      <c r="AC37" s="5"/>
      <c r="AD37" s="5"/>
      <c r="AE37" s="5"/>
      <c r="AF37" s="5"/>
      <c r="AG37" s="5"/>
      <c r="AH37" s="5"/>
      <c r="AI37" s="80"/>
    </row>
    <row r="38" spans="3:35" ht="15" hidden="1" customHeight="1" x14ac:dyDescent="0.2">
      <c r="C38" s="8">
        <v>45839</v>
      </c>
      <c r="D38" s="5" t="s">
        <v>14</v>
      </c>
      <c r="E38" s="9">
        <v>642564</v>
      </c>
      <c r="F38" s="5" t="s">
        <v>14</v>
      </c>
      <c r="G38" s="5" t="s">
        <v>134</v>
      </c>
      <c r="S38" s="18"/>
      <c r="T38" s="5"/>
      <c r="U38" s="5"/>
      <c r="V38" s="5"/>
      <c r="W38" s="5"/>
      <c r="X38" s="5"/>
      <c r="Y38" s="5"/>
      <c r="Z38" s="5"/>
      <c r="AA38" s="5"/>
      <c r="AB38" s="5"/>
      <c r="AC38" s="5"/>
      <c r="AD38" s="5"/>
      <c r="AE38" s="5"/>
      <c r="AF38" s="5"/>
      <c r="AG38" s="5"/>
      <c r="AH38" s="5"/>
      <c r="AI38" s="80"/>
    </row>
    <row r="39" spans="3:35" ht="15" hidden="1" customHeight="1" x14ac:dyDescent="0.2">
      <c r="C39" s="8">
        <v>45839</v>
      </c>
      <c r="D39" s="5" t="s">
        <v>57</v>
      </c>
      <c r="E39" s="9">
        <v>996.08</v>
      </c>
      <c r="F39" s="5" t="s">
        <v>24</v>
      </c>
      <c r="G39" s="5" t="s">
        <v>134</v>
      </c>
      <c r="S39" s="18"/>
      <c r="T39" s="5"/>
      <c r="U39" s="5"/>
      <c r="V39" s="5"/>
      <c r="W39" s="5"/>
      <c r="X39" s="5"/>
      <c r="Y39" s="5"/>
      <c r="Z39" s="5"/>
      <c r="AA39" s="5"/>
      <c r="AB39" s="5"/>
      <c r="AC39" s="5"/>
      <c r="AD39" s="5"/>
      <c r="AE39" s="5"/>
      <c r="AF39" s="5"/>
      <c r="AG39" s="5"/>
      <c r="AH39" s="5"/>
      <c r="AI39" s="80"/>
    </row>
    <row r="40" spans="3:35" ht="15" hidden="1" customHeight="1" x14ac:dyDescent="0.2">
      <c r="C40" s="8">
        <v>45839</v>
      </c>
      <c r="D40" s="5" t="s">
        <v>24</v>
      </c>
      <c r="E40" s="9">
        <v>5.54</v>
      </c>
      <c r="F40" s="5" t="s">
        <v>24</v>
      </c>
      <c r="G40" s="5" t="s">
        <v>133</v>
      </c>
      <c r="S40" s="18"/>
      <c r="T40" s="18"/>
      <c r="U40" s="18"/>
      <c r="V40" s="18"/>
      <c r="W40" s="18"/>
      <c r="X40" s="18"/>
      <c r="Z40" s="8"/>
      <c r="AA40" s="34"/>
      <c r="AB40" s="5"/>
      <c r="AC40" s="5"/>
      <c r="AD40" s="5"/>
      <c r="AE40" s="5"/>
      <c r="AF40" s="5"/>
      <c r="AG40" s="69"/>
      <c r="AH40" s="18"/>
      <c r="AI40" s="80"/>
    </row>
    <row r="41" spans="3:35" ht="15" hidden="1" customHeight="1" x14ac:dyDescent="0.2">
      <c r="C41" s="8">
        <v>45870</v>
      </c>
      <c r="D41" s="5" t="s">
        <v>14</v>
      </c>
      <c r="E41" s="9">
        <v>623259</v>
      </c>
      <c r="F41" s="5" t="s">
        <v>14</v>
      </c>
      <c r="G41" s="5" t="s">
        <v>134</v>
      </c>
      <c r="S41" s="18"/>
      <c r="T41" s="18"/>
      <c r="U41" s="18"/>
      <c r="V41" s="18"/>
      <c r="W41" s="18"/>
      <c r="X41" s="18"/>
      <c r="Z41" s="8"/>
      <c r="AA41" s="34"/>
      <c r="AB41" s="5"/>
      <c r="AC41" s="5"/>
      <c r="AD41" s="5"/>
      <c r="AE41" s="5"/>
      <c r="AF41" s="5"/>
      <c r="AG41" s="69"/>
      <c r="AH41" s="18"/>
      <c r="AI41" s="80"/>
    </row>
    <row r="42" spans="3:35" ht="15" hidden="1" customHeight="1" x14ac:dyDescent="0.2">
      <c r="C42" s="8">
        <v>45870</v>
      </c>
      <c r="D42" s="5" t="s">
        <v>57</v>
      </c>
      <c r="E42" s="9">
        <v>901</v>
      </c>
      <c r="F42" s="5" t="s">
        <v>24</v>
      </c>
      <c r="G42" s="5" t="s">
        <v>134</v>
      </c>
      <c r="S42" s="18"/>
      <c r="T42" s="18"/>
      <c r="U42" s="18"/>
      <c r="V42" s="18"/>
      <c r="W42" s="18"/>
      <c r="X42" s="18"/>
      <c r="Z42" s="8"/>
      <c r="AA42" s="34"/>
      <c r="AB42" s="5"/>
      <c r="AC42" s="5"/>
      <c r="AD42" s="5"/>
      <c r="AE42" s="5"/>
      <c r="AF42" s="5"/>
      <c r="AG42" s="69"/>
      <c r="AH42" s="18"/>
      <c r="AI42" s="80"/>
    </row>
    <row r="43" spans="3:35" ht="15" hidden="1" customHeight="1" x14ac:dyDescent="0.2">
      <c r="C43" s="8">
        <v>45870</v>
      </c>
      <c r="D43" s="5" t="s">
        <v>24</v>
      </c>
      <c r="E43" s="9">
        <v>5.51</v>
      </c>
      <c r="F43" s="5" t="s">
        <v>24</v>
      </c>
      <c r="G43" s="5" t="s">
        <v>133</v>
      </c>
      <c r="S43" s="18"/>
      <c r="T43" s="18"/>
      <c r="U43" s="18"/>
      <c r="V43" s="18"/>
      <c r="W43" s="18"/>
      <c r="X43" s="18"/>
      <c r="Z43" s="8"/>
      <c r="AA43" s="34"/>
      <c r="AB43" s="5"/>
      <c r="AC43" s="5"/>
      <c r="AD43" s="5"/>
      <c r="AE43" s="5"/>
      <c r="AF43" s="5"/>
      <c r="AG43" s="69"/>
      <c r="AH43" s="18"/>
      <c r="AI43" s="80"/>
    </row>
    <row r="44" spans="3:35" ht="15" hidden="1" customHeight="1" x14ac:dyDescent="0.2">
      <c r="C44" s="8">
        <v>45901</v>
      </c>
      <c r="D44" s="5" t="s">
        <v>24</v>
      </c>
      <c r="E44" s="9">
        <v>5.41</v>
      </c>
      <c r="F44" s="5" t="s">
        <v>24</v>
      </c>
      <c r="G44" s="5" t="s">
        <v>133</v>
      </c>
      <c r="S44" s="18"/>
      <c r="T44" s="18"/>
      <c r="U44" s="18"/>
      <c r="V44" s="18"/>
      <c r="W44" s="18"/>
      <c r="X44" s="18"/>
      <c r="Z44" s="8"/>
      <c r="AA44" s="34"/>
      <c r="AB44" s="5"/>
      <c r="AC44" s="5"/>
      <c r="AD44" s="5"/>
      <c r="AE44" s="5"/>
      <c r="AF44" s="5"/>
      <c r="AG44" s="69"/>
      <c r="AH44" s="18"/>
      <c r="AI44" s="80"/>
    </row>
    <row r="45" spans="3:35" ht="15" hidden="1" customHeight="1" x14ac:dyDescent="0.2">
      <c r="C45" s="8">
        <v>45901</v>
      </c>
      <c r="D45" s="5" t="s">
        <v>14</v>
      </c>
      <c r="E45" s="9">
        <v>601021.78599999996</v>
      </c>
      <c r="F45" s="5" t="s">
        <v>14</v>
      </c>
      <c r="G45" s="5" t="s">
        <v>134</v>
      </c>
      <c r="S45" s="18"/>
      <c r="T45" s="18"/>
      <c r="U45" s="18"/>
      <c r="V45" s="18"/>
      <c r="W45" s="18"/>
      <c r="X45" s="18"/>
      <c r="Z45" s="8"/>
      <c r="AA45" s="34"/>
      <c r="AB45" s="5"/>
      <c r="AC45" s="5"/>
      <c r="AD45" s="5"/>
      <c r="AE45" s="5"/>
      <c r="AF45" s="5"/>
      <c r="AG45" s="69"/>
      <c r="AH45" s="18"/>
      <c r="AI45" s="80"/>
    </row>
    <row r="46" spans="3:35" ht="15" hidden="1" customHeight="1" x14ac:dyDescent="0.2">
      <c r="C46" s="8">
        <v>45901</v>
      </c>
      <c r="D46" s="5" t="s">
        <v>57</v>
      </c>
      <c r="E46" s="9">
        <v>206.47</v>
      </c>
      <c r="F46" s="5" t="s">
        <v>24</v>
      </c>
      <c r="G46" s="5" t="s">
        <v>134</v>
      </c>
      <c r="S46" s="18"/>
      <c r="T46" s="18"/>
      <c r="U46" s="18"/>
      <c r="V46" s="18"/>
      <c r="W46" s="18"/>
      <c r="X46" s="18"/>
      <c r="Z46" s="8"/>
      <c r="AA46" s="34"/>
      <c r="AB46" s="5"/>
      <c r="AC46" s="5"/>
      <c r="AD46" s="5"/>
      <c r="AE46" s="5"/>
      <c r="AF46" s="5"/>
      <c r="AG46" s="69"/>
      <c r="AH46" s="18"/>
      <c r="AI46" s="80"/>
    </row>
    <row r="47" spans="3:35" ht="15" hidden="1" customHeight="1" x14ac:dyDescent="0.2">
      <c r="C47" s="8">
        <v>45901</v>
      </c>
      <c r="D47" s="5" t="s">
        <v>72</v>
      </c>
      <c r="E47" s="9">
        <v>389.89815901166457</v>
      </c>
      <c r="F47" s="5" t="s">
        <v>24</v>
      </c>
      <c r="G47" s="5" t="s">
        <v>135</v>
      </c>
      <c r="S47" s="18"/>
      <c r="T47" s="18"/>
      <c r="U47" s="18"/>
      <c r="V47" s="18"/>
      <c r="W47" s="18"/>
      <c r="X47" s="18"/>
      <c r="Z47" s="8"/>
      <c r="AA47" s="34"/>
      <c r="AB47" s="5"/>
      <c r="AC47" s="5"/>
      <c r="AD47" s="5"/>
      <c r="AE47" s="5"/>
      <c r="AF47" s="5"/>
      <c r="AG47" s="69"/>
      <c r="AH47" s="18"/>
      <c r="AI47" s="80"/>
    </row>
    <row r="48" spans="3:35" ht="15" hidden="1" customHeight="1" x14ac:dyDescent="0.2">
      <c r="C48" s="15">
        <v>45931</v>
      </c>
      <c r="D48" s="12" t="s">
        <v>24</v>
      </c>
      <c r="E48" s="16">
        <v>5.3574000000000002</v>
      </c>
      <c r="F48" s="12" t="s">
        <v>24</v>
      </c>
      <c r="G48" s="12" t="s">
        <v>133</v>
      </c>
      <c r="S48" s="18"/>
      <c r="T48" s="18"/>
      <c r="U48" s="18"/>
      <c r="V48" s="18"/>
      <c r="W48" s="18"/>
      <c r="X48" s="18"/>
      <c r="Z48" s="8"/>
      <c r="AA48" s="34"/>
      <c r="AB48" s="5"/>
      <c r="AC48" s="5"/>
      <c r="AD48" s="5"/>
      <c r="AE48" s="5"/>
      <c r="AF48" s="5"/>
      <c r="AG48" s="69"/>
      <c r="AH48" s="18"/>
      <c r="AI48" s="80"/>
    </row>
    <row r="49" spans="3:35" ht="15" hidden="1" customHeight="1" x14ac:dyDescent="0.2">
      <c r="C49" s="15">
        <v>45931</v>
      </c>
      <c r="D49" s="12" t="s">
        <v>14</v>
      </c>
      <c r="E49" s="16">
        <v>593261</v>
      </c>
      <c r="F49" s="12" t="s">
        <v>14</v>
      </c>
      <c r="G49" s="12" t="s">
        <v>134</v>
      </c>
      <c r="S49" s="18"/>
      <c r="T49" s="18"/>
      <c r="U49" s="18"/>
      <c r="V49" s="18"/>
      <c r="W49" s="18"/>
      <c r="X49" s="18"/>
      <c r="Z49" s="8"/>
      <c r="AA49" s="34"/>
      <c r="AB49" s="5"/>
      <c r="AC49" s="5"/>
      <c r="AD49" s="5"/>
      <c r="AE49" s="5"/>
      <c r="AF49" s="5"/>
      <c r="AG49" s="69"/>
      <c r="AH49" s="18"/>
      <c r="AI49" s="80"/>
    </row>
    <row r="50" spans="3:35" ht="15" hidden="1" customHeight="1" x14ac:dyDescent="0.2">
      <c r="C50" s="15">
        <v>45931</v>
      </c>
      <c r="D50" s="12" t="s">
        <v>57</v>
      </c>
      <c r="E50" s="16">
        <v>1055.0899999999999</v>
      </c>
      <c r="F50" s="12" t="s">
        <v>24</v>
      </c>
      <c r="G50" s="12" t="s">
        <v>134</v>
      </c>
      <c r="S50" s="18"/>
      <c r="T50" s="18"/>
      <c r="U50" s="18"/>
      <c r="V50" s="18"/>
      <c r="W50" s="18"/>
      <c r="X50" s="18"/>
      <c r="Z50" s="8"/>
      <c r="AA50" s="34"/>
      <c r="AB50" s="5"/>
      <c r="AC50" s="5"/>
      <c r="AD50" s="5"/>
      <c r="AE50" s="5"/>
      <c r="AF50" s="5"/>
      <c r="AG50" s="69"/>
      <c r="AH50" s="18"/>
      <c r="AI50" s="80"/>
    </row>
    <row r="51" spans="3:35" ht="15" hidden="1" customHeight="1" x14ac:dyDescent="0.2">
      <c r="C51" s="15">
        <v>45931</v>
      </c>
      <c r="D51" s="12" t="s">
        <v>72</v>
      </c>
      <c r="E51" s="16">
        <v>418.35936600000002</v>
      </c>
      <c r="F51" s="12" t="s">
        <v>24</v>
      </c>
      <c r="G51" s="12" t="s">
        <v>135</v>
      </c>
      <c r="S51" s="18"/>
      <c r="T51" s="18"/>
      <c r="U51" s="18"/>
      <c r="V51" s="18"/>
      <c r="W51" s="18"/>
      <c r="X51" s="18"/>
      <c r="Z51" s="8"/>
      <c r="AA51" s="34"/>
      <c r="AB51" s="5"/>
      <c r="AC51" s="5"/>
      <c r="AD51" s="5"/>
      <c r="AE51" s="5"/>
      <c r="AF51" s="5"/>
      <c r="AG51" s="69"/>
      <c r="AH51" s="18"/>
      <c r="AI51" s="80"/>
    </row>
    <row r="52" spans="3:35" ht="15" hidden="1" customHeight="1" x14ac:dyDescent="0.2">
      <c r="C52" s="15">
        <v>45931</v>
      </c>
      <c r="D52" s="12" t="s">
        <v>73</v>
      </c>
      <c r="E52" s="16">
        <v>3385.6089299999999</v>
      </c>
      <c r="F52" s="12" t="s">
        <v>24</v>
      </c>
      <c r="G52" s="12" t="s">
        <v>135</v>
      </c>
      <c r="S52" s="18"/>
      <c r="T52" s="18"/>
      <c r="U52" s="18"/>
      <c r="V52" s="18"/>
      <c r="W52" s="18"/>
      <c r="X52" s="18"/>
      <c r="Z52" s="8"/>
      <c r="AA52" s="34"/>
      <c r="AB52" s="5"/>
      <c r="AC52" s="5"/>
      <c r="AD52" s="5"/>
      <c r="AE52" s="5"/>
      <c r="AF52" s="5"/>
      <c r="AG52" s="69"/>
      <c r="AH52" s="18"/>
      <c r="AI52" s="80"/>
    </row>
    <row r="53" spans="3:35" ht="15" hidden="1" customHeight="1" x14ac:dyDescent="0.2">
      <c r="C53" s="15">
        <v>45931</v>
      </c>
      <c r="D53" s="12" t="s">
        <v>71</v>
      </c>
      <c r="E53" s="16">
        <v>491.86289399999998</v>
      </c>
      <c r="F53" s="12" t="s">
        <v>24</v>
      </c>
      <c r="G53" s="12" t="s">
        <v>135</v>
      </c>
      <c r="S53" s="18"/>
      <c r="T53" s="18"/>
      <c r="U53" s="18"/>
      <c r="V53" s="18"/>
      <c r="W53" s="18"/>
      <c r="X53" s="18"/>
      <c r="Z53" s="8"/>
      <c r="AA53" s="34"/>
      <c r="AB53" s="5"/>
      <c r="AC53" s="5"/>
      <c r="AD53" s="5"/>
      <c r="AE53" s="5"/>
      <c r="AF53" s="5"/>
      <c r="AG53" s="69"/>
      <c r="AH53" s="18"/>
      <c r="AI53" s="80"/>
    </row>
    <row r="54" spans="3:35" ht="15" hidden="1" customHeight="1" x14ac:dyDescent="0.2">
      <c r="C54" s="15">
        <v>45931</v>
      </c>
      <c r="D54" s="12" t="s">
        <v>124</v>
      </c>
      <c r="E54" s="16">
        <v>1</v>
      </c>
      <c r="F54" s="12" t="s">
        <v>124</v>
      </c>
      <c r="G54" s="12" t="s">
        <v>133</v>
      </c>
      <c r="S54" s="18"/>
      <c r="T54" s="18"/>
      <c r="U54" s="18"/>
      <c r="V54" s="18"/>
      <c r="W54" s="18"/>
      <c r="X54" s="18"/>
      <c r="Z54" s="8"/>
      <c r="AA54" s="34"/>
      <c r="AB54" s="5"/>
      <c r="AC54" s="5"/>
      <c r="AD54" s="5"/>
      <c r="AE54" s="5"/>
      <c r="AF54" s="5"/>
      <c r="AG54" s="69"/>
      <c r="AH54" s="18"/>
      <c r="AI54" s="80"/>
    </row>
    <row r="55" spans="3:35" ht="15" hidden="1" customHeight="1" x14ac:dyDescent="0.2">
      <c r="C55" s="15">
        <v>45962</v>
      </c>
      <c r="D55" s="12" t="s">
        <v>24</v>
      </c>
      <c r="E55" s="17">
        <v>5.3654000000000002</v>
      </c>
      <c r="F55" s="12" t="s">
        <v>24</v>
      </c>
      <c r="G55" s="12" t="s">
        <v>133</v>
      </c>
      <c r="S55" s="18"/>
      <c r="T55" s="18"/>
      <c r="U55" s="18"/>
      <c r="V55" s="18"/>
      <c r="W55" s="18"/>
      <c r="X55" s="18"/>
      <c r="Z55" s="8"/>
      <c r="AA55" s="34"/>
      <c r="AB55" s="5"/>
      <c r="AC55" s="5"/>
      <c r="AD55" s="5"/>
      <c r="AE55" s="5"/>
      <c r="AF55" s="5"/>
      <c r="AG55" s="69"/>
      <c r="AH55" s="18"/>
      <c r="AI55" s="80"/>
    </row>
    <row r="56" spans="3:35" ht="15" hidden="1" customHeight="1" x14ac:dyDescent="0.2">
      <c r="C56" s="15">
        <v>45962</v>
      </c>
      <c r="D56" s="12" t="s">
        <v>124</v>
      </c>
      <c r="E56" s="17">
        <v>1</v>
      </c>
      <c r="F56" s="12" t="s">
        <v>124</v>
      </c>
      <c r="G56" s="12" t="s">
        <v>133</v>
      </c>
      <c r="S56" s="18"/>
      <c r="T56" s="18"/>
      <c r="U56" s="18"/>
      <c r="V56" s="18"/>
      <c r="W56" s="18"/>
      <c r="X56" s="18"/>
      <c r="Z56" s="8"/>
      <c r="AA56" s="34"/>
      <c r="AB56" s="5"/>
      <c r="AC56" s="5"/>
      <c r="AD56" s="5"/>
      <c r="AE56" s="5"/>
      <c r="AF56" s="5"/>
      <c r="AG56" s="69"/>
      <c r="AH56" s="18"/>
      <c r="AI56" s="80"/>
    </row>
    <row r="57" spans="3:35" ht="15" hidden="1" customHeight="1" x14ac:dyDescent="0.2">
      <c r="C57" s="15">
        <v>45962</v>
      </c>
      <c r="D57" s="12" t="s">
        <v>72</v>
      </c>
      <c r="E57" s="17">
        <v>419.19870200000003</v>
      </c>
      <c r="F57" s="12" t="s">
        <v>24</v>
      </c>
      <c r="G57" s="12" t="s">
        <v>135</v>
      </c>
      <c r="S57" s="18"/>
      <c r="T57" s="18"/>
      <c r="U57" s="18"/>
      <c r="V57" s="18"/>
      <c r="W57" s="18"/>
      <c r="X57" s="18"/>
      <c r="Z57" s="8"/>
      <c r="AA57" s="34"/>
      <c r="AB57" s="5"/>
      <c r="AC57" s="5"/>
      <c r="AD57" s="5"/>
      <c r="AE57" s="5"/>
      <c r="AF57" s="5"/>
      <c r="AG57" s="69"/>
      <c r="AH57" s="18"/>
      <c r="AI57" s="80"/>
    </row>
    <row r="58" spans="3:35" ht="15" hidden="1" customHeight="1" x14ac:dyDescent="0.2">
      <c r="C58" s="15">
        <v>45962</v>
      </c>
      <c r="D58" s="12" t="s">
        <v>73</v>
      </c>
      <c r="E58" s="17">
        <v>3351.1215320000001</v>
      </c>
      <c r="F58" s="12" t="s">
        <v>24</v>
      </c>
      <c r="G58" s="12" t="s">
        <v>135</v>
      </c>
      <c r="S58" s="18"/>
      <c r="T58" s="18"/>
      <c r="U58" s="18"/>
      <c r="V58" s="18"/>
      <c r="W58" s="18"/>
      <c r="X58" s="18"/>
      <c r="Z58" s="8"/>
      <c r="AA58" s="34"/>
      <c r="AB58" s="5"/>
      <c r="AC58" s="5"/>
      <c r="AD58" s="5"/>
      <c r="AE58" s="5"/>
      <c r="AF58" s="5"/>
      <c r="AG58" s="69"/>
      <c r="AH58" s="18"/>
      <c r="AI58" s="80"/>
    </row>
    <row r="59" spans="3:35" ht="15" hidden="1" customHeight="1" x14ac:dyDescent="0.2">
      <c r="C59" s="15">
        <v>45962</v>
      </c>
      <c r="D59" s="12" t="s">
        <v>71</v>
      </c>
      <c r="E59" s="17">
        <v>504.24029200000001</v>
      </c>
      <c r="F59" s="12" t="s">
        <v>24</v>
      </c>
      <c r="G59" s="12" t="s">
        <v>135</v>
      </c>
      <c r="S59" s="18"/>
      <c r="T59" s="18"/>
      <c r="U59" s="18"/>
      <c r="V59" s="18"/>
      <c r="W59" s="18"/>
      <c r="X59" s="18"/>
      <c r="Z59" s="8"/>
      <c r="AA59" s="34"/>
      <c r="AB59" s="5"/>
      <c r="AC59" s="5"/>
      <c r="AD59" s="5"/>
      <c r="AE59" s="5"/>
      <c r="AF59" s="5"/>
      <c r="AG59" s="69"/>
      <c r="AH59" s="18"/>
      <c r="AI59" s="80"/>
    </row>
    <row r="60" spans="3:35" ht="15" hidden="1" customHeight="1" x14ac:dyDescent="0.2">
      <c r="C60" s="15">
        <v>45962</v>
      </c>
      <c r="D60" s="12" t="s">
        <v>14</v>
      </c>
      <c r="E60" s="17">
        <v>561947</v>
      </c>
      <c r="F60" s="12" t="s">
        <v>14</v>
      </c>
      <c r="G60" s="12" t="s">
        <v>134</v>
      </c>
      <c r="S60" s="18"/>
      <c r="T60" s="18"/>
      <c r="U60" s="18"/>
      <c r="V60" s="18"/>
      <c r="W60" s="18"/>
      <c r="X60" s="18"/>
      <c r="Z60" s="8"/>
      <c r="AA60" s="34"/>
      <c r="AB60" s="5"/>
      <c r="AC60" s="5"/>
      <c r="AD60" s="5"/>
      <c r="AE60" s="5"/>
      <c r="AF60" s="5"/>
      <c r="AG60" s="69"/>
      <c r="AH60" s="18"/>
      <c r="AI60" s="80"/>
    </row>
    <row r="61" spans="3:35" ht="15" hidden="1" customHeight="1" x14ac:dyDescent="0.2">
      <c r="C61" s="15">
        <v>45962</v>
      </c>
      <c r="D61" s="12" t="s">
        <v>57</v>
      </c>
      <c r="E61" s="17">
        <v>881.87</v>
      </c>
      <c r="F61" s="12" t="s">
        <v>24</v>
      </c>
      <c r="G61" s="12" t="s">
        <v>134</v>
      </c>
      <c r="S61" s="18"/>
      <c r="T61" s="18"/>
      <c r="U61" s="18"/>
      <c r="V61" s="18"/>
      <c r="W61" s="18"/>
      <c r="X61" s="18"/>
      <c r="Z61" s="8"/>
      <c r="AA61" s="34"/>
      <c r="AB61" s="5"/>
      <c r="AC61" s="5"/>
      <c r="AD61" s="5"/>
      <c r="AE61" s="5"/>
      <c r="AF61" s="5"/>
      <c r="AG61" s="69"/>
      <c r="AH61" s="18"/>
      <c r="AI61" s="80"/>
    </row>
    <row r="62" spans="3:35" ht="15" hidden="1" customHeight="1" x14ac:dyDescent="0.2">
      <c r="C62" s="15">
        <v>45992</v>
      </c>
      <c r="D62" s="12" t="s">
        <v>24</v>
      </c>
      <c r="E62" s="17">
        <v>5.3387000000000002</v>
      </c>
      <c r="F62" s="12" t="s">
        <v>24</v>
      </c>
      <c r="G62" s="12" t="s">
        <v>133</v>
      </c>
      <c r="S62" s="18"/>
      <c r="T62" s="18"/>
      <c r="U62" s="18"/>
      <c r="V62" s="18"/>
      <c r="W62" s="18"/>
      <c r="X62" s="18"/>
      <c r="Z62" s="8"/>
      <c r="AA62" s="34"/>
      <c r="AB62" s="5"/>
      <c r="AC62" s="5"/>
      <c r="AD62" s="5"/>
      <c r="AE62" s="5"/>
      <c r="AF62" s="5"/>
      <c r="AG62" s="69"/>
      <c r="AH62" s="18"/>
      <c r="AI62" s="80"/>
    </row>
    <row r="63" spans="3:35" ht="15" hidden="1" customHeight="1" x14ac:dyDescent="0.2">
      <c r="C63" s="15">
        <v>45992</v>
      </c>
      <c r="D63" s="12" t="s">
        <v>124</v>
      </c>
      <c r="E63" s="17">
        <v>1</v>
      </c>
      <c r="F63" s="12" t="s">
        <v>124</v>
      </c>
      <c r="G63" s="12" t="s">
        <v>133</v>
      </c>
      <c r="S63" s="18"/>
      <c r="T63" s="18"/>
      <c r="U63" s="18"/>
      <c r="V63" s="18"/>
      <c r="W63" s="18"/>
      <c r="X63" s="18"/>
      <c r="Z63" s="8"/>
      <c r="AA63" s="34"/>
      <c r="AB63" s="5"/>
      <c r="AC63" s="5"/>
      <c r="AD63" s="5"/>
      <c r="AE63" s="5"/>
      <c r="AF63" s="5"/>
      <c r="AG63" s="69"/>
      <c r="AH63" s="18"/>
      <c r="AI63" s="80"/>
    </row>
    <row r="64" spans="3:35" ht="15" hidden="1" customHeight="1" x14ac:dyDescent="0.2">
      <c r="C64" s="15">
        <v>45992</v>
      </c>
      <c r="D64" s="12" t="s">
        <v>72</v>
      </c>
      <c r="E64" s="17">
        <v>448.18386500000003</v>
      </c>
      <c r="F64" s="12" t="s">
        <v>24</v>
      </c>
      <c r="G64" s="12" t="s">
        <v>135</v>
      </c>
      <c r="S64" s="18"/>
      <c r="T64" s="18"/>
      <c r="U64" s="18"/>
      <c r="V64" s="18"/>
      <c r="W64" s="18"/>
      <c r="X64" s="18"/>
      <c r="Z64" s="8"/>
      <c r="AA64" s="34"/>
      <c r="AB64" s="5"/>
      <c r="AC64" s="5"/>
      <c r="AD64" s="5"/>
      <c r="AE64" s="5"/>
      <c r="AF64" s="5"/>
      <c r="AG64" s="69"/>
      <c r="AH64" s="18"/>
      <c r="AI64" s="80"/>
    </row>
    <row r="65" spans="3:35" ht="15" hidden="1" customHeight="1" x14ac:dyDescent="0.2">
      <c r="C65" s="15">
        <v>45992</v>
      </c>
      <c r="D65" s="12" t="s">
        <v>73</v>
      </c>
      <c r="E65" s="17">
        <v>3371.20112776</v>
      </c>
      <c r="F65" s="12" t="s">
        <v>24</v>
      </c>
      <c r="G65" s="12" t="s">
        <v>135</v>
      </c>
      <c r="S65" s="18"/>
      <c r="T65" s="18"/>
      <c r="U65" s="18"/>
      <c r="V65" s="18"/>
      <c r="W65" s="18"/>
      <c r="X65" s="18"/>
      <c r="Z65" s="8"/>
      <c r="AA65" s="34"/>
      <c r="AB65" s="5"/>
      <c r="AC65" s="5"/>
      <c r="AD65" s="5"/>
      <c r="AE65" s="5"/>
      <c r="AF65" s="5"/>
      <c r="AG65" s="69"/>
      <c r="AH65" s="18"/>
      <c r="AI65" s="80"/>
    </row>
    <row r="66" spans="3:35" ht="15" hidden="1" customHeight="1" x14ac:dyDescent="0.2">
      <c r="C66" s="15">
        <v>45992</v>
      </c>
      <c r="D66" s="12" t="s">
        <v>71</v>
      </c>
      <c r="E66" s="17">
        <v>504.34698900000001</v>
      </c>
      <c r="F66" s="12" t="s">
        <v>24</v>
      </c>
      <c r="G66" s="12" t="s">
        <v>135</v>
      </c>
      <c r="S66" s="18"/>
      <c r="T66" s="18"/>
      <c r="U66" s="18"/>
      <c r="V66" s="18"/>
      <c r="W66" s="18"/>
      <c r="X66" s="18"/>
      <c r="Z66" s="8"/>
      <c r="AA66" s="34"/>
      <c r="AB66" s="5"/>
      <c r="AC66" s="5"/>
      <c r="AD66" s="5"/>
      <c r="AE66" s="5"/>
      <c r="AF66" s="5"/>
      <c r="AG66" s="69"/>
      <c r="AH66" s="18"/>
      <c r="AI66" s="80"/>
    </row>
    <row r="67" spans="3:35" ht="15" hidden="1" customHeight="1" x14ac:dyDescent="0.2">
      <c r="C67" s="15">
        <v>45992</v>
      </c>
      <c r="D67" s="12" t="s">
        <v>14</v>
      </c>
      <c r="E67" s="17">
        <v>482135</v>
      </c>
      <c r="F67" s="12" t="s">
        <v>14</v>
      </c>
      <c r="G67" s="12" t="s">
        <v>134</v>
      </c>
      <c r="S67" s="18"/>
      <c r="T67" s="18"/>
      <c r="U67" s="18"/>
      <c r="V67" s="18"/>
      <c r="W67" s="18"/>
      <c r="X67" s="18"/>
      <c r="Z67" s="8"/>
      <c r="AA67" s="34"/>
      <c r="AB67" s="5"/>
      <c r="AC67" s="5"/>
      <c r="AD67" s="5"/>
      <c r="AE67" s="5"/>
      <c r="AF67" s="5"/>
      <c r="AG67" s="69"/>
      <c r="AH67" s="18"/>
      <c r="AI67" s="80"/>
    </row>
    <row r="68" spans="3:35" ht="15" hidden="1" customHeight="1" x14ac:dyDescent="0.2">
      <c r="C68" s="15">
        <v>45992</v>
      </c>
      <c r="D68" s="12" t="s">
        <v>57</v>
      </c>
      <c r="E68" s="17">
        <v>720.79</v>
      </c>
      <c r="F68" s="12" t="s">
        <v>24</v>
      </c>
      <c r="G68" s="12" t="s">
        <v>134</v>
      </c>
      <c r="S68" s="18"/>
      <c r="T68" s="18"/>
      <c r="U68" s="18"/>
      <c r="V68" s="18"/>
      <c r="W68" s="18"/>
      <c r="X68" s="18"/>
      <c r="Z68" s="8"/>
      <c r="AA68" s="34"/>
      <c r="AB68" s="5"/>
      <c r="AC68" s="5"/>
      <c r="AD68" s="5"/>
      <c r="AE68" s="5"/>
      <c r="AF68" s="5"/>
      <c r="AG68" s="69"/>
      <c r="AH68" s="18"/>
      <c r="AI68" s="80"/>
    </row>
    <row r="69" spans="3:35" ht="15" hidden="1" customHeight="1" x14ac:dyDescent="0.2">
      <c r="C69" s="15">
        <v>46023</v>
      </c>
      <c r="D69" s="12" t="s">
        <v>24</v>
      </c>
      <c r="E69" s="17">
        <v>5.2144000000000004</v>
      </c>
      <c r="F69" s="12" t="s">
        <v>24</v>
      </c>
      <c r="G69" s="12" t="s">
        <v>133</v>
      </c>
      <c r="S69" s="18"/>
      <c r="T69" s="18"/>
      <c r="U69" s="18"/>
      <c r="V69" s="18"/>
      <c r="W69" s="18"/>
      <c r="X69" s="18"/>
      <c r="Z69" s="8"/>
      <c r="AA69" s="34"/>
      <c r="AB69" s="5"/>
      <c r="AC69" s="5"/>
      <c r="AD69" s="5"/>
      <c r="AE69" s="5"/>
      <c r="AF69" s="5"/>
      <c r="AG69" s="69"/>
      <c r="AH69" s="18"/>
      <c r="AI69" s="80"/>
    </row>
    <row r="70" spans="3:35" ht="15" hidden="1" customHeight="1" x14ac:dyDescent="0.2">
      <c r="C70" s="15">
        <v>46023</v>
      </c>
      <c r="D70" s="12" t="s">
        <v>124</v>
      </c>
      <c r="E70" s="17">
        <v>1</v>
      </c>
      <c r="F70" s="12" t="s">
        <v>124</v>
      </c>
      <c r="G70" s="12" t="s">
        <v>133</v>
      </c>
      <c r="S70" s="18"/>
      <c r="T70" s="18"/>
      <c r="U70" s="18"/>
      <c r="V70" s="18"/>
      <c r="W70" s="18"/>
      <c r="X70" s="18"/>
      <c r="Z70" s="8"/>
      <c r="AA70" s="34"/>
      <c r="AB70" s="5"/>
      <c r="AC70" s="5"/>
      <c r="AD70" s="5"/>
      <c r="AE70" s="5"/>
      <c r="AF70" s="5"/>
      <c r="AG70" s="69"/>
      <c r="AH70" s="18"/>
      <c r="AI70" s="80"/>
    </row>
    <row r="71" spans="3:35" ht="15" hidden="1" customHeight="1" x14ac:dyDescent="0.2">
      <c r="C71" s="15">
        <v>46023</v>
      </c>
      <c r="D71" s="12" t="s">
        <v>72</v>
      </c>
      <c r="E71" s="17">
        <v>546.31268799999998</v>
      </c>
      <c r="F71" s="12" t="s">
        <v>24</v>
      </c>
      <c r="G71" s="12" t="s">
        <v>135</v>
      </c>
      <c r="S71" s="18"/>
      <c r="T71" s="18"/>
      <c r="U71" s="18"/>
      <c r="V71" s="18"/>
      <c r="W71" s="18"/>
      <c r="X71" s="18"/>
      <c r="Z71" s="8"/>
      <c r="AA71" s="34"/>
      <c r="AB71" s="5"/>
      <c r="AC71" s="5"/>
      <c r="AD71" s="5"/>
      <c r="AE71" s="5"/>
      <c r="AF71" s="5"/>
      <c r="AG71" s="69"/>
      <c r="AH71" s="18"/>
      <c r="AI71" s="80"/>
    </row>
    <row r="72" spans="3:35" ht="15" hidden="1" customHeight="1" x14ac:dyDescent="0.2">
      <c r="C72" s="15">
        <v>46023</v>
      </c>
      <c r="D72" s="12" t="s">
        <v>73</v>
      </c>
      <c r="E72" s="17">
        <v>3333.04448</v>
      </c>
      <c r="F72" s="12" t="s">
        <v>24</v>
      </c>
      <c r="G72" s="12" t="s">
        <v>135</v>
      </c>
      <c r="S72" s="18"/>
      <c r="T72" s="18"/>
      <c r="U72" s="18"/>
      <c r="V72" s="18"/>
      <c r="W72" s="18"/>
      <c r="X72" s="18"/>
      <c r="Z72" s="8"/>
      <c r="AA72" s="34"/>
      <c r="AB72" s="5"/>
      <c r="AC72" s="5"/>
      <c r="AD72" s="5"/>
      <c r="AE72" s="5"/>
      <c r="AF72" s="5"/>
      <c r="AG72" s="69"/>
      <c r="AH72" s="18"/>
      <c r="AI72" s="80"/>
    </row>
    <row r="73" spans="3:35" ht="15" hidden="1" customHeight="1" x14ac:dyDescent="0.2">
      <c r="C73" s="15">
        <v>46023</v>
      </c>
      <c r="D73" s="12" t="s">
        <v>71</v>
      </c>
      <c r="E73" s="17">
        <v>530.82592</v>
      </c>
      <c r="F73" s="12" t="s">
        <v>24</v>
      </c>
      <c r="G73" s="12" t="s">
        <v>135</v>
      </c>
      <c r="S73" s="18"/>
      <c r="T73" s="18"/>
      <c r="U73" s="18"/>
      <c r="V73" s="18"/>
      <c r="W73" s="18"/>
      <c r="X73" s="18"/>
      <c r="Z73" s="8"/>
      <c r="AA73" s="34"/>
      <c r="AB73" s="5"/>
      <c r="AC73" s="5"/>
      <c r="AD73" s="5"/>
      <c r="AE73" s="5"/>
      <c r="AF73" s="5"/>
      <c r="AG73" s="69"/>
      <c r="AH73" s="18"/>
      <c r="AI73" s="80"/>
    </row>
    <row r="74" spans="3:35" ht="15" hidden="1" customHeight="1" x14ac:dyDescent="0.2">
      <c r="C74" s="15">
        <v>46023</v>
      </c>
      <c r="D74" s="12" t="s">
        <v>14</v>
      </c>
      <c r="E74" s="17">
        <v>466870</v>
      </c>
      <c r="F74" s="12" t="s">
        <v>14</v>
      </c>
      <c r="G74" s="12" t="s">
        <v>134</v>
      </c>
      <c r="S74" s="18"/>
      <c r="T74" s="18"/>
      <c r="U74" s="18"/>
      <c r="V74" s="18"/>
      <c r="W74" s="18"/>
      <c r="X74" s="18"/>
      <c r="Z74" s="8"/>
      <c r="AA74" s="34"/>
      <c r="AB74" s="5"/>
      <c r="AC74" s="5"/>
      <c r="AD74" s="5"/>
      <c r="AE74" s="5"/>
      <c r="AF74" s="5"/>
      <c r="AG74" s="69"/>
      <c r="AH74" s="18"/>
      <c r="AI74" s="80"/>
    </row>
    <row r="75" spans="3:35" ht="15" hidden="1" customHeight="1" x14ac:dyDescent="0.2">
      <c r="C75" s="15">
        <v>46023</v>
      </c>
      <c r="D75" s="12" t="s">
        <v>57</v>
      </c>
      <c r="E75" s="17">
        <v>656.21</v>
      </c>
      <c r="F75" s="12" t="s">
        <v>24</v>
      </c>
      <c r="G75" s="12" t="s">
        <v>134</v>
      </c>
      <c r="S75" s="18"/>
      <c r="T75" s="18"/>
      <c r="U75" s="18"/>
      <c r="V75" s="18"/>
      <c r="W75" s="18"/>
      <c r="X75" s="18"/>
      <c r="Z75" s="8"/>
      <c r="AA75" s="34"/>
      <c r="AB75" s="5"/>
      <c r="AC75" s="5"/>
      <c r="AD75" s="5"/>
      <c r="AE75" s="5"/>
      <c r="AF75" s="5"/>
      <c r="AG75" s="69"/>
      <c r="AH75" s="18"/>
      <c r="AI75" s="80"/>
    </row>
    <row r="76" spans="3:35" ht="15" hidden="1" customHeight="1" x14ac:dyDescent="0.2">
      <c r="C76" s="15">
        <v>46054</v>
      </c>
      <c r="D76" s="12" t="s">
        <v>24</v>
      </c>
      <c r="E76" s="17">
        <v>5.2220000000000004</v>
      </c>
      <c r="F76" s="12" t="s">
        <v>24</v>
      </c>
      <c r="G76" s="12" t="s">
        <v>133</v>
      </c>
      <c r="S76" s="18"/>
      <c r="T76" s="18"/>
      <c r="U76" s="18"/>
      <c r="V76" s="18"/>
      <c r="W76" s="18"/>
      <c r="X76" s="18"/>
      <c r="Z76" s="8"/>
      <c r="AA76" s="34"/>
      <c r="AB76" s="5"/>
      <c r="AC76" s="5"/>
      <c r="AD76" s="5"/>
      <c r="AE76" s="5"/>
      <c r="AF76" s="5"/>
      <c r="AG76" s="69"/>
      <c r="AH76" s="18"/>
      <c r="AI76" s="80"/>
    </row>
    <row r="77" spans="3:35" ht="15" hidden="1" customHeight="1" x14ac:dyDescent="0.2">
      <c r="C77" s="15">
        <v>46054</v>
      </c>
      <c r="D77" s="12" t="s">
        <v>124</v>
      </c>
      <c r="E77" s="17">
        <v>1</v>
      </c>
      <c r="F77" s="12" t="s">
        <v>124</v>
      </c>
      <c r="G77" s="12" t="s">
        <v>133</v>
      </c>
      <c r="S77" s="18"/>
      <c r="T77" s="18"/>
      <c r="U77" s="18"/>
      <c r="V77" s="18"/>
      <c r="W77" s="18"/>
      <c r="X77" s="18"/>
      <c r="Z77" s="8"/>
      <c r="AA77" s="34"/>
      <c r="AB77" s="5"/>
      <c r="AC77" s="5"/>
      <c r="AD77" s="5"/>
      <c r="AE77" s="5"/>
      <c r="AF77" s="5"/>
      <c r="AG77" s="69"/>
      <c r="AH77" s="18"/>
      <c r="AI77" s="80"/>
    </row>
    <row r="78" spans="3:35" ht="15" hidden="1" customHeight="1" x14ac:dyDescent="0.2">
      <c r="C78" s="15">
        <v>46054</v>
      </c>
      <c r="D78" s="12" t="s">
        <v>72</v>
      </c>
      <c r="E78" s="17">
        <v>516.66467999999998</v>
      </c>
      <c r="F78" s="12" t="s">
        <v>24</v>
      </c>
      <c r="G78" s="12" t="s">
        <v>135</v>
      </c>
      <c r="S78" s="18"/>
      <c r="T78" s="18"/>
      <c r="U78" s="18"/>
      <c r="V78" s="18"/>
      <c r="W78" s="18"/>
      <c r="X78" s="18"/>
      <c r="Z78" s="8"/>
      <c r="AA78" s="34"/>
      <c r="AB78" s="5"/>
      <c r="AC78" s="5"/>
      <c r="AD78" s="5"/>
      <c r="AE78" s="5"/>
      <c r="AF78" s="5"/>
      <c r="AG78" s="69"/>
      <c r="AH78" s="18"/>
      <c r="AI78" s="80"/>
    </row>
    <row r="79" spans="3:35" ht="15" hidden="1" customHeight="1" x14ac:dyDescent="0.2">
      <c r="C79" s="15">
        <v>46054</v>
      </c>
      <c r="D79" s="12" t="s">
        <v>73</v>
      </c>
      <c r="E79" s="17">
        <v>3305.5782199999999</v>
      </c>
      <c r="F79" s="12" t="s">
        <v>24</v>
      </c>
      <c r="G79" s="12" t="s">
        <v>135</v>
      </c>
      <c r="S79" s="18"/>
      <c r="T79" s="18"/>
      <c r="U79" s="18"/>
      <c r="V79" s="18"/>
      <c r="W79" s="18"/>
      <c r="X79" s="18"/>
      <c r="Z79" s="8"/>
      <c r="AA79" s="34"/>
      <c r="AB79" s="5"/>
      <c r="AC79" s="5"/>
      <c r="AD79" s="5"/>
      <c r="AE79" s="5"/>
      <c r="AF79" s="5"/>
      <c r="AG79" s="69"/>
      <c r="AH79" s="18"/>
      <c r="AI79" s="80"/>
    </row>
    <row r="80" spans="3:35" ht="15" hidden="1" customHeight="1" x14ac:dyDescent="0.2">
      <c r="C80" s="15">
        <v>46054</v>
      </c>
      <c r="D80" s="12" t="s">
        <v>71</v>
      </c>
      <c r="E80" s="17">
        <v>481.31173999999999</v>
      </c>
      <c r="F80" s="12" t="s">
        <v>24</v>
      </c>
      <c r="G80" s="12" t="s">
        <v>135</v>
      </c>
      <c r="S80" s="18"/>
      <c r="T80" s="18"/>
      <c r="U80" s="18"/>
      <c r="V80" s="18"/>
      <c r="W80" s="18"/>
      <c r="X80" s="18"/>
      <c r="Z80" s="8"/>
      <c r="AA80" s="34"/>
      <c r="AB80" s="5"/>
      <c r="AC80" s="5"/>
      <c r="AD80" s="5"/>
      <c r="AE80" s="5"/>
      <c r="AF80" s="5"/>
      <c r="AG80" s="69"/>
      <c r="AH80" s="18"/>
      <c r="AI80" s="80"/>
    </row>
    <row r="81" spans="3:35" ht="15" hidden="1" customHeight="1" x14ac:dyDescent="0.2">
      <c r="C81" s="15">
        <v>46054</v>
      </c>
      <c r="D81" s="12" t="s">
        <v>14</v>
      </c>
      <c r="E81" s="17">
        <v>354230</v>
      </c>
      <c r="F81" s="12" t="s">
        <v>14</v>
      </c>
      <c r="G81" s="12" t="s">
        <v>134</v>
      </c>
      <c r="S81" s="18"/>
      <c r="T81" s="18"/>
      <c r="U81" s="18"/>
      <c r="V81" s="18"/>
      <c r="W81" s="18"/>
      <c r="X81" s="18"/>
      <c r="Z81" s="8"/>
      <c r="AA81" s="34"/>
      <c r="AB81" s="5"/>
      <c r="AC81" s="5"/>
      <c r="AD81" s="5"/>
      <c r="AE81" s="5"/>
      <c r="AF81" s="5"/>
      <c r="AG81" s="69"/>
      <c r="AH81" s="18"/>
      <c r="AI81" s="80"/>
    </row>
    <row r="82" spans="3:35" ht="15" hidden="1" customHeight="1" x14ac:dyDescent="0.2">
      <c r="C82" s="15">
        <v>46054</v>
      </c>
      <c r="D82" s="12" t="s">
        <v>57</v>
      </c>
      <c r="E82" s="17">
        <v>436.27</v>
      </c>
      <c r="F82" s="12" t="s">
        <v>24</v>
      </c>
      <c r="G82" s="12" t="s">
        <v>134</v>
      </c>
      <c r="S82" s="18"/>
      <c r="T82" s="18"/>
      <c r="U82" s="18"/>
      <c r="V82" s="18"/>
      <c r="W82" s="18"/>
      <c r="X82" s="18"/>
      <c r="Z82" s="8"/>
      <c r="AA82" s="34"/>
      <c r="AB82" s="5"/>
      <c r="AC82" s="5"/>
      <c r="AD82" s="5"/>
      <c r="AE82" s="5"/>
      <c r="AF82" s="5"/>
      <c r="AG82" s="69"/>
      <c r="AH82" s="18"/>
      <c r="AI82" s="80"/>
    </row>
    <row r="83" spans="3:35" ht="15" hidden="1" customHeight="1" x14ac:dyDescent="0.2">
      <c r="C83" s="15">
        <v>46054</v>
      </c>
      <c r="D83" s="12" t="s">
        <v>80</v>
      </c>
      <c r="E83" s="16">
        <v>260.16003999999998</v>
      </c>
      <c r="F83" s="12" t="s">
        <v>24</v>
      </c>
      <c r="G83" s="12" t="s">
        <v>135</v>
      </c>
      <c r="S83" s="18"/>
      <c r="T83" s="18"/>
      <c r="U83" s="18"/>
      <c r="V83" s="18"/>
      <c r="W83" s="18"/>
      <c r="X83" s="18"/>
      <c r="Z83" s="8"/>
      <c r="AA83" s="34"/>
      <c r="AB83" s="5"/>
      <c r="AC83" s="5"/>
      <c r="AD83" s="5"/>
      <c r="AE83" s="5"/>
      <c r="AF83" s="5"/>
      <c r="AG83" s="69"/>
      <c r="AH83" s="18"/>
      <c r="AI83" s="80"/>
    </row>
    <row r="84" spans="3:35" ht="15" hidden="1" customHeight="1" x14ac:dyDescent="0.2">
      <c r="C84" s="15">
        <v>46054</v>
      </c>
      <c r="D84" s="12" t="s">
        <v>78</v>
      </c>
      <c r="E84" s="16">
        <v>386.37578000000002</v>
      </c>
      <c r="F84" s="12" t="s">
        <v>24</v>
      </c>
      <c r="G84" s="12" t="s">
        <v>135</v>
      </c>
      <c r="S84" s="18"/>
      <c r="T84" s="18"/>
      <c r="U84" s="18"/>
      <c r="V84" s="18"/>
      <c r="W84" s="18"/>
      <c r="X84" s="18"/>
      <c r="Z84" s="8"/>
      <c r="AA84" s="34"/>
      <c r="AB84" s="5"/>
      <c r="AC84" s="5"/>
      <c r="AD84" s="5"/>
      <c r="AE84" s="5"/>
      <c r="AF84" s="5"/>
      <c r="AG84" s="69"/>
      <c r="AH84" s="18"/>
      <c r="AI84" s="80"/>
    </row>
    <row r="85" spans="3:35" ht="15" hidden="1" customHeight="1" x14ac:dyDescent="0.2">
      <c r="C85" s="15">
        <v>46082</v>
      </c>
      <c r="D85" s="12" t="s">
        <v>24</v>
      </c>
      <c r="E85" s="17">
        <v>5.1883999999999997</v>
      </c>
      <c r="F85" s="12" t="s">
        <v>24</v>
      </c>
      <c r="G85" s="12" t="s">
        <v>133</v>
      </c>
      <c r="S85" s="18"/>
      <c r="T85" s="18"/>
      <c r="U85" s="18"/>
      <c r="V85" s="18"/>
      <c r="W85" s="18"/>
      <c r="X85" s="18"/>
      <c r="Z85" s="8"/>
      <c r="AA85" s="34"/>
      <c r="AB85" s="5"/>
      <c r="AC85" s="5"/>
      <c r="AD85" s="5"/>
      <c r="AE85" s="5"/>
      <c r="AF85" s="5"/>
      <c r="AG85" s="69"/>
      <c r="AH85" s="18"/>
      <c r="AI85" s="80"/>
    </row>
    <row r="86" spans="3:35" ht="15" hidden="1" customHeight="1" x14ac:dyDescent="0.2">
      <c r="C86" s="15">
        <v>46082</v>
      </c>
      <c r="D86" s="12" t="s">
        <v>124</v>
      </c>
      <c r="E86" s="17">
        <v>1</v>
      </c>
      <c r="F86" s="12" t="s">
        <v>124</v>
      </c>
      <c r="G86" s="12" t="s">
        <v>133</v>
      </c>
      <c r="S86" s="18"/>
      <c r="T86" s="18"/>
      <c r="U86" s="18"/>
      <c r="V86" s="18"/>
      <c r="W86" s="18"/>
      <c r="X86" s="18"/>
      <c r="Z86" s="8"/>
      <c r="AA86" s="34"/>
      <c r="AB86" s="5"/>
      <c r="AC86" s="5"/>
      <c r="AD86" s="5"/>
      <c r="AE86" s="5"/>
      <c r="AF86" s="5"/>
      <c r="AG86" s="69"/>
      <c r="AH86" s="18"/>
      <c r="AI86" s="80"/>
    </row>
    <row r="87" spans="3:35" ht="15" hidden="1" customHeight="1" x14ac:dyDescent="0.2">
      <c r="C87" s="15">
        <v>46082</v>
      </c>
      <c r="D87" s="12" t="s">
        <v>72</v>
      </c>
      <c r="E87" s="17">
        <v>532.22607199999993</v>
      </c>
      <c r="F87" s="12" t="s">
        <v>24</v>
      </c>
      <c r="G87" s="12" t="s">
        <v>135</v>
      </c>
      <c r="S87" s="18"/>
      <c r="T87" s="18"/>
      <c r="U87" s="18"/>
      <c r="V87" s="18"/>
      <c r="W87" s="18"/>
      <c r="X87" s="18"/>
      <c r="Z87" s="8"/>
      <c r="AA87" s="34"/>
      <c r="AB87" s="5"/>
      <c r="AC87" s="5"/>
      <c r="AD87" s="5"/>
      <c r="AE87" s="5"/>
      <c r="AF87" s="5"/>
      <c r="AG87" s="69"/>
      <c r="AH87" s="18"/>
      <c r="AI87" s="80"/>
    </row>
    <row r="88" spans="3:35" ht="15" hidden="1" customHeight="1" x14ac:dyDescent="0.2">
      <c r="C88" s="15">
        <v>46082</v>
      </c>
      <c r="D88" s="12" t="s">
        <v>73</v>
      </c>
      <c r="E88" s="17">
        <v>3229.6233480000001</v>
      </c>
      <c r="F88" s="12" t="s">
        <v>24</v>
      </c>
      <c r="G88" s="12" t="s">
        <v>135</v>
      </c>
      <c r="S88" s="18"/>
      <c r="T88" s="18"/>
      <c r="U88" s="18"/>
      <c r="V88" s="18"/>
      <c r="W88" s="18"/>
      <c r="X88" s="18"/>
      <c r="Z88" s="8"/>
      <c r="AA88" s="34"/>
      <c r="AB88" s="5"/>
      <c r="AC88" s="5"/>
      <c r="AD88" s="5"/>
      <c r="AE88" s="5"/>
      <c r="AF88" s="5"/>
      <c r="AG88" s="69"/>
      <c r="AH88" s="18"/>
      <c r="AI88" s="80"/>
    </row>
    <row r="89" spans="3:35" ht="15" hidden="1" customHeight="1" x14ac:dyDescent="0.2">
      <c r="C89" s="15">
        <v>46082</v>
      </c>
      <c r="D89" s="12" t="s">
        <v>71</v>
      </c>
      <c r="E89" s="17">
        <v>461.56006400000001</v>
      </c>
      <c r="F89" s="12" t="s">
        <v>24</v>
      </c>
      <c r="G89" s="12" t="s">
        <v>135</v>
      </c>
      <c r="S89" s="18"/>
      <c r="T89" s="18"/>
      <c r="U89" s="18"/>
      <c r="V89" s="18"/>
      <c r="W89" s="18"/>
      <c r="X89" s="18"/>
      <c r="Z89" s="8"/>
      <c r="AA89" s="34"/>
      <c r="AB89" s="5"/>
      <c r="AC89" s="5"/>
      <c r="AD89" s="5"/>
      <c r="AE89" s="5"/>
      <c r="AF89" s="5"/>
      <c r="AG89" s="69"/>
      <c r="AH89" s="18"/>
      <c r="AI89" s="80"/>
    </row>
    <row r="90" spans="3:35" ht="15" hidden="1" customHeight="1" x14ac:dyDescent="0.2">
      <c r="C90" s="15">
        <v>46082</v>
      </c>
      <c r="D90" s="12" t="s">
        <v>80</v>
      </c>
      <c r="E90" s="17">
        <v>268.13651199999998</v>
      </c>
      <c r="F90" s="12" t="s">
        <v>24</v>
      </c>
      <c r="G90" s="12" t="s">
        <v>135</v>
      </c>
      <c r="S90" s="18"/>
      <c r="T90" s="18"/>
      <c r="U90" s="18"/>
      <c r="V90" s="18"/>
      <c r="W90" s="18"/>
      <c r="X90" s="18"/>
      <c r="Z90" s="8"/>
      <c r="AA90" s="34"/>
      <c r="AB90" s="5"/>
      <c r="AC90" s="5"/>
      <c r="AD90" s="5"/>
      <c r="AE90" s="5"/>
      <c r="AF90" s="5"/>
      <c r="AG90" s="69"/>
      <c r="AH90" s="18"/>
      <c r="AI90" s="80"/>
    </row>
    <row r="91" spans="3:35" ht="15" hidden="1" customHeight="1" x14ac:dyDescent="0.2">
      <c r="C91" s="15">
        <v>46082</v>
      </c>
      <c r="D91" s="12" t="s">
        <v>78</v>
      </c>
      <c r="E91" s="17">
        <v>422.23199199999988</v>
      </c>
      <c r="F91" s="12" t="s">
        <v>24</v>
      </c>
      <c r="G91" s="12" t="s">
        <v>135</v>
      </c>
      <c r="S91" s="18"/>
      <c r="T91" s="18"/>
      <c r="U91" s="18"/>
      <c r="V91" s="18"/>
      <c r="W91" s="18"/>
      <c r="X91" s="18"/>
      <c r="Z91" s="8"/>
      <c r="AA91" s="34"/>
      <c r="AB91" s="5"/>
      <c r="AC91" s="5"/>
      <c r="AD91" s="5"/>
      <c r="AE91" s="5"/>
      <c r="AF91" s="5"/>
      <c r="AG91" s="69"/>
      <c r="AH91" s="18"/>
      <c r="AI91" s="80"/>
    </row>
    <row r="92" spans="3:35" ht="15" hidden="1" customHeight="1" x14ac:dyDescent="0.2">
      <c r="C92" s="15">
        <v>46082</v>
      </c>
      <c r="D92" s="12" t="s">
        <v>14</v>
      </c>
      <c r="E92" s="17">
        <v>367285</v>
      </c>
      <c r="F92" s="12" t="s">
        <v>14</v>
      </c>
      <c r="G92" s="12" t="s">
        <v>134</v>
      </c>
      <c r="S92" s="18"/>
      <c r="T92" s="18"/>
      <c r="U92" s="18"/>
      <c r="V92" s="18"/>
      <c r="W92" s="18"/>
      <c r="X92" s="18"/>
      <c r="Z92" s="8"/>
      <c r="AA92" s="34"/>
      <c r="AB92" s="5"/>
      <c r="AC92" s="5"/>
      <c r="AD92" s="5"/>
      <c r="AE92" s="5"/>
      <c r="AF92" s="5"/>
      <c r="AG92" s="69"/>
      <c r="AH92" s="18"/>
      <c r="AI92" s="80"/>
    </row>
    <row r="93" spans="3:35" ht="15" hidden="1" customHeight="1" x14ac:dyDescent="0.2">
      <c r="C93" s="15">
        <v>46082</v>
      </c>
      <c r="D93" s="12" t="s">
        <v>57</v>
      </c>
      <c r="E93" s="17">
        <v>450.02</v>
      </c>
      <c r="F93" s="12" t="s">
        <v>24</v>
      </c>
      <c r="G93" s="12" t="s">
        <v>134</v>
      </c>
      <c r="S93" s="18"/>
      <c r="T93" s="18"/>
      <c r="U93" s="18"/>
      <c r="V93" s="18"/>
      <c r="W93" s="18"/>
      <c r="X93" s="18"/>
      <c r="Z93" s="8"/>
      <c r="AA93" s="34"/>
      <c r="AB93" s="5"/>
      <c r="AC93" s="5"/>
      <c r="AD93" s="5"/>
      <c r="AE93" s="5"/>
      <c r="AF93" s="5"/>
      <c r="AG93" s="69"/>
      <c r="AH93" s="18"/>
      <c r="AI93" s="80"/>
    </row>
    <row r="94" spans="3:35" ht="15" hidden="1" customHeight="1" x14ac:dyDescent="0.2">
      <c r="C94" s="15">
        <v>46113</v>
      </c>
      <c r="D94" s="12" t="s">
        <v>24</v>
      </c>
      <c r="E94" s="17">
        <v>4.9702999999999999</v>
      </c>
      <c r="F94" s="12" t="s">
        <v>24</v>
      </c>
      <c r="G94" s="12" t="s">
        <v>133</v>
      </c>
      <c r="S94" s="18"/>
      <c r="T94" s="18"/>
      <c r="U94" s="18"/>
      <c r="V94" s="18"/>
      <c r="W94" s="18"/>
      <c r="X94" s="18"/>
      <c r="Z94" s="8"/>
      <c r="AA94" s="34"/>
      <c r="AB94" s="5"/>
      <c r="AC94" s="5"/>
      <c r="AD94" s="5"/>
      <c r="AE94" s="5"/>
      <c r="AF94" s="5"/>
      <c r="AG94" s="69"/>
      <c r="AH94" s="18"/>
      <c r="AI94" s="80"/>
    </row>
    <row r="95" spans="3:35" ht="15" hidden="1" customHeight="1" x14ac:dyDescent="0.2">
      <c r="C95" s="15">
        <v>46113</v>
      </c>
      <c r="D95" s="12" t="s">
        <v>124</v>
      </c>
      <c r="E95" s="17">
        <v>1</v>
      </c>
      <c r="F95" s="12" t="s">
        <v>124</v>
      </c>
      <c r="G95" s="12" t="s">
        <v>133</v>
      </c>
      <c r="S95" s="18"/>
      <c r="T95" s="18"/>
      <c r="U95" s="18"/>
      <c r="V95" s="18"/>
      <c r="W95" s="18"/>
      <c r="X95" s="18"/>
      <c r="Z95" s="8"/>
      <c r="AA95" s="34"/>
      <c r="AB95" s="5"/>
      <c r="AC95" s="5"/>
      <c r="AD95" s="5"/>
      <c r="AE95" s="5"/>
      <c r="AF95" s="5"/>
      <c r="AG95" s="69"/>
      <c r="AH95" s="18"/>
      <c r="AI95" s="80"/>
    </row>
    <row r="96" spans="3:35" ht="15" hidden="1" customHeight="1" x14ac:dyDescent="0.2">
      <c r="C96" s="15">
        <v>46113</v>
      </c>
      <c r="D96" s="12" t="s">
        <v>72</v>
      </c>
      <c r="E96" s="17">
        <v>471.13473699999997</v>
      </c>
      <c r="F96" s="12" t="s">
        <v>24</v>
      </c>
      <c r="G96" s="12" t="s">
        <v>135</v>
      </c>
      <c r="S96" s="18"/>
      <c r="T96" s="18"/>
      <c r="U96" s="18"/>
      <c r="V96" s="18"/>
      <c r="W96" s="18"/>
      <c r="X96" s="18"/>
      <c r="Z96" s="8"/>
      <c r="AA96" s="34"/>
      <c r="AB96" s="5"/>
      <c r="AC96" s="5"/>
      <c r="AD96" s="5"/>
      <c r="AE96" s="5"/>
      <c r="AF96" s="5"/>
      <c r="AG96" s="69"/>
      <c r="AH96" s="18"/>
      <c r="AI96" s="80"/>
    </row>
    <row r="97" spans="3:35" ht="15" hidden="1" customHeight="1" x14ac:dyDescent="0.2">
      <c r="C97" s="15">
        <v>46113</v>
      </c>
      <c r="D97" s="12" t="s">
        <v>73</v>
      </c>
      <c r="E97" s="17">
        <v>3150.9216849999998</v>
      </c>
      <c r="F97" s="12" t="s">
        <v>24</v>
      </c>
      <c r="G97" s="12" t="s">
        <v>135</v>
      </c>
      <c r="S97" s="18"/>
      <c r="T97" s="18"/>
      <c r="U97" s="18"/>
      <c r="V97" s="18"/>
      <c r="W97" s="18"/>
      <c r="X97" s="18"/>
      <c r="Z97" s="8"/>
      <c r="AA97" s="34"/>
      <c r="AB97" s="5"/>
      <c r="AC97" s="5"/>
      <c r="AD97" s="5"/>
      <c r="AE97" s="5"/>
      <c r="AF97" s="5"/>
      <c r="AG97" s="69"/>
      <c r="AH97" s="18"/>
      <c r="AI97" s="80"/>
    </row>
    <row r="98" spans="3:35" ht="15" hidden="1" customHeight="1" x14ac:dyDescent="0.2">
      <c r="C98" s="15">
        <v>46113</v>
      </c>
      <c r="D98" s="12" t="s">
        <v>71</v>
      </c>
      <c r="E98" s="17">
        <v>476.05533400000002</v>
      </c>
      <c r="F98" s="12" t="s">
        <v>24</v>
      </c>
      <c r="G98" s="12" t="s">
        <v>135</v>
      </c>
      <c r="S98" s="18"/>
      <c r="T98" s="18"/>
      <c r="U98" s="18"/>
      <c r="V98" s="18"/>
      <c r="W98" s="18"/>
      <c r="X98" s="18"/>
      <c r="Z98" s="8"/>
      <c r="AA98" s="34"/>
      <c r="AB98" s="5"/>
      <c r="AC98" s="5"/>
      <c r="AD98" s="5"/>
      <c r="AE98" s="5"/>
      <c r="AF98" s="5"/>
      <c r="AG98" s="69"/>
      <c r="AH98" s="18"/>
      <c r="AI98" s="80"/>
    </row>
    <row r="99" spans="3:35" ht="15" hidden="1" customHeight="1" x14ac:dyDescent="0.2">
      <c r="C99" s="15">
        <v>46113</v>
      </c>
      <c r="D99" s="12" t="s">
        <v>80</v>
      </c>
      <c r="E99" s="17">
        <v>237.28212199999999</v>
      </c>
      <c r="F99" s="12" t="s">
        <v>24</v>
      </c>
      <c r="G99" s="12" t="s">
        <v>135</v>
      </c>
      <c r="S99" s="18"/>
      <c r="T99" s="18"/>
      <c r="U99" s="18"/>
      <c r="V99" s="18"/>
      <c r="W99" s="18"/>
      <c r="X99" s="18"/>
      <c r="Z99" s="8"/>
      <c r="AA99" s="34"/>
      <c r="AB99" s="5"/>
      <c r="AC99" s="5"/>
      <c r="AD99" s="5"/>
      <c r="AE99" s="5"/>
      <c r="AF99" s="5"/>
      <c r="AG99" s="69"/>
      <c r="AH99" s="18"/>
      <c r="AI99" s="80"/>
    </row>
    <row r="100" spans="3:35" ht="15" hidden="1" customHeight="1" x14ac:dyDescent="0.2">
      <c r="C100" s="15">
        <v>46113</v>
      </c>
      <c r="D100" s="12" t="s">
        <v>78</v>
      </c>
      <c r="E100" s="17">
        <v>369.04477500000002</v>
      </c>
      <c r="F100" s="12" t="s">
        <v>24</v>
      </c>
      <c r="G100" s="12" t="s">
        <v>135</v>
      </c>
      <c r="S100" s="18"/>
      <c r="T100" s="18"/>
      <c r="U100" s="18"/>
      <c r="V100" s="18"/>
      <c r="W100" s="18"/>
      <c r="X100" s="18"/>
      <c r="Z100" s="8"/>
      <c r="AA100" s="34"/>
      <c r="AB100" s="5"/>
      <c r="AC100" s="5"/>
      <c r="AD100" s="5"/>
      <c r="AE100" s="5"/>
      <c r="AF100" s="5"/>
      <c r="AG100" s="69"/>
      <c r="AH100" s="18"/>
      <c r="AI100" s="80"/>
    </row>
    <row r="101" spans="3:35" ht="15" hidden="1" customHeight="1" x14ac:dyDescent="0.2">
      <c r="C101" s="15">
        <v>46113</v>
      </c>
      <c r="D101" s="12" t="s">
        <v>14</v>
      </c>
      <c r="E101" s="17">
        <v>374009</v>
      </c>
      <c r="F101" s="12" t="s">
        <v>14</v>
      </c>
      <c r="G101" s="12" t="s">
        <v>134</v>
      </c>
      <c r="S101" s="18"/>
      <c r="T101" s="18"/>
      <c r="U101" s="18"/>
      <c r="V101" s="18"/>
      <c r="W101" s="18"/>
      <c r="X101" s="18"/>
      <c r="Z101" s="8"/>
      <c r="AA101" s="34"/>
      <c r="AB101" s="5"/>
      <c r="AC101" s="5"/>
      <c r="AD101" s="5"/>
      <c r="AE101" s="5"/>
      <c r="AF101" s="5"/>
      <c r="AG101" s="69"/>
      <c r="AH101" s="18"/>
      <c r="AI101" s="80"/>
    </row>
    <row r="102" spans="3:35" ht="15" hidden="1" customHeight="1" x14ac:dyDescent="0.2">
      <c r="C102" s="15">
        <v>46113</v>
      </c>
      <c r="D102" s="12" t="s">
        <v>57</v>
      </c>
      <c r="E102" s="17">
        <v>432.48</v>
      </c>
      <c r="F102" s="12" t="s">
        <v>24</v>
      </c>
      <c r="G102" s="12" t="s">
        <v>134</v>
      </c>
      <c r="S102" s="18"/>
      <c r="T102" s="18"/>
      <c r="U102" s="18"/>
      <c r="V102" s="18"/>
      <c r="W102" s="18"/>
      <c r="X102" s="18"/>
      <c r="Z102" s="8"/>
      <c r="AA102" s="34"/>
      <c r="AB102" s="5"/>
      <c r="AC102" s="5"/>
      <c r="AD102" s="5"/>
      <c r="AE102" s="5"/>
      <c r="AF102" s="5"/>
      <c r="AG102" s="69"/>
      <c r="AH102" s="18"/>
      <c r="AI102" s="80"/>
    </row>
    <row r="103" spans="3:35" ht="15" hidden="1" customHeight="1" x14ac:dyDescent="0.2">
      <c r="C103" s="15">
        <v>46113</v>
      </c>
      <c r="D103" s="12" t="s">
        <v>84</v>
      </c>
      <c r="E103" s="17">
        <v>280.14999999999998</v>
      </c>
      <c r="F103" s="12" t="s">
        <v>24</v>
      </c>
      <c r="G103" s="12" t="s">
        <v>135</v>
      </c>
      <c r="S103" s="18"/>
      <c r="T103" s="18"/>
      <c r="U103" s="18"/>
      <c r="V103" s="18"/>
      <c r="W103" s="18"/>
      <c r="X103" s="18"/>
      <c r="Z103" s="8"/>
      <c r="AA103" s="34"/>
      <c r="AB103" s="5"/>
      <c r="AC103" s="5"/>
      <c r="AD103" s="5"/>
      <c r="AE103" s="5"/>
      <c r="AF103" s="5"/>
      <c r="AG103" s="69"/>
      <c r="AH103" s="18"/>
      <c r="AI103" s="80"/>
    </row>
    <row r="104" spans="3:35" ht="15" hidden="1" customHeight="1" x14ac:dyDescent="0.2">
      <c r="C104" s="15">
        <v>46143</v>
      </c>
      <c r="D104" s="12" t="s">
        <v>24</v>
      </c>
      <c r="E104" s="17">
        <v>4.9280999999999997</v>
      </c>
      <c r="F104" s="12" t="s">
        <v>24</v>
      </c>
      <c r="G104" s="12" t="s">
        <v>133</v>
      </c>
      <c r="S104" s="18"/>
      <c r="T104" s="18"/>
      <c r="U104" s="18"/>
      <c r="V104" s="18"/>
      <c r="W104" s="18"/>
      <c r="X104" s="18"/>
      <c r="Z104" s="8"/>
      <c r="AA104" s="34"/>
      <c r="AB104" s="5"/>
      <c r="AC104" s="5"/>
      <c r="AD104" s="5"/>
      <c r="AE104" s="5"/>
      <c r="AF104" s="5"/>
      <c r="AG104" s="69"/>
      <c r="AH104" s="18"/>
      <c r="AI104" s="80"/>
    </row>
    <row r="105" spans="3:35" ht="15" hidden="1" customHeight="1" x14ac:dyDescent="0.2">
      <c r="C105" s="15">
        <v>46143</v>
      </c>
      <c r="D105" s="12" t="s">
        <v>124</v>
      </c>
      <c r="E105" s="17">
        <v>1</v>
      </c>
      <c r="F105" s="12" t="s">
        <v>124</v>
      </c>
      <c r="G105" s="12" t="s">
        <v>133</v>
      </c>
      <c r="S105" s="18"/>
      <c r="T105" s="18"/>
      <c r="U105" s="18"/>
      <c r="V105" s="18"/>
      <c r="W105" s="18"/>
      <c r="X105" s="18"/>
      <c r="Z105" s="8"/>
      <c r="AA105" s="34"/>
      <c r="AB105" s="5"/>
      <c r="AC105" s="5"/>
      <c r="AD105" s="5"/>
      <c r="AE105" s="5"/>
      <c r="AF105" s="5"/>
      <c r="AG105" s="69"/>
      <c r="AH105" s="18"/>
      <c r="AI105" s="80"/>
    </row>
    <row r="106" spans="3:35" ht="15" hidden="1" customHeight="1" x14ac:dyDescent="0.2">
      <c r="C106" s="15">
        <v>46143</v>
      </c>
      <c r="D106" s="12" t="s">
        <v>72</v>
      </c>
      <c r="E106" s="17">
        <v>444.268215</v>
      </c>
      <c r="F106" s="12" t="s">
        <v>24</v>
      </c>
      <c r="G106" s="12" t="s">
        <v>135</v>
      </c>
      <c r="S106" s="18"/>
      <c r="T106" s="18"/>
      <c r="U106" s="18"/>
      <c r="V106" s="18"/>
      <c r="W106" s="18"/>
      <c r="X106" s="18"/>
      <c r="Z106" s="8"/>
      <c r="AA106" s="34"/>
      <c r="AB106" s="5"/>
      <c r="AC106" s="5"/>
      <c r="AD106" s="5"/>
      <c r="AE106" s="5"/>
      <c r="AF106" s="5"/>
      <c r="AG106" s="69"/>
      <c r="AH106" s="18"/>
      <c r="AI106" s="80"/>
    </row>
    <row r="107" spans="3:35" ht="15" hidden="1" customHeight="1" x14ac:dyDescent="0.2">
      <c r="C107" s="15">
        <v>46143</v>
      </c>
      <c r="D107" s="12" t="s">
        <v>73</v>
      </c>
      <c r="E107" s="17">
        <v>3283.8394349999999</v>
      </c>
      <c r="F107" s="12" t="s">
        <v>24</v>
      </c>
      <c r="G107" s="12" t="s">
        <v>135</v>
      </c>
      <c r="S107" s="18"/>
      <c r="T107" s="18"/>
      <c r="U107" s="18"/>
      <c r="V107" s="18"/>
      <c r="W107" s="18"/>
      <c r="X107" s="18"/>
      <c r="Z107" s="8"/>
      <c r="AA107" s="34"/>
      <c r="AB107" s="5"/>
      <c r="AC107" s="5"/>
      <c r="AD107" s="5"/>
      <c r="AE107" s="5"/>
      <c r="AF107" s="5"/>
      <c r="AG107" s="69"/>
      <c r="AH107" s="18"/>
      <c r="AI107" s="80"/>
    </row>
    <row r="108" spans="3:35" ht="15" hidden="1" customHeight="1" x14ac:dyDescent="0.2">
      <c r="C108" s="15">
        <v>46143</v>
      </c>
      <c r="D108" s="12" t="s">
        <v>71</v>
      </c>
      <c r="E108" s="17">
        <v>444.46533899999997</v>
      </c>
      <c r="F108" s="12" t="s">
        <v>24</v>
      </c>
      <c r="G108" s="12" t="s">
        <v>135</v>
      </c>
      <c r="S108" s="18"/>
      <c r="T108" s="18"/>
      <c r="U108" s="18"/>
      <c r="V108" s="18"/>
      <c r="W108" s="18"/>
      <c r="X108" s="18"/>
      <c r="Z108" s="8"/>
      <c r="AA108" s="34"/>
      <c r="AB108" s="5"/>
      <c r="AC108" s="5"/>
      <c r="AD108" s="5"/>
      <c r="AE108" s="5"/>
      <c r="AF108" s="5"/>
      <c r="AG108" s="69"/>
      <c r="AH108" s="18"/>
      <c r="AI108" s="80"/>
    </row>
    <row r="109" spans="3:35" ht="15" hidden="1" customHeight="1" x14ac:dyDescent="0.2">
      <c r="C109" s="15">
        <v>46143</v>
      </c>
      <c r="D109" s="12" t="s">
        <v>80</v>
      </c>
      <c r="E109" s="17">
        <v>223.785021</v>
      </c>
      <c r="F109" s="12" t="s">
        <v>24</v>
      </c>
      <c r="G109" s="12" t="s">
        <v>135</v>
      </c>
      <c r="S109" s="18"/>
      <c r="T109" s="18"/>
      <c r="U109" s="18"/>
      <c r="V109" s="18"/>
      <c r="W109" s="18"/>
      <c r="X109" s="18"/>
      <c r="Z109" s="8"/>
      <c r="AA109" s="34"/>
      <c r="AB109" s="5"/>
      <c r="AC109" s="5"/>
      <c r="AD109" s="5"/>
      <c r="AE109" s="5"/>
      <c r="AF109" s="5"/>
      <c r="AG109" s="69"/>
      <c r="AH109" s="18"/>
      <c r="AI109" s="80"/>
    </row>
    <row r="110" spans="3:35" ht="15" hidden="1" customHeight="1" x14ac:dyDescent="0.2">
      <c r="C110" s="15">
        <v>46143</v>
      </c>
      <c r="D110" s="12" t="s">
        <v>78</v>
      </c>
      <c r="E110" s="17">
        <v>341.12308200000001</v>
      </c>
      <c r="F110" s="12" t="s">
        <v>24</v>
      </c>
      <c r="G110" s="12" t="s">
        <v>135</v>
      </c>
      <c r="S110" s="18"/>
      <c r="T110" s="18"/>
      <c r="U110" s="18"/>
      <c r="V110" s="18"/>
      <c r="W110" s="18"/>
      <c r="X110" s="18"/>
      <c r="Z110" s="8"/>
      <c r="AA110" s="34"/>
      <c r="AB110" s="5"/>
      <c r="AC110" s="5"/>
      <c r="AD110" s="5"/>
      <c r="AE110" s="5"/>
      <c r="AF110" s="5"/>
      <c r="AG110" s="69"/>
      <c r="AH110" s="18"/>
      <c r="AI110" s="80"/>
    </row>
    <row r="111" spans="3:35" ht="15" hidden="1" customHeight="1" x14ac:dyDescent="0.2">
      <c r="C111" s="15">
        <v>46143</v>
      </c>
      <c r="D111" s="12" t="s">
        <v>84</v>
      </c>
      <c r="E111" s="17">
        <v>294.30613199999999</v>
      </c>
      <c r="F111" s="12" t="s">
        <v>24</v>
      </c>
      <c r="G111" s="12" t="s">
        <v>135</v>
      </c>
      <c r="S111" s="18"/>
      <c r="T111" s="18"/>
      <c r="U111" s="18"/>
      <c r="V111" s="18"/>
      <c r="W111" s="18"/>
      <c r="X111" s="18"/>
      <c r="Z111" s="8"/>
      <c r="AA111" s="34"/>
      <c r="AB111" s="5"/>
      <c r="AC111" s="5"/>
      <c r="AD111" s="5"/>
      <c r="AE111" s="5"/>
      <c r="AF111" s="5"/>
      <c r="AG111" s="69"/>
      <c r="AH111" s="18"/>
      <c r="AI111" s="80"/>
    </row>
    <row r="112" spans="3:35" ht="15" hidden="1" customHeight="1" x14ac:dyDescent="0.2">
      <c r="C112" s="15">
        <v>46143</v>
      </c>
      <c r="D112" s="12" t="s">
        <v>14</v>
      </c>
      <c r="E112" s="17">
        <v>401794</v>
      </c>
      <c r="F112" s="12" t="s">
        <v>14</v>
      </c>
      <c r="G112" s="12" t="s">
        <v>134</v>
      </c>
      <c r="S112" s="18"/>
      <c r="T112" s="18"/>
      <c r="U112" s="18"/>
      <c r="V112" s="18"/>
      <c r="W112" s="18"/>
      <c r="X112" s="18"/>
      <c r="Z112" s="8"/>
      <c r="AA112" s="34"/>
      <c r="AB112" s="5"/>
      <c r="AC112" s="5"/>
      <c r="AD112" s="5"/>
      <c r="AE112" s="5"/>
      <c r="AF112" s="5"/>
      <c r="AG112" s="69"/>
      <c r="AH112" s="18"/>
      <c r="AI112" s="80"/>
    </row>
    <row r="113" spans="3:35" ht="15" hidden="1" customHeight="1" x14ac:dyDescent="0.2">
      <c r="C113" s="15">
        <v>46143</v>
      </c>
      <c r="D113" s="12" t="s">
        <v>57</v>
      </c>
      <c r="E113" s="17">
        <v>423.54</v>
      </c>
      <c r="F113" s="12" t="s">
        <v>24</v>
      </c>
      <c r="G113" s="12" t="s">
        <v>134</v>
      </c>
      <c r="S113" s="18"/>
      <c r="T113" s="18"/>
      <c r="U113" s="18"/>
      <c r="V113" s="18"/>
      <c r="W113" s="18"/>
      <c r="X113" s="18"/>
      <c r="Z113" s="8"/>
      <c r="AA113" s="34"/>
      <c r="AB113" s="5"/>
      <c r="AC113" s="5"/>
      <c r="AD113" s="5"/>
      <c r="AE113" s="5"/>
      <c r="AF113" s="5"/>
      <c r="AG113" s="69"/>
      <c r="AH113" s="18"/>
      <c r="AI113" s="80"/>
    </row>
    <row r="114" spans="3:35" ht="15" hidden="1" customHeight="1" x14ac:dyDescent="0.2">
      <c r="C114" s="15">
        <v>46174</v>
      </c>
      <c r="D114" s="12" t="s">
        <v>24</v>
      </c>
      <c r="E114" s="17">
        <v>5.1824000000000003</v>
      </c>
      <c r="F114" s="12" t="s">
        <v>24</v>
      </c>
      <c r="G114" s="12" t="s">
        <v>133</v>
      </c>
      <c r="S114" s="18"/>
      <c r="T114" s="18"/>
      <c r="U114" s="18"/>
      <c r="V114" s="18"/>
      <c r="W114" s="18"/>
      <c r="X114" s="18"/>
      <c r="Z114" s="8"/>
      <c r="AA114" s="34"/>
      <c r="AB114" s="5"/>
      <c r="AC114" s="5"/>
      <c r="AD114" s="5"/>
      <c r="AE114" s="5"/>
      <c r="AF114" s="5"/>
      <c r="AG114" s="69"/>
      <c r="AH114" s="18"/>
      <c r="AI114" s="80"/>
    </row>
    <row r="115" spans="3:35" ht="15" hidden="1" customHeight="1" x14ac:dyDescent="0.2">
      <c r="C115" s="15">
        <v>46174</v>
      </c>
      <c r="D115" s="12" t="s">
        <v>124</v>
      </c>
      <c r="E115" s="17">
        <v>1</v>
      </c>
      <c r="F115" s="12" t="s">
        <v>124</v>
      </c>
      <c r="G115" s="12" t="s">
        <v>133</v>
      </c>
      <c r="S115" s="18"/>
      <c r="T115" s="18"/>
      <c r="U115" s="18"/>
      <c r="V115" s="18"/>
      <c r="W115" s="18"/>
      <c r="X115" s="18"/>
      <c r="Z115" s="8"/>
      <c r="AA115" s="34"/>
      <c r="AB115" s="5"/>
      <c r="AC115" s="5"/>
      <c r="AD115" s="5"/>
      <c r="AE115" s="5"/>
      <c r="AF115" s="5"/>
      <c r="AG115" s="69"/>
      <c r="AH115" s="18"/>
      <c r="AI115" s="80"/>
    </row>
    <row r="116" spans="3:35" ht="15" hidden="1" customHeight="1" x14ac:dyDescent="0.2">
      <c r="C116" s="15">
        <v>46174</v>
      </c>
      <c r="D116" s="12" t="s">
        <v>72</v>
      </c>
      <c r="E116" s="17">
        <v>442.11054400000012</v>
      </c>
      <c r="F116" s="12" t="s">
        <v>24</v>
      </c>
      <c r="G116" s="12" t="s">
        <v>135</v>
      </c>
      <c r="S116" s="18"/>
      <c r="T116" s="18"/>
      <c r="U116" s="18"/>
      <c r="V116" s="18"/>
      <c r="W116" s="18"/>
      <c r="X116" s="18"/>
      <c r="Z116" s="8"/>
      <c r="AA116" s="34"/>
      <c r="AB116" s="5"/>
      <c r="AC116" s="5"/>
      <c r="AD116" s="5"/>
      <c r="AE116" s="5"/>
      <c r="AF116" s="5"/>
      <c r="AG116" s="69"/>
      <c r="AH116" s="18"/>
      <c r="AI116" s="80"/>
    </row>
    <row r="117" spans="3:35" ht="15" hidden="1" customHeight="1" x14ac:dyDescent="0.2">
      <c r="C117" s="15">
        <v>46174</v>
      </c>
      <c r="D117" s="12" t="s">
        <v>73</v>
      </c>
      <c r="E117" s="17">
        <v>3529.5253440000001</v>
      </c>
      <c r="F117" s="12" t="s">
        <v>24</v>
      </c>
      <c r="G117" s="12" t="s">
        <v>135</v>
      </c>
      <c r="S117" s="18"/>
      <c r="T117" s="18"/>
      <c r="U117" s="18"/>
      <c r="V117" s="18"/>
      <c r="W117" s="18"/>
      <c r="X117" s="18"/>
      <c r="Z117" s="8"/>
      <c r="AA117" s="34"/>
      <c r="AB117" s="5"/>
      <c r="AC117" s="5"/>
      <c r="AD117" s="5"/>
      <c r="AE117" s="5"/>
      <c r="AF117" s="5"/>
      <c r="AG117" s="69"/>
      <c r="AH117" s="18"/>
      <c r="AI117" s="80"/>
    </row>
    <row r="118" spans="3:35" ht="15" hidden="1" customHeight="1" x14ac:dyDescent="0.2">
      <c r="C118" s="15">
        <v>46174</v>
      </c>
      <c r="D118" s="12" t="s">
        <v>71</v>
      </c>
      <c r="E118" s="17">
        <v>487.61201599999998</v>
      </c>
      <c r="F118" s="12" t="s">
        <v>24</v>
      </c>
      <c r="G118" s="12" t="s">
        <v>135</v>
      </c>
      <c r="S118" s="18"/>
      <c r="T118" s="18"/>
      <c r="U118" s="18"/>
      <c r="V118" s="18"/>
      <c r="W118" s="18"/>
      <c r="X118" s="18"/>
      <c r="Z118" s="8"/>
      <c r="AA118" s="34"/>
      <c r="AB118" s="5"/>
      <c r="AC118" s="5"/>
      <c r="AD118" s="5"/>
      <c r="AE118" s="5"/>
      <c r="AF118" s="5"/>
      <c r="AG118" s="69"/>
      <c r="AH118" s="18"/>
      <c r="AI118" s="80"/>
    </row>
    <row r="119" spans="3:35" ht="15" hidden="1" customHeight="1" x14ac:dyDescent="0.2">
      <c r="C119" s="15">
        <v>46174</v>
      </c>
      <c r="D119" s="12" t="s">
        <v>80</v>
      </c>
      <c r="E119" s="17">
        <v>222.63590400000001</v>
      </c>
      <c r="F119" s="12" t="s">
        <v>24</v>
      </c>
      <c r="G119" s="12" t="s">
        <v>135</v>
      </c>
      <c r="S119" s="18"/>
      <c r="T119" s="18"/>
      <c r="U119" s="18"/>
      <c r="V119" s="18"/>
      <c r="W119" s="18"/>
      <c r="X119" s="18"/>
      <c r="Z119" s="8"/>
      <c r="AA119" s="34"/>
      <c r="AB119" s="5"/>
      <c r="AC119" s="5"/>
      <c r="AD119" s="5"/>
      <c r="AE119" s="5"/>
      <c r="AF119" s="5"/>
      <c r="AG119" s="69"/>
      <c r="AH119" s="18"/>
      <c r="AI119" s="80"/>
    </row>
    <row r="120" spans="3:35" ht="15" hidden="1" customHeight="1" x14ac:dyDescent="0.2">
      <c r="C120" s="15">
        <v>46174</v>
      </c>
      <c r="D120" s="12" t="s">
        <v>78</v>
      </c>
      <c r="E120" s="17">
        <v>327.52767999999998</v>
      </c>
      <c r="F120" s="12" t="s">
        <v>24</v>
      </c>
      <c r="G120" s="12" t="s">
        <v>135</v>
      </c>
      <c r="S120" s="18"/>
      <c r="T120" s="18"/>
      <c r="U120" s="18"/>
      <c r="V120" s="18"/>
      <c r="W120" s="18"/>
      <c r="X120" s="18"/>
      <c r="Z120" s="8"/>
      <c r="AA120" s="34"/>
      <c r="AB120" s="5"/>
      <c r="AC120" s="5"/>
      <c r="AD120" s="5"/>
      <c r="AE120" s="5"/>
      <c r="AF120" s="5"/>
      <c r="AG120" s="69"/>
      <c r="AH120" s="18"/>
      <c r="AI120" s="80"/>
    </row>
    <row r="121" spans="3:35" ht="15" hidden="1" customHeight="1" x14ac:dyDescent="0.2">
      <c r="C121" s="15">
        <v>46174</v>
      </c>
      <c r="D121" s="12" t="s">
        <v>84</v>
      </c>
      <c r="E121" s="17">
        <v>296.588752</v>
      </c>
      <c r="F121" s="12" t="s">
        <v>24</v>
      </c>
      <c r="G121" s="12" t="s">
        <v>135</v>
      </c>
      <c r="S121" s="18"/>
      <c r="T121" s="18"/>
      <c r="U121" s="18"/>
      <c r="V121" s="18"/>
      <c r="W121" s="18"/>
      <c r="X121" s="18"/>
      <c r="Z121" s="8"/>
      <c r="AA121" s="34"/>
      <c r="AB121" s="5"/>
      <c r="AC121" s="5"/>
      <c r="AD121" s="5"/>
      <c r="AE121" s="5"/>
      <c r="AF121" s="5"/>
      <c r="AG121" s="69"/>
      <c r="AH121" s="18"/>
      <c r="AI121" s="80"/>
    </row>
    <row r="122" spans="3:35" ht="15" hidden="1" customHeight="1" x14ac:dyDescent="0.2">
      <c r="C122" s="15">
        <v>46174</v>
      </c>
      <c r="D122" s="12" t="s">
        <v>14</v>
      </c>
      <c r="E122" s="17">
        <v>318428</v>
      </c>
      <c r="F122" s="12" t="s">
        <v>14</v>
      </c>
      <c r="G122" s="12" t="s">
        <v>134</v>
      </c>
      <c r="S122" s="18"/>
      <c r="T122" s="18"/>
      <c r="U122" s="18"/>
      <c r="V122" s="18"/>
      <c r="W122" s="18"/>
      <c r="X122" s="18"/>
      <c r="Z122" s="8"/>
      <c r="AA122" s="34"/>
      <c r="AB122" s="5"/>
      <c r="AC122" s="5"/>
      <c r="AD122" s="5"/>
      <c r="AE122" s="5"/>
      <c r="AF122" s="5"/>
      <c r="AG122" s="69"/>
      <c r="AH122" s="18"/>
      <c r="AI122" s="80"/>
    </row>
    <row r="123" spans="3:35" ht="15" hidden="1" customHeight="1" x14ac:dyDescent="0.2">
      <c r="C123" s="15">
        <v>46174</v>
      </c>
      <c r="D123" s="12" t="s">
        <v>57</v>
      </c>
      <c r="E123" s="17">
        <v>335.84</v>
      </c>
      <c r="F123" s="12" t="s">
        <v>24</v>
      </c>
      <c r="G123" s="12" t="s">
        <v>134</v>
      </c>
      <c r="S123" s="18"/>
      <c r="T123" s="18"/>
      <c r="U123" s="18"/>
      <c r="V123" s="18"/>
      <c r="W123" s="18"/>
      <c r="X123" s="18"/>
      <c r="Z123" s="8"/>
      <c r="AA123" s="34"/>
      <c r="AB123" s="5"/>
      <c r="AC123" s="5"/>
      <c r="AD123" s="5"/>
      <c r="AE123" s="5"/>
      <c r="AF123" s="5"/>
      <c r="AG123" s="69"/>
      <c r="AH123" s="18"/>
      <c r="AI123" s="80"/>
    </row>
    <row r="124" spans="3:35" ht="15" hidden="1" customHeight="1" x14ac:dyDescent="0.2">
      <c r="C124" s="15">
        <v>46174</v>
      </c>
      <c r="D124" s="12" t="s">
        <v>92</v>
      </c>
      <c r="E124" s="17">
        <v>430.72</v>
      </c>
      <c r="F124" s="12" t="s">
        <v>24</v>
      </c>
      <c r="G124" s="12" t="s">
        <v>135</v>
      </c>
      <c r="S124" s="18"/>
      <c r="T124" s="18"/>
      <c r="U124" s="18"/>
      <c r="V124" s="18"/>
      <c r="W124" s="18"/>
      <c r="X124" s="18"/>
      <c r="Z124" s="8"/>
      <c r="AA124" s="34"/>
      <c r="AB124" s="5"/>
      <c r="AC124" s="5"/>
      <c r="AD124" s="5"/>
      <c r="AE124" s="5"/>
      <c r="AF124" s="5"/>
      <c r="AG124" s="69"/>
      <c r="AH124" s="18"/>
      <c r="AI124" s="80"/>
    </row>
    <row r="125" spans="3:35" ht="15" customHeight="1" x14ac:dyDescent="0.2">
      <c r="C125" s="15">
        <v>46204</v>
      </c>
      <c r="D125" s="12" t="s">
        <v>24</v>
      </c>
      <c r="E125" s="17">
        <v>5.1661999999999999</v>
      </c>
      <c r="F125" s="12" t="s">
        <v>24</v>
      </c>
      <c r="G125" s="12" t="s">
        <v>133</v>
      </c>
      <c r="S125" s="18"/>
      <c r="T125" s="18"/>
      <c r="U125" s="18"/>
      <c r="V125" s="18"/>
      <c r="W125" s="18"/>
      <c r="X125" s="18"/>
      <c r="Z125" s="8"/>
      <c r="AA125" s="34"/>
      <c r="AB125" s="5"/>
      <c r="AC125" s="5"/>
      <c r="AD125" s="5"/>
      <c r="AE125" s="5"/>
      <c r="AF125" s="5"/>
      <c r="AG125" s="69"/>
      <c r="AH125" s="18"/>
      <c r="AI125" s="80"/>
    </row>
    <row r="126" spans="3:35" ht="15" customHeight="1" x14ac:dyDescent="0.2">
      <c r="C126" s="15">
        <v>46204</v>
      </c>
      <c r="D126" s="12" t="s">
        <v>124</v>
      </c>
      <c r="E126" s="17">
        <v>1</v>
      </c>
      <c r="F126" s="12" t="s">
        <v>124</v>
      </c>
      <c r="G126" s="12" t="s">
        <v>133</v>
      </c>
      <c r="S126" s="18"/>
      <c r="T126" s="18"/>
      <c r="U126" s="18"/>
      <c r="V126" s="18"/>
      <c r="W126" s="18"/>
      <c r="X126" s="18"/>
      <c r="Z126" s="8"/>
      <c r="AA126" s="34"/>
      <c r="AB126" s="5"/>
      <c r="AC126" s="5"/>
      <c r="AD126" s="5"/>
      <c r="AE126" s="5"/>
      <c r="AF126" s="5"/>
      <c r="AG126" s="69"/>
      <c r="AH126" s="18"/>
      <c r="AI126" s="80"/>
    </row>
    <row r="127" spans="3:35" ht="15" customHeight="1" x14ac:dyDescent="0.2">
      <c r="C127" s="15">
        <v>46204</v>
      </c>
      <c r="D127" s="12" t="s">
        <v>72</v>
      </c>
      <c r="E127" s="17">
        <v>415.46580399999999</v>
      </c>
      <c r="F127" s="12" t="s">
        <v>24</v>
      </c>
      <c r="G127" s="12" t="s">
        <v>135</v>
      </c>
      <c r="S127" s="18"/>
      <c r="T127" s="18"/>
      <c r="U127" s="18"/>
      <c r="V127" s="18"/>
      <c r="W127" s="18"/>
      <c r="X127" s="18"/>
      <c r="Z127" s="8"/>
      <c r="AA127" s="34"/>
      <c r="AB127" s="5"/>
      <c r="AC127" s="5"/>
      <c r="AD127" s="5"/>
      <c r="AE127" s="5"/>
      <c r="AF127" s="5"/>
      <c r="AG127" s="69"/>
      <c r="AH127" s="18"/>
      <c r="AI127" s="80"/>
    </row>
    <row r="128" spans="3:35" ht="15" customHeight="1" x14ac:dyDescent="0.2">
      <c r="C128" s="15">
        <v>46204</v>
      </c>
      <c r="D128" s="12" t="s">
        <v>73</v>
      </c>
      <c r="E128" s="17">
        <v>3534.662378</v>
      </c>
      <c r="F128" s="12" t="s">
        <v>24</v>
      </c>
      <c r="G128" s="12" t="s">
        <v>135</v>
      </c>
      <c r="S128" s="18"/>
      <c r="T128" s="18"/>
      <c r="U128" s="18"/>
      <c r="V128" s="18"/>
      <c r="W128" s="18"/>
      <c r="X128" s="18"/>
      <c r="Z128" s="8"/>
      <c r="AA128" s="34"/>
      <c r="AB128" s="5"/>
      <c r="AC128" s="5"/>
      <c r="AD128" s="5"/>
      <c r="AE128" s="5"/>
      <c r="AF128" s="5"/>
      <c r="AG128" s="69"/>
      <c r="AH128" s="18"/>
      <c r="AI128" s="80"/>
    </row>
    <row r="129" spans="3:35" ht="15" customHeight="1" x14ac:dyDescent="0.2">
      <c r="C129" s="15">
        <v>46204</v>
      </c>
      <c r="D129" s="12" t="s">
        <v>71</v>
      </c>
      <c r="E129" s="17">
        <v>478.49344400000001</v>
      </c>
      <c r="F129" s="12" t="s">
        <v>24</v>
      </c>
      <c r="G129" s="12" t="s">
        <v>135</v>
      </c>
      <c r="S129" s="18"/>
      <c r="T129" s="18"/>
      <c r="U129" s="18"/>
      <c r="V129" s="18"/>
      <c r="W129" s="18"/>
      <c r="X129" s="18"/>
      <c r="Z129" s="8"/>
      <c r="AA129" s="34"/>
      <c r="AB129" s="5"/>
      <c r="AC129" s="5"/>
      <c r="AD129" s="5"/>
      <c r="AE129" s="5"/>
      <c r="AF129" s="5"/>
      <c r="AG129" s="69"/>
      <c r="AH129" s="18"/>
      <c r="AI129" s="80"/>
    </row>
    <row r="130" spans="3:35" ht="15" customHeight="1" x14ac:dyDescent="0.2">
      <c r="C130" s="15">
        <v>46204</v>
      </c>
      <c r="D130" s="12" t="s">
        <v>80</v>
      </c>
      <c r="E130" s="17">
        <v>209.28276199999999</v>
      </c>
      <c r="F130" s="12" t="s">
        <v>24</v>
      </c>
      <c r="G130" s="12" t="s">
        <v>135</v>
      </c>
      <c r="S130" s="18"/>
      <c r="T130" s="18"/>
      <c r="U130" s="18"/>
      <c r="V130" s="18"/>
      <c r="W130" s="18"/>
      <c r="X130" s="18"/>
      <c r="Z130" s="8"/>
      <c r="AA130" s="34"/>
      <c r="AB130" s="5"/>
      <c r="AC130" s="5"/>
      <c r="AD130" s="5"/>
      <c r="AE130" s="5"/>
      <c r="AF130" s="5"/>
      <c r="AG130" s="69"/>
      <c r="AH130" s="18"/>
      <c r="AI130" s="80"/>
    </row>
    <row r="131" spans="3:35" ht="15" customHeight="1" x14ac:dyDescent="0.2">
      <c r="C131" s="15">
        <v>46204</v>
      </c>
      <c r="D131" s="12" t="s">
        <v>78</v>
      </c>
      <c r="E131" s="17">
        <v>284.45097199999998</v>
      </c>
      <c r="F131" s="12" t="s">
        <v>24</v>
      </c>
      <c r="G131" s="12" t="s">
        <v>135</v>
      </c>
      <c r="S131" s="18"/>
      <c r="T131" s="18"/>
      <c r="U131" s="18"/>
      <c r="V131" s="18"/>
      <c r="W131" s="18"/>
      <c r="X131" s="18"/>
      <c r="Z131" s="8"/>
      <c r="AA131" s="34"/>
      <c r="AB131" s="5"/>
      <c r="AC131" s="5"/>
      <c r="AD131" s="5"/>
      <c r="AE131" s="5"/>
      <c r="AF131" s="5"/>
      <c r="AG131" s="69"/>
      <c r="AH131" s="18"/>
      <c r="AI131" s="80"/>
    </row>
    <row r="132" spans="3:35" ht="15" customHeight="1" x14ac:dyDescent="0.2">
      <c r="C132" s="15">
        <v>46204</v>
      </c>
      <c r="D132" s="12" t="s">
        <v>84</v>
      </c>
      <c r="E132" s="17">
        <v>285.01925399999999</v>
      </c>
      <c r="F132" s="12" t="s">
        <v>24</v>
      </c>
      <c r="G132" s="12" t="s">
        <v>135</v>
      </c>
      <c r="S132" s="18"/>
      <c r="T132" s="18"/>
      <c r="U132" s="18"/>
      <c r="V132" s="18"/>
      <c r="W132" s="18"/>
      <c r="X132" s="18"/>
      <c r="Z132" s="8"/>
      <c r="AA132" s="34"/>
      <c r="AB132" s="5"/>
      <c r="AC132" s="5"/>
      <c r="AD132" s="5"/>
      <c r="AE132" s="5"/>
      <c r="AF132" s="5"/>
      <c r="AG132" s="69"/>
      <c r="AH132" s="18"/>
      <c r="AI132" s="80"/>
    </row>
    <row r="133" spans="3:35" ht="15" customHeight="1" x14ac:dyDescent="0.2">
      <c r="C133" s="15">
        <v>46204</v>
      </c>
      <c r="D133" s="12" t="s">
        <v>92</v>
      </c>
      <c r="E133" s="17">
        <v>435.20068800000001</v>
      </c>
      <c r="F133" s="12" t="s">
        <v>24</v>
      </c>
      <c r="G133" s="12" t="s">
        <v>135</v>
      </c>
      <c r="S133" s="18"/>
      <c r="T133" s="18"/>
      <c r="U133" s="18"/>
      <c r="V133" s="18"/>
      <c r="W133" s="18"/>
      <c r="X133" s="18"/>
      <c r="Z133" s="8"/>
      <c r="AA133" s="34"/>
      <c r="AB133" s="5"/>
      <c r="AC133" s="5"/>
      <c r="AD133" s="5"/>
      <c r="AE133" s="5"/>
      <c r="AF133" s="5"/>
      <c r="AG133" s="69"/>
      <c r="AH133" s="18"/>
      <c r="AI133" s="80"/>
    </row>
    <row r="134" spans="3:35" ht="15" customHeight="1" x14ac:dyDescent="0.2">
      <c r="C134" s="15">
        <v>46204</v>
      </c>
      <c r="D134" s="12" t="s">
        <v>14</v>
      </c>
      <c r="E134" s="17">
        <v>320586</v>
      </c>
      <c r="F134" s="12" t="s">
        <v>14</v>
      </c>
      <c r="G134" s="12" t="s">
        <v>134</v>
      </c>
      <c r="S134" s="18"/>
      <c r="T134" s="18"/>
      <c r="U134" s="18"/>
      <c r="V134" s="18"/>
      <c r="W134" s="18"/>
      <c r="X134" s="18"/>
      <c r="Z134" s="8"/>
      <c r="AA134" s="34"/>
      <c r="AB134" s="5"/>
      <c r="AC134" s="5"/>
      <c r="AD134" s="5"/>
      <c r="AE134" s="5"/>
      <c r="AF134" s="5"/>
      <c r="AG134" s="69"/>
      <c r="AH134" s="18"/>
      <c r="AI134" s="80"/>
    </row>
    <row r="135" spans="3:35" x14ac:dyDescent="0.2">
      <c r="C135" s="15">
        <v>46204</v>
      </c>
      <c r="D135" s="12" t="s">
        <v>57</v>
      </c>
      <c r="E135" s="17">
        <v>398.6</v>
      </c>
      <c r="F135" s="12" t="s">
        <v>24</v>
      </c>
      <c r="G135" s="12" t="s">
        <v>134</v>
      </c>
      <c r="S135" s="18"/>
      <c r="T135" s="18"/>
      <c r="U135" s="18"/>
      <c r="V135" s="18"/>
      <c r="W135" s="18"/>
      <c r="X135" s="18"/>
      <c r="Z135" s="8"/>
      <c r="AA135" s="34"/>
      <c r="AB135" s="5"/>
      <c r="AC135" s="5"/>
      <c r="AD135" s="5"/>
      <c r="AE135" s="5"/>
      <c r="AF135" s="5"/>
      <c r="AG135" s="69"/>
      <c r="AH135" s="18"/>
      <c r="AI135" s="80"/>
    </row>
    <row r="136" spans="3:35" x14ac:dyDescent="0.2">
      <c r="C136" s="15">
        <v>46204</v>
      </c>
      <c r="D136" s="12" t="s">
        <v>213</v>
      </c>
      <c r="E136" s="16">
        <v>25.27</v>
      </c>
      <c r="F136" s="12" t="s">
        <v>124</v>
      </c>
      <c r="G136" s="12" t="s">
        <v>135</v>
      </c>
      <c r="S136" s="18"/>
      <c r="T136" s="18"/>
      <c r="U136" s="18"/>
      <c r="V136" s="18"/>
      <c r="W136" s="18"/>
      <c r="X136" s="18"/>
      <c r="Z136" s="8"/>
      <c r="AA136" s="34"/>
      <c r="AB136" s="5"/>
      <c r="AC136" s="5"/>
      <c r="AD136" s="5"/>
      <c r="AE136" s="5"/>
      <c r="AF136" s="5"/>
      <c r="AG136" s="69"/>
      <c r="AH136" s="18"/>
      <c r="AI136" s="80"/>
    </row>
    <row r="137" spans="3:35" x14ac:dyDescent="0.2">
      <c r="C137" s="8">
        <v>46235</v>
      </c>
      <c r="D137" s="5" t="s">
        <v>24</v>
      </c>
      <c r="E137" s="16">
        <v>5.1063999999999998</v>
      </c>
      <c r="F137" s="5" t="s">
        <v>24</v>
      </c>
      <c r="G137" s="5" t="s">
        <v>133</v>
      </c>
      <c r="S137" s="18"/>
      <c r="T137" s="18"/>
      <c r="U137" s="18"/>
      <c r="V137" s="18"/>
      <c r="W137" s="18"/>
      <c r="X137" s="18"/>
      <c r="Z137" s="8"/>
      <c r="AA137" s="34"/>
      <c r="AB137" s="5"/>
      <c r="AC137" s="5"/>
      <c r="AD137" s="5"/>
      <c r="AE137" s="5"/>
      <c r="AF137" s="5"/>
      <c r="AG137" s="69"/>
      <c r="AH137" s="18"/>
      <c r="AI137" s="80"/>
    </row>
    <row r="138" spans="3:35" x14ac:dyDescent="0.2">
      <c r="C138" s="8">
        <v>46235</v>
      </c>
      <c r="D138" s="5" t="s">
        <v>124</v>
      </c>
      <c r="E138" s="16">
        <v>1</v>
      </c>
      <c r="F138" s="5" t="s">
        <v>124</v>
      </c>
      <c r="G138" s="5" t="s">
        <v>133</v>
      </c>
      <c r="S138" s="18"/>
      <c r="T138" s="18"/>
      <c r="U138" s="18"/>
      <c r="V138" s="18"/>
      <c r="W138" s="18"/>
      <c r="X138" s="18"/>
      <c r="Z138" s="8"/>
      <c r="AA138" s="34"/>
      <c r="AB138" s="5"/>
      <c r="AC138" s="5"/>
      <c r="AD138" s="5"/>
      <c r="AE138" s="5"/>
      <c r="AF138" s="5"/>
      <c r="AG138" s="69"/>
      <c r="AH138" s="18"/>
      <c r="AI138" s="80"/>
    </row>
    <row r="139" spans="3:35" x14ac:dyDescent="0.2">
      <c r="C139" s="8">
        <v>46235</v>
      </c>
      <c r="D139" s="5" t="s">
        <v>72</v>
      </c>
      <c r="E139" s="16">
        <v>415.09925600000003</v>
      </c>
      <c r="F139" s="5" t="s">
        <v>24</v>
      </c>
      <c r="G139" s="5" t="s">
        <v>135</v>
      </c>
      <c r="S139" s="18"/>
      <c r="T139" s="18"/>
      <c r="U139" s="18"/>
      <c r="V139" s="18"/>
      <c r="W139" s="18"/>
      <c r="X139" s="18"/>
      <c r="Z139" s="8"/>
      <c r="AA139" s="34"/>
      <c r="AB139" s="5"/>
      <c r="AC139" s="5"/>
      <c r="AD139" s="5"/>
      <c r="AE139" s="5"/>
      <c r="AF139" s="5"/>
      <c r="AG139" s="69"/>
      <c r="AH139" s="18"/>
      <c r="AI139" s="80"/>
    </row>
    <row r="140" spans="3:35" x14ac:dyDescent="0.2">
      <c r="C140" s="8">
        <v>46235</v>
      </c>
      <c r="D140" s="5" t="s">
        <v>73</v>
      </c>
      <c r="E140" s="16">
        <v>3543.1267039999998</v>
      </c>
      <c r="F140" s="5" t="s">
        <v>24</v>
      </c>
      <c r="G140" s="5" t="s">
        <v>135</v>
      </c>
      <c r="S140" s="18"/>
      <c r="T140" s="18"/>
      <c r="U140" s="18"/>
      <c r="V140" s="18"/>
      <c r="W140" s="18"/>
      <c r="X140" s="18"/>
      <c r="Z140" s="8"/>
      <c r="AA140" s="34"/>
      <c r="AB140" s="5"/>
      <c r="AC140" s="5"/>
      <c r="AD140" s="5"/>
      <c r="AE140" s="5"/>
      <c r="AF140" s="5"/>
      <c r="AG140" s="69"/>
      <c r="AH140" s="18"/>
      <c r="AI140" s="80"/>
    </row>
    <row r="141" spans="3:35" x14ac:dyDescent="0.2">
      <c r="C141" s="8">
        <v>46235</v>
      </c>
      <c r="D141" s="5" t="s">
        <v>71</v>
      </c>
      <c r="E141" s="16">
        <v>485.46544799999992</v>
      </c>
      <c r="F141" s="5" t="s">
        <v>24</v>
      </c>
      <c r="G141" s="5" t="s">
        <v>135</v>
      </c>
      <c r="S141" s="18"/>
      <c r="T141" s="18"/>
      <c r="U141" s="18"/>
      <c r="V141" s="18"/>
      <c r="W141" s="18"/>
      <c r="X141" s="18"/>
      <c r="Z141" s="8"/>
      <c r="AA141" s="34"/>
      <c r="AB141" s="5"/>
      <c r="AC141" s="5"/>
      <c r="AD141" s="5"/>
      <c r="AE141" s="5"/>
      <c r="AF141" s="5"/>
      <c r="AG141" s="69"/>
      <c r="AH141" s="18"/>
      <c r="AI141" s="80"/>
    </row>
    <row r="142" spans="3:35" x14ac:dyDescent="0.2">
      <c r="C142" s="8">
        <v>46235</v>
      </c>
      <c r="D142" s="5" t="s">
        <v>80</v>
      </c>
      <c r="E142" s="16">
        <v>209.004952</v>
      </c>
      <c r="F142" s="5" t="s">
        <v>24</v>
      </c>
      <c r="G142" s="5" t="s">
        <v>135</v>
      </c>
      <c r="S142" s="18"/>
      <c r="T142" s="18"/>
      <c r="U142" s="18"/>
      <c r="V142" s="18"/>
      <c r="W142" s="18"/>
      <c r="X142" s="18"/>
      <c r="Z142" s="8"/>
      <c r="AA142" s="34"/>
      <c r="AB142" s="5"/>
      <c r="AC142" s="5"/>
      <c r="AD142" s="5"/>
      <c r="AE142" s="5"/>
      <c r="AF142" s="5"/>
      <c r="AG142" s="69"/>
      <c r="AH142" s="18"/>
      <c r="AI142" s="80"/>
    </row>
    <row r="143" spans="3:35" x14ac:dyDescent="0.2">
      <c r="C143" s="8">
        <v>46235</v>
      </c>
      <c r="D143" s="5" t="s">
        <v>78</v>
      </c>
      <c r="E143" s="16">
        <v>289.58394399999997</v>
      </c>
      <c r="F143" s="5" t="s">
        <v>24</v>
      </c>
      <c r="G143" s="5" t="s">
        <v>135</v>
      </c>
      <c r="S143" s="18"/>
      <c r="T143" s="18"/>
      <c r="U143" s="18"/>
      <c r="V143" s="18"/>
      <c r="W143" s="18"/>
      <c r="X143" s="18"/>
      <c r="Z143" s="8"/>
      <c r="AA143" s="34"/>
      <c r="AB143" s="5"/>
      <c r="AC143" s="5"/>
      <c r="AD143" s="5"/>
      <c r="AE143" s="5"/>
      <c r="AF143" s="5"/>
      <c r="AG143" s="69"/>
      <c r="AH143" s="18"/>
      <c r="AI143" s="80"/>
    </row>
    <row r="144" spans="3:35" x14ac:dyDescent="0.2">
      <c r="C144" s="8">
        <v>46235</v>
      </c>
      <c r="D144" s="5" t="s">
        <v>84</v>
      </c>
      <c r="E144" s="16">
        <v>281.26051200000001</v>
      </c>
      <c r="F144" s="5" t="s">
        <v>24</v>
      </c>
      <c r="G144" s="5" t="s">
        <v>135</v>
      </c>
      <c r="S144" s="18"/>
      <c r="T144" s="18"/>
      <c r="U144" s="18"/>
      <c r="V144" s="18"/>
      <c r="W144" s="18"/>
      <c r="X144" s="18"/>
      <c r="Z144" s="8"/>
      <c r="AA144" s="34"/>
      <c r="AB144" s="5"/>
      <c r="AC144" s="5"/>
      <c r="AD144" s="5"/>
      <c r="AE144" s="5"/>
      <c r="AF144" s="5"/>
      <c r="AG144" s="69"/>
      <c r="AH144" s="18"/>
      <c r="AI144" s="80"/>
    </row>
    <row r="145" spans="3:35" x14ac:dyDescent="0.2">
      <c r="C145" s="8">
        <v>46235</v>
      </c>
      <c r="D145" s="5" t="s">
        <v>92</v>
      </c>
      <c r="E145" s="16">
        <v>435.78017599999998</v>
      </c>
      <c r="F145" s="5" t="s">
        <v>24</v>
      </c>
      <c r="G145" s="5" t="s">
        <v>135</v>
      </c>
      <c r="S145" s="18"/>
      <c r="T145" s="18"/>
      <c r="U145" s="18"/>
      <c r="V145" s="18"/>
      <c r="W145" s="18"/>
      <c r="X145" s="18"/>
      <c r="Z145" s="8"/>
      <c r="AA145" s="34"/>
      <c r="AB145" s="5"/>
      <c r="AC145" s="5"/>
      <c r="AD145" s="5"/>
      <c r="AE145" s="5"/>
      <c r="AF145" s="5"/>
      <c r="AG145" s="69"/>
      <c r="AH145" s="18"/>
      <c r="AI145" s="80"/>
    </row>
    <row r="146" spans="3:35" x14ac:dyDescent="0.2">
      <c r="C146" s="8">
        <v>46235</v>
      </c>
      <c r="D146" s="5" t="s">
        <v>213</v>
      </c>
      <c r="E146" s="16">
        <v>25.46</v>
      </c>
      <c r="F146" s="5" t="s">
        <v>124</v>
      </c>
      <c r="G146" s="5" t="s">
        <v>135</v>
      </c>
      <c r="S146" s="18"/>
      <c r="T146" s="18"/>
      <c r="U146" s="18"/>
      <c r="V146" s="18"/>
      <c r="W146" s="18"/>
      <c r="X146" s="18"/>
      <c r="Z146" s="8"/>
      <c r="AA146" s="34"/>
      <c r="AB146" s="5"/>
      <c r="AC146" s="5"/>
      <c r="AD146" s="5"/>
      <c r="AE146" s="5"/>
      <c r="AF146" s="5"/>
      <c r="AG146" s="69"/>
      <c r="AH146" s="18"/>
      <c r="AI146" s="80"/>
    </row>
    <row r="147" spans="3:35" x14ac:dyDescent="0.2">
      <c r="C147" s="8">
        <v>46235</v>
      </c>
      <c r="D147" s="5" t="s">
        <v>14</v>
      </c>
      <c r="E147" s="16">
        <v>328642</v>
      </c>
      <c r="F147" s="5" t="s">
        <v>14</v>
      </c>
      <c r="G147" s="5" t="s">
        <v>134</v>
      </c>
      <c r="S147" s="18"/>
      <c r="T147" s="18"/>
      <c r="U147" s="18"/>
      <c r="V147" s="18"/>
      <c r="W147" s="18"/>
      <c r="X147" s="18"/>
      <c r="Z147" s="8"/>
      <c r="AA147" s="34"/>
      <c r="AB147" s="5"/>
      <c r="AC147" s="5"/>
      <c r="AD147" s="5"/>
      <c r="AE147" s="5"/>
      <c r="AF147" s="5"/>
      <c r="AG147" s="69"/>
      <c r="AH147" s="18"/>
      <c r="AI147" s="80"/>
    </row>
    <row r="148" spans="3:35" x14ac:dyDescent="0.2">
      <c r="C148" s="8">
        <v>46235</v>
      </c>
      <c r="D148" s="5" t="s">
        <v>57</v>
      </c>
      <c r="E148" s="16">
        <v>398.81</v>
      </c>
      <c r="F148" s="5" t="s">
        <v>24</v>
      </c>
      <c r="G148" s="5" t="s">
        <v>134</v>
      </c>
      <c r="S148" s="18"/>
      <c r="T148" s="18"/>
      <c r="U148" s="18"/>
      <c r="V148" s="18"/>
      <c r="W148" s="18"/>
      <c r="X148" s="18"/>
      <c r="Z148" s="8"/>
      <c r="AA148" s="34"/>
      <c r="AB148" s="5"/>
      <c r="AC148" s="5"/>
      <c r="AD148" s="5"/>
      <c r="AE148" s="5"/>
      <c r="AF148" s="5"/>
      <c r="AG148" s="69"/>
      <c r="AH148" s="18"/>
      <c r="AI148" s="80"/>
    </row>
    <row r="149" spans="3:35" x14ac:dyDescent="0.2">
      <c r="S149" s="18"/>
      <c r="T149" s="18"/>
      <c r="U149" s="18"/>
      <c r="V149" s="18"/>
      <c r="W149" s="18"/>
      <c r="X149" s="18"/>
      <c r="Z149" s="8"/>
      <c r="AA149" s="34"/>
      <c r="AB149" s="5"/>
      <c r="AC149" s="5"/>
      <c r="AD149" s="5"/>
      <c r="AE149" s="5"/>
      <c r="AF149" s="5"/>
      <c r="AG149" s="69"/>
      <c r="AH149" s="18"/>
      <c r="AI149" s="80"/>
    </row>
    <row r="150" spans="3:35" x14ac:dyDescent="0.2">
      <c r="S150" s="18"/>
      <c r="T150" s="18"/>
      <c r="U150" s="18"/>
      <c r="V150" s="18"/>
      <c r="W150" s="18"/>
      <c r="X150" s="18"/>
      <c r="Z150" s="8"/>
      <c r="AA150" s="34"/>
      <c r="AB150" s="5"/>
      <c r="AC150" s="5"/>
      <c r="AD150" s="5"/>
      <c r="AE150" s="5"/>
      <c r="AF150" s="5"/>
      <c r="AG150" s="69"/>
      <c r="AH150" s="18"/>
      <c r="AI150" s="80"/>
    </row>
    <row r="151" spans="3:35" x14ac:dyDescent="0.2">
      <c r="S151" s="18"/>
      <c r="T151" s="18"/>
      <c r="U151" s="18"/>
      <c r="V151" s="18"/>
      <c r="W151" s="18"/>
      <c r="X151" s="18"/>
      <c r="Z151" s="8"/>
      <c r="AA151" s="34"/>
      <c r="AB151" s="5"/>
      <c r="AC151" s="5"/>
      <c r="AD151" s="5"/>
      <c r="AE151" s="5"/>
      <c r="AF151" s="5"/>
      <c r="AG151" s="69"/>
      <c r="AH151" s="18"/>
      <c r="AI151" s="80"/>
    </row>
    <row r="152" spans="3:35" x14ac:dyDescent="0.2">
      <c r="S152" s="18"/>
      <c r="T152" s="18"/>
      <c r="U152" s="18"/>
      <c r="V152" s="18"/>
      <c r="W152" s="18"/>
      <c r="X152" s="18"/>
      <c r="Z152" s="8"/>
      <c r="AA152" s="34"/>
      <c r="AB152" s="5"/>
      <c r="AC152" s="5"/>
      <c r="AD152" s="5"/>
      <c r="AE152" s="5"/>
      <c r="AF152" s="5"/>
      <c r="AG152" s="69"/>
      <c r="AH152" s="18"/>
      <c r="AI152" s="80"/>
    </row>
    <row r="153" spans="3:35" x14ac:dyDescent="0.2">
      <c r="S153" s="18"/>
      <c r="T153" s="18"/>
      <c r="U153" s="18"/>
      <c r="V153" s="18"/>
      <c r="W153" s="18"/>
      <c r="X153" s="18"/>
      <c r="Z153" s="8"/>
      <c r="AA153" s="34"/>
      <c r="AB153" s="5"/>
      <c r="AC153" s="5"/>
      <c r="AD153" s="5"/>
      <c r="AE153" s="5"/>
      <c r="AF153" s="5"/>
      <c r="AG153" s="69"/>
      <c r="AH153" s="18"/>
      <c r="AI153" s="80"/>
    </row>
    <row r="154" spans="3:35" x14ac:dyDescent="0.2">
      <c r="S154" s="18"/>
      <c r="T154" s="18"/>
      <c r="U154" s="18"/>
      <c r="V154" s="18"/>
      <c r="W154" s="18"/>
      <c r="X154" s="18"/>
      <c r="Z154" s="8"/>
      <c r="AA154" s="34"/>
      <c r="AB154" s="5"/>
      <c r="AC154" s="5"/>
      <c r="AD154" s="5"/>
      <c r="AE154" s="5"/>
      <c r="AF154" s="5"/>
      <c r="AG154" s="69"/>
      <c r="AH154" s="18"/>
      <c r="AI154" s="80"/>
    </row>
    <row r="155" spans="3:35" x14ac:dyDescent="0.2">
      <c r="S155" s="18"/>
      <c r="T155" s="18"/>
      <c r="U155" s="18"/>
      <c r="V155" s="18"/>
      <c r="W155" s="18"/>
      <c r="X155" s="18"/>
      <c r="Z155" s="8"/>
      <c r="AA155" s="34"/>
      <c r="AB155" s="5"/>
      <c r="AC155" s="5"/>
      <c r="AD155" s="5"/>
      <c r="AE155" s="5"/>
      <c r="AF155" s="5"/>
      <c r="AG155" s="69"/>
      <c r="AH155" s="18"/>
      <c r="AI155" s="80"/>
    </row>
    <row r="156" spans="3:35" x14ac:dyDescent="0.2">
      <c r="S156" s="18"/>
      <c r="T156" s="18"/>
      <c r="U156" s="18"/>
      <c r="V156" s="18"/>
      <c r="W156" s="18"/>
      <c r="X156" s="18"/>
      <c r="Z156" s="8"/>
      <c r="AA156" s="34"/>
      <c r="AB156" s="5"/>
      <c r="AC156" s="5"/>
      <c r="AD156" s="5"/>
      <c r="AE156" s="5"/>
      <c r="AF156" s="5"/>
      <c r="AG156" s="69"/>
      <c r="AH156" s="18"/>
      <c r="AI156" s="80"/>
    </row>
    <row r="157" spans="3:35" x14ac:dyDescent="0.2">
      <c r="S157" s="18"/>
      <c r="T157" s="18"/>
      <c r="U157" s="18"/>
      <c r="V157" s="18"/>
      <c r="W157" s="18"/>
      <c r="X157" s="18"/>
      <c r="Z157" s="8"/>
      <c r="AA157" s="34"/>
      <c r="AB157" s="5"/>
      <c r="AC157" s="5"/>
      <c r="AD157" s="5"/>
      <c r="AE157" s="5"/>
      <c r="AF157" s="5"/>
      <c r="AG157" s="69"/>
      <c r="AH157" s="18"/>
      <c r="AI157" s="80"/>
    </row>
    <row r="158" spans="3:35" x14ac:dyDescent="0.2">
      <c r="S158" s="18"/>
      <c r="T158" s="18"/>
      <c r="U158" s="18"/>
      <c r="V158" s="18"/>
      <c r="W158" s="18"/>
      <c r="X158" s="18"/>
      <c r="Z158" s="8"/>
      <c r="AA158" s="34"/>
      <c r="AB158" s="5"/>
      <c r="AC158" s="5"/>
      <c r="AD158" s="5"/>
      <c r="AE158" s="5"/>
      <c r="AF158" s="5"/>
      <c r="AG158" s="69"/>
      <c r="AH158" s="18"/>
      <c r="AI158" s="80"/>
    </row>
    <row r="159" spans="3:35" x14ac:dyDescent="0.2">
      <c r="S159" s="18"/>
      <c r="T159" s="18"/>
      <c r="U159" s="18"/>
      <c r="V159" s="18"/>
      <c r="W159" s="18"/>
      <c r="X159" s="18"/>
      <c r="Z159" s="8"/>
      <c r="AA159" s="34"/>
      <c r="AB159" s="5"/>
      <c r="AC159" s="5"/>
      <c r="AD159" s="5"/>
      <c r="AE159" s="5"/>
      <c r="AF159" s="5"/>
      <c r="AG159" s="69"/>
      <c r="AH159" s="18"/>
      <c r="AI159" s="80"/>
    </row>
    <row r="160" spans="3:35" x14ac:dyDescent="0.2">
      <c r="S160" s="18"/>
      <c r="T160" s="18"/>
      <c r="U160" s="18"/>
      <c r="V160" s="18"/>
      <c r="W160" s="18"/>
      <c r="X160" s="18"/>
      <c r="Z160" s="8"/>
      <c r="AA160" s="34"/>
      <c r="AB160" s="5"/>
      <c r="AC160" s="5"/>
      <c r="AD160" s="5"/>
      <c r="AE160" s="5"/>
      <c r="AF160" s="5"/>
      <c r="AG160" s="69"/>
      <c r="AH160" s="18"/>
      <c r="AI160" s="80"/>
    </row>
    <row r="161" spans="19:35" x14ac:dyDescent="0.2">
      <c r="S161" s="18"/>
      <c r="T161" s="18"/>
      <c r="U161" s="18"/>
      <c r="V161" s="18"/>
      <c r="W161" s="18"/>
      <c r="X161" s="18"/>
      <c r="Z161" s="8"/>
      <c r="AA161" s="34"/>
      <c r="AB161" s="5"/>
      <c r="AC161" s="5"/>
      <c r="AD161" s="5"/>
      <c r="AE161" s="5"/>
      <c r="AF161" s="5"/>
      <c r="AG161" s="69"/>
      <c r="AH161" s="18"/>
      <c r="AI161" s="80"/>
    </row>
    <row r="162" spans="19:35" x14ac:dyDescent="0.2">
      <c r="S162" s="18"/>
      <c r="T162" s="18"/>
      <c r="U162" s="18"/>
      <c r="V162" s="18"/>
      <c r="W162" s="18"/>
      <c r="X162" s="18"/>
      <c r="Z162" s="8"/>
      <c r="AA162" s="34"/>
      <c r="AB162" s="5"/>
      <c r="AC162" s="5"/>
      <c r="AD162" s="5"/>
      <c r="AE162" s="5"/>
      <c r="AF162" s="5"/>
      <c r="AG162" s="69"/>
      <c r="AH162" s="18"/>
      <c r="AI162" s="80"/>
    </row>
    <row r="163" spans="19:35" x14ac:dyDescent="0.2">
      <c r="S163" s="18"/>
      <c r="T163" s="18"/>
      <c r="U163" s="18"/>
      <c r="V163" s="18"/>
      <c r="W163" s="18"/>
      <c r="X163" s="18"/>
      <c r="Z163" s="8"/>
      <c r="AA163" s="34"/>
      <c r="AB163" s="5"/>
      <c r="AC163" s="5"/>
      <c r="AD163" s="5"/>
      <c r="AE163" s="5"/>
      <c r="AF163" s="5"/>
      <c r="AG163" s="69"/>
      <c r="AH163" s="18"/>
      <c r="AI163" s="80"/>
    </row>
    <row r="164" spans="19:35" x14ac:dyDescent="0.2">
      <c r="S164" s="18"/>
      <c r="T164" s="18"/>
      <c r="U164" s="18"/>
      <c r="V164" s="18"/>
      <c r="W164" s="18"/>
      <c r="X164" s="18"/>
      <c r="Z164" s="8"/>
      <c r="AA164" s="34"/>
      <c r="AB164" s="5"/>
      <c r="AC164" s="5"/>
      <c r="AD164" s="5"/>
      <c r="AE164" s="5"/>
      <c r="AF164" s="5"/>
      <c r="AG164" s="69"/>
      <c r="AH164" s="18"/>
      <c r="AI164" s="80"/>
    </row>
    <row r="165" spans="19:35" x14ac:dyDescent="0.2">
      <c r="S165" s="18"/>
      <c r="T165" s="18"/>
      <c r="U165" s="18"/>
      <c r="V165" s="18"/>
      <c r="W165" s="18"/>
      <c r="X165" s="18"/>
      <c r="Z165" s="8"/>
      <c r="AA165" s="34"/>
      <c r="AB165" s="5"/>
      <c r="AC165" s="5"/>
      <c r="AD165" s="5"/>
      <c r="AE165" s="5"/>
      <c r="AF165" s="5"/>
      <c r="AG165" s="69"/>
      <c r="AH165" s="18"/>
      <c r="AI165" s="80"/>
    </row>
    <row r="166" spans="19:35" x14ac:dyDescent="0.2">
      <c r="S166" s="18"/>
      <c r="T166" s="18"/>
      <c r="U166" s="18"/>
      <c r="V166" s="18"/>
      <c r="W166" s="18"/>
      <c r="X166" s="18"/>
      <c r="Z166" s="8"/>
      <c r="AA166" s="34"/>
      <c r="AB166" s="5"/>
      <c r="AC166" s="5"/>
      <c r="AD166" s="5"/>
      <c r="AE166" s="5"/>
      <c r="AF166" s="5"/>
      <c r="AG166" s="69"/>
      <c r="AH166" s="18"/>
      <c r="AI166" s="80"/>
    </row>
    <row r="167" spans="19:35" x14ac:dyDescent="0.2">
      <c r="S167" s="18"/>
      <c r="T167" s="18"/>
      <c r="U167" s="18"/>
      <c r="V167" s="18"/>
      <c r="W167" s="18"/>
      <c r="X167" s="18"/>
      <c r="Z167" s="8"/>
      <c r="AA167" s="34"/>
      <c r="AB167" s="5"/>
      <c r="AC167" s="5"/>
      <c r="AD167" s="5"/>
      <c r="AE167" s="5"/>
      <c r="AF167" s="5"/>
      <c r="AG167" s="69"/>
      <c r="AH167" s="18"/>
      <c r="AI167" s="80"/>
    </row>
    <row r="168" spans="19:35" x14ac:dyDescent="0.2">
      <c r="S168" s="18"/>
      <c r="T168" s="18"/>
      <c r="U168" s="18"/>
      <c r="V168" s="18"/>
      <c r="W168" s="18"/>
      <c r="X168" s="18"/>
      <c r="Z168" s="8"/>
      <c r="AA168" s="34"/>
      <c r="AB168" s="5"/>
      <c r="AC168" s="5"/>
      <c r="AD168" s="5"/>
      <c r="AE168" s="5"/>
      <c r="AF168" s="5"/>
      <c r="AG168" s="69"/>
      <c r="AH168" s="18"/>
      <c r="AI168" s="80"/>
    </row>
    <row r="169" spans="19:35" x14ac:dyDescent="0.2">
      <c r="S169" s="18"/>
      <c r="T169" s="18"/>
      <c r="U169" s="18"/>
      <c r="V169" s="18"/>
      <c r="W169" s="18"/>
      <c r="X169" s="18"/>
      <c r="Z169" s="8"/>
      <c r="AA169" s="34"/>
      <c r="AB169" s="5"/>
      <c r="AC169" s="5"/>
      <c r="AD169" s="5"/>
      <c r="AE169" s="5"/>
      <c r="AF169" s="5"/>
      <c r="AG169" s="69"/>
      <c r="AH169" s="18"/>
      <c r="AI169" s="80"/>
    </row>
    <row r="170" spans="19:35" x14ac:dyDescent="0.2">
      <c r="S170" s="18"/>
      <c r="T170" s="18"/>
      <c r="U170" s="18"/>
      <c r="V170" s="18"/>
      <c r="W170" s="18"/>
      <c r="X170" s="18"/>
      <c r="Z170" s="8"/>
      <c r="AA170" s="34"/>
      <c r="AB170" s="5"/>
      <c r="AC170" s="5"/>
      <c r="AD170" s="5"/>
      <c r="AE170" s="5"/>
      <c r="AF170" s="5"/>
      <c r="AG170" s="69"/>
      <c r="AH170" s="18"/>
      <c r="AI170" s="80"/>
    </row>
    <row r="171" spans="19:35" x14ac:dyDescent="0.2">
      <c r="S171" s="18"/>
      <c r="T171" s="18"/>
      <c r="U171" s="18"/>
      <c r="V171" s="18"/>
      <c r="W171" s="18"/>
      <c r="X171" s="18"/>
      <c r="Z171" s="8"/>
      <c r="AA171" s="34"/>
      <c r="AB171" s="5"/>
      <c r="AC171" s="5"/>
      <c r="AD171" s="5"/>
      <c r="AE171" s="5"/>
      <c r="AF171" s="5"/>
      <c r="AG171" s="69"/>
      <c r="AH171" s="18"/>
      <c r="AI171" s="80"/>
    </row>
    <row r="172" spans="19:35" x14ac:dyDescent="0.2">
      <c r="S172" s="18"/>
      <c r="T172" s="18"/>
      <c r="U172" s="18"/>
      <c r="V172" s="18"/>
      <c r="W172" s="18"/>
      <c r="X172" s="18"/>
      <c r="Z172" s="8"/>
      <c r="AA172" s="34"/>
      <c r="AB172" s="5"/>
      <c r="AC172" s="5"/>
      <c r="AD172" s="5"/>
      <c r="AE172" s="5"/>
      <c r="AF172" s="5"/>
      <c r="AG172" s="69"/>
      <c r="AH172" s="18"/>
      <c r="AI172" s="80"/>
    </row>
    <row r="173" spans="19:35" x14ac:dyDescent="0.2">
      <c r="S173" s="18"/>
      <c r="T173" s="18"/>
      <c r="U173" s="18"/>
      <c r="V173" s="18"/>
      <c r="W173" s="18"/>
      <c r="X173" s="18"/>
      <c r="Z173" s="8"/>
      <c r="AA173" s="34"/>
      <c r="AB173" s="5"/>
      <c r="AC173" s="5"/>
      <c r="AD173" s="5"/>
      <c r="AE173" s="5"/>
      <c r="AF173" s="5"/>
      <c r="AG173" s="69"/>
      <c r="AH173" s="18"/>
      <c r="AI173" s="80"/>
    </row>
    <row r="174" spans="19:35" x14ac:dyDescent="0.2">
      <c r="S174" s="18"/>
      <c r="T174" s="18"/>
      <c r="U174" s="18"/>
      <c r="V174" s="18"/>
      <c r="W174" s="18"/>
      <c r="X174" s="18"/>
      <c r="Z174" s="8"/>
      <c r="AA174" s="34"/>
      <c r="AB174" s="5"/>
      <c r="AC174" s="5"/>
      <c r="AD174" s="5"/>
      <c r="AE174" s="5"/>
      <c r="AF174" s="5"/>
      <c r="AG174" s="69"/>
      <c r="AH174" s="18"/>
      <c r="AI174" s="80"/>
    </row>
    <row r="175" spans="19:35" x14ac:dyDescent="0.2">
      <c r="S175" s="18"/>
      <c r="T175" s="18"/>
      <c r="U175" s="18"/>
      <c r="V175" s="18"/>
      <c r="W175" s="18"/>
      <c r="X175" s="18"/>
      <c r="Z175" s="8"/>
      <c r="AA175" s="34"/>
      <c r="AB175" s="5"/>
      <c r="AC175" s="5"/>
      <c r="AD175" s="5"/>
      <c r="AE175" s="5"/>
      <c r="AF175" s="5"/>
      <c r="AG175" s="69"/>
      <c r="AH175" s="18"/>
      <c r="AI175" s="80"/>
    </row>
    <row r="176" spans="19:35" x14ac:dyDescent="0.2">
      <c r="S176" s="18"/>
      <c r="T176" s="18"/>
      <c r="U176" s="18"/>
      <c r="V176" s="18"/>
      <c r="W176" s="18"/>
      <c r="X176" s="18"/>
      <c r="Z176" s="8"/>
      <c r="AA176" s="34"/>
      <c r="AB176" s="5"/>
      <c r="AC176" s="5"/>
      <c r="AD176" s="5"/>
      <c r="AE176" s="5"/>
      <c r="AF176" s="5"/>
      <c r="AG176" s="69"/>
      <c r="AH176" s="18"/>
      <c r="AI176" s="80"/>
    </row>
    <row r="177" spans="19:35" x14ac:dyDescent="0.2">
      <c r="S177" s="18"/>
      <c r="T177" s="18"/>
      <c r="U177" s="18"/>
      <c r="V177" s="18"/>
      <c r="W177" s="18"/>
      <c r="X177" s="18"/>
      <c r="Z177" s="8"/>
      <c r="AA177" s="34"/>
      <c r="AB177" s="5"/>
      <c r="AC177" s="5"/>
      <c r="AD177" s="5"/>
      <c r="AE177" s="5"/>
      <c r="AF177" s="5"/>
      <c r="AG177" s="69"/>
      <c r="AH177" s="18"/>
      <c r="AI177" s="80"/>
    </row>
    <row r="178" spans="19:35" x14ac:dyDescent="0.2">
      <c r="S178" s="18"/>
      <c r="T178" s="18"/>
      <c r="U178" s="18"/>
      <c r="V178" s="18"/>
      <c r="W178" s="18"/>
      <c r="X178" s="18"/>
      <c r="Z178" s="8"/>
      <c r="AA178" s="34"/>
      <c r="AB178" s="5"/>
      <c r="AC178" s="5"/>
      <c r="AD178" s="5"/>
      <c r="AE178" s="5"/>
      <c r="AF178" s="5"/>
      <c r="AG178" s="69"/>
      <c r="AH178" s="18"/>
      <c r="AI178" s="80"/>
    </row>
    <row r="179" spans="19:35" x14ac:dyDescent="0.2">
      <c r="S179" s="18"/>
      <c r="T179" s="18"/>
      <c r="U179" s="18"/>
      <c r="V179" s="18"/>
      <c r="W179" s="18"/>
      <c r="X179" s="18"/>
      <c r="Z179" s="8"/>
      <c r="AA179" s="34"/>
      <c r="AB179" s="5"/>
      <c r="AC179" s="5"/>
      <c r="AD179" s="5"/>
      <c r="AE179" s="5"/>
      <c r="AF179" s="5"/>
      <c r="AG179" s="69"/>
      <c r="AH179" s="18"/>
      <c r="AI179" s="80"/>
    </row>
    <row r="180" spans="19:35" x14ac:dyDescent="0.2">
      <c r="S180" s="18"/>
      <c r="T180" s="18"/>
      <c r="U180" s="18"/>
      <c r="V180" s="18"/>
      <c r="W180" s="18"/>
      <c r="X180" s="18"/>
      <c r="Z180" s="8"/>
      <c r="AA180" s="34"/>
      <c r="AB180" s="5"/>
      <c r="AC180" s="5"/>
      <c r="AD180" s="5"/>
      <c r="AE180" s="5"/>
      <c r="AF180" s="5"/>
      <c r="AG180" s="69"/>
      <c r="AH180" s="18"/>
      <c r="AI180" s="80"/>
    </row>
    <row r="181" spans="19:35" x14ac:dyDescent="0.2">
      <c r="S181" s="18"/>
      <c r="T181" s="18"/>
      <c r="U181" s="18"/>
      <c r="V181" s="18"/>
      <c r="W181" s="18"/>
      <c r="X181" s="18"/>
      <c r="Z181" s="8"/>
      <c r="AA181" s="34"/>
      <c r="AB181" s="5"/>
      <c r="AC181" s="5"/>
      <c r="AD181" s="5"/>
      <c r="AE181" s="5"/>
      <c r="AF181" s="5"/>
      <c r="AG181" s="69"/>
      <c r="AH181" s="18"/>
      <c r="AI181" s="80"/>
    </row>
    <row r="182" spans="19:35" x14ac:dyDescent="0.2">
      <c r="S182" s="18"/>
      <c r="T182" s="18"/>
      <c r="U182" s="18"/>
      <c r="V182" s="18"/>
      <c r="W182" s="18"/>
      <c r="X182" s="18"/>
      <c r="Z182" s="8"/>
      <c r="AA182" s="34"/>
      <c r="AB182" s="5"/>
      <c r="AC182" s="5"/>
      <c r="AD182" s="5"/>
      <c r="AE182" s="5"/>
      <c r="AF182" s="5"/>
      <c r="AG182" s="69"/>
      <c r="AH182" s="18"/>
      <c r="AI182" s="80"/>
    </row>
    <row r="183" spans="19:35" x14ac:dyDescent="0.2">
      <c r="S183" s="18"/>
      <c r="T183" s="18"/>
      <c r="U183" s="18"/>
      <c r="V183" s="18"/>
      <c r="W183" s="18"/>
      <c r="X183" s="18"/>
      <c r="Z183" s="8"/>
      <c r="AA183" s="34"/>
      <c r="AB183" s="5"/>
      <c r="AC183" s="5"/>
      <c r="AD183" s="5"/>
      <c r="AE183" s="5"/>
      <c r="AF183" s="5"/>
      <c r="AG183" s="69"/>
      <c r="AH183" s="18"/>
      <c r="AI183" s="80"/>
    </row>
    <row r="184" spans="19:35" x14ac:dyDescent="0.2">
      <c r="S184" s="18"/>
      <c r="T184" s="18"/>
      <c r="U184" s="18"/>
      <c r="V184" s="18"/>
      <c r="W184" s="18"/>
      <c r="X184" s="18"/>
      <c r="Z184" s="8"/>
      <c r="AA184" s="34"/>
      <c r="AB184" s="5"/>
      <c r="AC184" s="5"/>
      <c r="AD184" s="5"/>
      <c r="AE184" s="5"/>
      <c r="AF184" s="5"/>
      <c r="AG184" s="69"/>
      <c r="AH184" s="18"/>
      <c r="AI184" s="80"/>
    </row>
    <row r="185" spans="19:35" x14ac:dyDescent="0.2">
      <c r="S185" s="18"/>
      <c r="T185" s="18"/>
      <c r="U185" s="18"/>
      <c r="V185" s="18"/>
      <c r="W185" s="18"/>
      <c r="X185" s="18"/>
      <c r="Z185" s="8"/>
      <c r="AA185" s="34"/>
      <c r="AB185" s="5"/>
      <c r="AC185" s="5"/>
      <c r="AD185" s="5"/>
      <c r="AE185" s="5"/>
      <c r="AF185" s="5"/>
      <c r="AG185" s="69"/>
      <c r="AH185" s="18"/>
      <c r="AI185" s="80"/>
    </row>
    <row r="186" spans="19:35" x14ac:dyDescent="0.2">
      <c r="S186" s="18"/>
      <c r="T186" s="18"/>
      <c r="U186" s="18"/>
      <c r="V186" s="18"/>
      <c r="W186" s="18"/>
      <c r="X186" s="18"/>
      <c r="Z186" s="8"/>
      <c r="AA186" s="34"/>
      <c r="AB186" s="5"/>
      <c r="AC186" s="5"/>
      <c r="AD186" s="5"/>
      <c r="AE186" s="5"/>
      <c r="AF186" s="5"/>
      <c r="AG186" s="69"/>
      <c r="AH186" s="18"/>
      <c r="AI186" s="80"/>
    </row>
    <row r="187" spans="19:35" x14ac:dyDescent="0.2">
      <c r="S187" s="18"/>
      <c r="T187" s="18"/>
      <c r="U187" s="18"/>
      <c r="V187" s="18"/>
      <c r="W187" s="18"/>
      <c r="X187" s="18"/>
      <c r="Z187" s="8"/>
      <c r="AA187" s="34"/>
      <c r="AB187" s="5"/>
      <c r="AC187" s="5"/>
      <c r="AD187" s="5"/>
      <c r="AE187" s="5"/>
      <c r="AF187" s="5"/>
      <c r="AG187" s="69"/>
      <c r="AH187" s="18"/>
      <c r="AI187" s="80"/>
    </row>
    <row r="188" spans="19:35" x14ac:dyDescent="0.2">
      <c r="S188" s="18"/>
      <c r="T188" s="18"/>
      <c r="U188" s="18"/>
      <c r="V188" s="18"/>
      <c r="W188" s="18"/>
      <c r="X188" s="18"/>
      <c r="Z188" s="8"/>
      <c r="AA188" s="34"/>
      <c r="AB188" s="5"/>
      <c r="AC188" s="5"/>
      <c r="AD188" s="5"/>
      <c r="AE188" s="5"/>
      <c r="AF188" s="5"/>
      <c r="AG188" s="69"/>
      <c r="AH188" s="18"/>
      <c r="AI188" s="80"/>
    </row>
    <row r="189" spans="19:35" x14ac:dyDescent="0.2">
      <c r="S189" s="18"/>
      <c r="T189" s="18"/>
      <c r="U189" s="18"/>
      <c r="V189" s="18"/>
      <c r="W189" s="18"/>
      <c r="X189" s="18"/>
      <c r="Z189" s="8"/>
      <c r="AA189" s="34"/>
      <c r="AB189" s="5"/>
      <c r="AC189" s="5"/>
      <c r="AD189" s="5"/>
      <c r="AE189" s="5"/>
      <c r="AF189" s="5"/>
      <c r="AG189" s="69"/>
      <c r="AH189" s="18"/>
      <c r="AI189" s="80"/>
    </row>
    <row r="190" spans="19:35" x14ac:dyDescent="0.2">
      <c r="S190" s="18"/>
      <c r="T190" s="18"/>
      <c r="U190" s="18"/>
      <c r="V190" s="18"/>
      <c r="W190" s="18"/>
      <c r="X190" s="18"/>
      <c r="Z190" s="8"/>
      <c r="AA190" s="34"/>
      <c r="AB190" s="5"/>
      <c r="AC190" s="5"/>
      <c r="AD190" s="5"/>
      <c r="AE190" s="5"/>
      <c r="AF190" s="5"/>
      <c r="AG190" s="69"/>
      <c r="AH190" s="18"/>
      <c r="AI190" s="80"/>
    </row>
    <row r="191" spans="19:35" x14ac:dyDescent="0.2">
      <c r="S191" s="18"/>
      <c r="T191" s="18"/>
      <c r="U191" s="18"/>
      <c r="V191" s="18"/>
      <c r="W191" s="18"/>
      <c r="X191" s="18"/>
      <c r="Z191" s="8"/>
      <c r="AA191" s="34"/>
      <c r="AB191" s="5"/>
      <c r="AC191" s="5"/>
      <c r="AD191" s="5"/>
      <c r="AE191" s="5"/>
      <c r="AF191" s="5"/>
      <c r="AG191" s="69"/>
      <c r="AH191" s="18"/>
      <c r="AI191" s="80"/>
    </row>
    <row r="192" spans="19:35" x14ac:dyDescent="0.2">
      <c r="S192" s="18"/>
      <c r="T192" s="18"/>
      <c r="U192" s="18"/>
      <c r="V192" s="18"/>
      <c r="W192" s="18"/>
      <c r="X192" s="18"/>
      <c r="Z192" s="8"/>
      <c r="AA192" s="34"/>
      <c r="AB192" s="5"/>
      <c r="AC192" s="5"/>
      <c r="AD192" s="5"/>
      <c r="AE192" s="5"/>
      <c r="AF192" s="5"/>
      <c r="AG192" s="69"/>
      <c r="AH192" s="18"/>
      <c r="AI192" s="80"/>
    </row>
    <row r="193" spans="19:35" x14ac:dyDescent="0.2">
      <c r="S193" s="18"/>
      <c r="T193" s="18"/>
      <c r="U193" s="18"/>
      <c r="V193" s="18"/>
      <c r="W193" s="18"/>
      <c r="X193" s="18"/>
      <c r="Z193" s="8"/>
      <c r="AA193" s="34"/>
      <c r="AB193" s="5"/>
      <c r="AC193" s="5"/>
      <c r="AD193" s="5"/>
      <c r="AE193" s="5"/>
      <c r="AF193" s="5"/>
      <c r="AG193" s="69"/>
      <c r="AH193" s="18"/>
      <c r="AI193" s="80"/>
    </row>
    <row r="194" spans="19:35" x14ac:dyDescent="0.2">
      <c r="S194" s="18"/>
      <c r="T194" s="18"/>
      <c r="U194" s="18"/>
      <c r="V194" s="18"/>
      <c r="W194" s="18"/>
      <c r="X194" s="18"/>
      <c r="Z194" s="8"/>
      <c r="AA194" s="34"/>
      <c r="AB194" s="5"/>
      <c r="AC194" s="5"/>
      <c r="AD194" s="5"/>
      <c r="AE194" s="5"/>
      <c r="AF194" s="5"/>
      <c r="AG194" s="69"/>
      <c r="AH194" s="18"/>
      <c r="AI194" s="80"/>
    </row>
    <row r="195" spans="19:35" x14ac:dyDescent="0.2">
      <c r="S195" s="18"/>
      <c r="T195" s="18"/>
      <c r="U195" s="18"/>
      <c r="V195" s="18"/>
      <c r="W195" s="18"/>
      <c r="X195" s="18"/>
      <c r="Z195" s="8"/>
      <c r="AA195" s="34"/>
      <c r="AB195" s="5"/>
      <c r="AC195" s="5"/>
      <c r="AD195" s="5"/>
      <c r="AE195" s="5"/>
      <c r="AF195" s="5"/>
      <c r="AG195" s="69"/>
      <c r="AH195" s="18"/>
      <c r="AI195" s="80"/>
    </row>
    <row r="196" spans="19:35" x14ac:dyDescent="0.2">
      <c r="S196" s="18"/>
      <c r="T196" s="18"/>
      <c r="U196" s="18"/>
      <c r="V196" s="18"/>
      <c r="W196" s="18"/>
      <c r="X196" s="18"/>
      <c r="Z196" s="8"/>
      <c r="AA196" s="34"/>
      <c r="AB196" s="5"/>
      <c r="AC196" s="5"/>
      <c r="AD196" s="5"/>
      <c r="AE196" s="5"/>
      <c r="AF196" s="5"/>
      <c r="AG196" s="69"/>
      <c r="AH196" s="18"/>
      <c r="AI196" s="80"/>
    </row>
    <row r="197" spans="19:35" x14ac:dyDescent="0.2">
      <c r="S197" s="18"/>
      <c r="T197" s="18"/>
      <c r="U197" s="18"/>
      <c r="V197" s="18"/>
      <c r="W197" s="18"/>
      <c r="X197" s="18"/>
      <c r="Z197" s="8"/>
      <c r="AA197" s="34"/>
      <c r="AB197" s="5"/>
      <c r="AC197" s="5"/>
      <c r="AD197" s="5"/>
      <c r="AE197" s="5"/>
      <c r="AF197" s="5"/>
      <c r="AG197" s="69"/>
      <c r="AH197" s="18"/>
      <c r="AI197" s="80"/>
    </row>
    <row r="198" spans="19:35" x14ac:dyDescent="0.2">
      <c r="S198" s="18"/>
      <c r="T198" s="18"/>
      <c r="U198" s="18"/>
      <c r="V198" s="18"/>
      <c r="W198" s="18"/>
      <c r="X198" s="18"/>
      <c r="Z198" s="8"/>
      <c r="AA198" s="34"/>
      <c r="AB198" s="5"/>
      <c r="AC198" s="5"/>
      <c r="AD198" s="5"/>
      <c r="AE198" s="5"/>
      <c r="AF198" s="5"/>
      <c r="AG198" s="69"/>
      <c r="AH198" s="18"/>
      <c r="AI198" s="80"/>
    </row>
    <row r="199" spans="19:35" x14ac:dyDescent="0.2">
      <c r="S199" s="18"/>
      <c r="T199" s="18"/>
      <c r="U199" s="18"/>
      <c r="V199" s="18"/>
      <c r="W199" s="18"/>
      <c r="X199" s="18"/>
      <c r="Z199" s="8"/>
      <c r="AA199" s="34"/>
      <c r="AB199" s="5"/>
      <c r="AC199" s="5"/>
      <c r="AD199" s="5"/>
      <c r="AE199" s="5"/>
      <c r="AF199" s="5"/>
      <c r="AG199" s="69"/>
      <c r="AH199" s="18"/>
      <c r="AI199" s="80"/>
    </row>
    <row r="200" spans="19:35" x14ac:dyDescent="0.2">
      <c r="S200" s="18"/>
      <c r="T200" s="18"/>
      <c r="U200" s="18"/>
      <c r="V200" s="18"/>
      <c r="W200" s="18"/>
      <c r="X200" s="18"/>
      <c r="Z200" s="8"/>
      <c r="AA200" s="34"/>
      <c r="AB200" s="5"/>
      <c r="AC200" s="5"/>
      <c r="AD200" s="5"/>
      <c r="AE200" s="5"/>
      <c r="AF200" s="5"/>
      <c r="AG200" s="69"/>
      <c r="AH200" s="18"/>
      <c r="AI200" s="80"/>
    </row>
    <row r="201" spans="19:35" x14ac:dyDescent="0.2">
      <c r="S201" s="18"/>
      <c r="T201" s="18"/>
      <c r="U201" s="18"/>
      <c r="V201" s="18"/>
      <c r="W201" s="18"/>
      <c r="X201" s="18"/>
      <c r="Z201" s="8"/>
      <c r="AA201" s="34"/>
      <c r="AB201" s="5"/>
      <c r="AC201" s="5"/>
      <c r="AD201" s="5"/>
      <c r="AE201" s="5"/>
      <c r="AF201" s="5"/>
      <c r="AG201" s="69"/>
      <c r="AH201" s="18"/>
      <c r="AI201" s="80"/>
    </row>
    <row r="202" spans="19:35" x14ac:dyDescent="0.2">
      <c r="S202" s="18"/>
      <c r="T202" s="18"/>
      <c r="U202" s="18"/>
      <c r="V202" s="18"/>
      <c r="W202" s="18"/>
      <c r="X202" s="18"/>
      <c r="Z202" s="8"/>
      <c r="AA202" s="34"/>
      <c r="AB202" s="5"/>
      <c r="AC202" s="5"/>
      <c r="AD202" s="5"/>
      <c r="AE202" s="5"/>
      <c r="AF202" s="5"/>
      <c r="AG202" s="69"/>
      <c r="AH202" s="18"/>
      <c r="AI202" s="80"/>
    </row>
    <row r="203" spans="19:35" x14ac:dyDescent="0.2">
      <c r="S203" s="18"/>
      <c r="T203" s="18"/>
      <c r="U203" s="18"/>
      <c r="V203" s="18"/>
      <c r="W203" s="18"/>
      <c r="X203" s="18"/>
      <c r="Z203" s="8"/>
      <c r="AA203" s="34"/>
      <c r="AB203" s="5"/>
      <c r="AC203" s="5"/>
      <c r="AD203" s="5"/>
      <c r="AE203" s="5"/>
      <c r="AF203" s="5"/>
      <c r="AG203" s="69"/>
      <c r="AH203" s="18"/>
      <c r="AI203" s="80"/>
    </row>
    <row r="204" spans="19:35" x14ac:dyDescent="0.2">
      <c r="S204" s="18"/>
      <c r="T204" s="18"/>
      <c r="U204" s="18"/>
      <c r="V204" s="18"/>
      <c r="W204" s="18"/>
      <c r="X204" s="18"/>
      <c r="Z204" s="8"/>
      <c r="AA204" s="34"/>
      <c r="AB204" s="5"/>
      <c r="AC204" s="5"/>
      <c r="AD204" s="5"/>
      <c r="AE204" s="5"/>
      <c r="AF204" s="5"/>
      <c r="AG204" s="69"/>
      <c r="AH204" s="18"/>
      <c r="AI204" s="80"/>
    </row>
    <row r="205" spans="19:35" x14ac:dyDescent="0.2">
      <c r="S205" s="18"/>
      <c r="T205" s="18"/>
      <c r="U205" s="18"/>
      <c r="V205" s="18"/>
      <c r="W205" s="18"/>
      <c r="X205" s="18"/>
      <c r="Z205" s="8"/>
      <c r="AA205" s="34"/>
      <c r="AB205" s="5"/>
      <c r="AC205" s="5"/>
      <c r="AD205" s="5"/>
      <c r="AE205" s="5"/>
      <c r="AF205" s="5"/>
      <c r="AG205" s="69"/>
      <c r="AH205" s="18"/>
      <c r="AI205" s="80"/>
    </row>
    <row r="206" spans="19:35" x14ac:dyDescent="0.2">
      <c r="S206" s="18"/>
      <c r="T206" s="18"/>
      <c r="U206" s="18"/>
      <c r="V206" s="18"/>
      <c r="W206" s="18"/>
      <c r="X206" s="18"/>
      <c r="Z206" s="8"/>
      <c r="AA206" s="34"/>
      <c r="AB206" s="5"/>
      <c r="AC206" s="5"/>
      <c r="AD206" s="5"/>
      <c r="AE206" s="5"/>
      <c r="AF206" s="5"/>
      <c r="AG206" s="69"/>
      <c r="AH206" s="18"/>
      <c r="AI206" s="80"/>
    </row>
    <row r="207" spans="19:35" x14ac:dyDescent="0.2">
      <c r="S207" s="18"/>
      <c r="T207" s="18"/>
      <c r="U207" s="18"/>
      <c r="V207" s="18"/>
      <c r="W207" s="18"/>
      <c r="X207" s="18"/>
      <c r="Z207" s="8"/>
      <c r="AA207" s="34"/>
      <c r="AB207" s="5"/>
      <c r="AC207" s="5"/>
      <c r="AD207" s="5"/>
      <c r="AE207" s="5"/>
      <c r="AF207" s="5"/>
      <c r="AG207" s="69"/>
      <c r="AH207" s="18"/>
      <c r="AI207" s="80"/>
    </row>
    <row r="208" spans="19:35" x14ac:dyDescent="0.2">
      <c r="S208" s="18"/>
      <c r="T208" s="18"/>
      <c r="U208" s="18"/>
      <c r="V208" s="18"/>
      <c r="W208" s="18"/>
      <c r="X208" s="18"/>
      <c r="Z208" s="8"/>
      <c r="AA208" s="34"/>
      <c r="AB208" s="5"/>
      <c r="AC208" s="5"/>
      <c r="AD208" s="5"/>
      <c r="AE208" s="5"/>
      <c r="AF208" s="5"/>
      <c r="AG208" s="69"/>
      <c r="AH208" s="18"/>
      <c r="AI208" s="80"/>
    </row>
    <row r="209" spans="19:35" x14ac:dyDescent="0.2">
      <c r="S209" s="18"/>
      <c r="T209" s="18"/>
      <c r="U209" s="18"/>
      <c r="V209" s="18"/>
      <c r="W209" s="18"/>
      <c r="X209" s="18"/>
      <c r="Z209" s="8"/>
      <c r="AA209" s="34"/>
      <c r="AB209" s="5"/>
      <c r="AC209" s="5"/>
      <c r="AD209" s="5"/>
      <c r="AE209" s="5"/>
      <c r="AF209" s="5"/>
      <c r="AG209" s="69"/>
      <c r="AH209" s="18"/>
      <c r="AI209" s="80"/>
    </row>
    <row r="210" spans="19:35" x14ac:dyDescent="0.2">
      <c r="S210" s="18"/>
      <c r="T210" s="18"/>
      <c r="U210" s="18"/>
      <c r="V210" s="18"/>
      <c r="W210" s="18"/>
      <c r="X210" s="18"/>
      <c r="Z210" s="8"/>
      <c r="AA210" s="34"/>
      <c r="AB210" s="5"/>
      <c r="AC210" s="5"/>
      <c r="AD210" s="5"/>
      <c r="AE210" s="5"/>
      <c r="AF210" s="5"/>
      <c r="AG210" s="69"/>
      <c r="AH210" s="18"/>
      <c r="AI210" s="80"/>
    </row>
    <row r="211" spans="19:35" x14ac:dyDescent="0.2">
      <c r="S211" s="18"/>
      <c r="T211" s="18"/>
      <c r="U211" s="18"/>
      <c r="V211" s="18"/>
      <c r="W211" s="18"/>
      <c r="X211" s="18"/>
      <c r="Z211" s="8"/>
      <c r="AA211" s="34"/>
      <c r="AB211" s="5"/>
      <c r="AC211" s="5"/>
      <c r="AD211" s="5"/>
      <c r="AE211" s="5"/>
      <c r="AF211" s="5"/>
      <c r="AG211" s="69"/>
      <c r="AH211" s="18"/>
      <c r="AI211" s="80"/>
    </row>
    <row r="212" spans="19:35" x14ac:dyDescent="0.2">
      <c r="S212" s="18"/>
      <c r="T212" s="18"/>
      <c r="U212" s="18"/>
      <c r="V212" s="18"/>
      <c r="W212" s="18"/>
      <c r="X212" s="18"/>
      <c r="Z212" s="8"/>
      <c r="AA212" s="34"/>
      <c r="AB212" s="5"/>
      <c r="AC212" s="5"/>
      <c r="AD212" s="5"/>
      <c r="AE212" s="5"/>
      <c r="AF212" s="5"/>
      <c r="AG212" s="69"/>
      <c r="AH212" s="18"/>
      <c r="AI212" s="80"/>
    </row>
    <row r="213" spans="19:35" x14ac:dyDescent="0.2">
      <c r="S213" s="18"/>
      <c r="T213" s="18"/>
      <c r="U213" s="18"/>
      <c r="V213" s="18"/>
      <c r="W213" s="18"/>
      <c r="X213" s="18"/>
      <c r="Z213" s="8"/>
      <c r="AA213" s="34"/>
      <c r="AB213" s="5"/>
      <c r="AC213" s="5"/>
      <c r="AD213" s="5"/>
      <c r="AE213" s="5"/>
      <c r="AF213" s="5"/>
      <c r="AG213" s="69"/>
      <c r="AH213" s="18"/>
      <c r="AI213" s="80"/>
    </row>
    <row r="214" spans="19:35" x14ac:dyDescent="0.2">
      <c r="S214" s="18"/>
      <c r="T214" s="18"/>
      <c r="U214" s="18"/>
      <c r="V214" s="18"/>
      <c r="W214" s="18"/>
      <c r="X214" s="18"/>
      <c r="Z214" s="8"/>
      <c r="AA214" s="34"/>
      <c r="AB214" s="5"/>
      <c r="AC214" s="5"/>
      <c r="AD214" s="5"/>
      <c r="AE214" s="5"/>
      <c r="AF214" s="5"/>
      <c r="AG214" s="69"/>
      <c r="AH214" s="18"/>
      <c r="AI214" s="80"/>
    </row>
    <row r="215" spans="19:35" x14ac:dyDescent="0.2">
      <c r="S215" s="18"/>
      <c r="T215" s="18"/>
      <c r="U215" s="18"/>
      <c r="V215" s="18"/>
      <c r="W215" s="18"/>
      <c r="X215" s="18"/>
      <c r="Z215" s="8"/>
      <c r="AA215" s="34"/>
      <c r="AB215" s="5"/>
      <c r="AC215" s="5"/>
      <c r="AD215" s="5"/>
      <c r="AE215" s="5"/>
      <c r="AF215" s="5"/>
      <c r="AG215" s="69"/>
      <c r="AH215" s="18"/>
      <c r="AI215" s="80"/>
    </row>
    <row r="216" spans="19:35" x14ac:dyDescent="0.2">
      <c r="S216" s="18"/>
      <c r="T216" s="18"/>
      <c r="U216" s="18"/>
      <c r="V216" s="18"/>
      <c r="W216" s="18"/>
      <c r="X216" s="18"/>
      <c r="Z216" s="8"/>
      <c r="AA216" s="34"/>
      <c r="AB216" s="5"/>
      <c r="AC216" s="5"/>
      <c r="AD216" s="5"/>
      <c r="AE216" s="5"/>
      <c r="AF216" s="5"/>
      <c r="AG216" s="69"/>
      <c r="AH216" s="18"/>
      <c r="AI216" s="80"/>
    </row>
    <row r="217" spans="19:35" x14ac:dyDescent="0.2">
      <c r="S217" s="18"/>
      <c r="T217" s="18"/>
      <c r="U217" s="18"/>
      <c r="V217" s="18"/>
      <c r="W217" s="18"/>
      <c r="X217" s="18"/>
      <c r="Z217" s="8"/>
      <c r="AA217" s="34"/>
      <c r="AB217" s="5"/>
      <c r="AC217" s="5"/>
      <c r="AD217" s="5"/>
      <c r="AE217" s="5"/>
      <c r="AF217" s="5"/>
      <c r="AG217" s="69"/>
      <c r="AH217" s="18"/>
      <c r="AI217" s="80"/>
    </row>
    <row r="218" spans="19:35" x14ac:dyDescent="0.2">
      <c r="S218" s="18"/>
      <c r="T218" s="18"/>
      <c r="U218" s="18"/>
      <c r="V218" s="18"/>
      <c r="W218" s="18"/>
      <c r="X218" s="18"/>
      <c r="Z218" s="8"/>
      <c r="AA218" s="34"/>
      <c r="AB218" s="5"/>
      <c r="AC218" s="5"/>
      <c r="AD218" s="5"/>
      <c r="AE218" s="5"/>
      <c r="AF218" s="5"/>
      <c r="AG218" s="69"/>
      <c r="AH218" s="18"/>
      <c r="AI218" s="80"/>
    </row>
    <row r="219" spans="19:35" x14ac:dyDescent="0.2">
      <c r="S219" s="18"/>
      <c r="T219" s="18"/>
      <c r="U219" s="18"/>
      <c r="V219" s="18"/>
      <c r="W219" s="18"/>
      <c r="X219" s="18"/>
      <c r="Z219" s="8"/>
      <c r="AA219" s="34"/>
      <c r="AB219" s="5"/>
      <c r="AC219" s="5"/>
      <c r="AD219" s="5"/>
      <c r="AE219" s="5"/>
      <c r="AF219" s="5"/>
      <c r="AG219" s="69"/>
      <c r="AH219" s="18"/>
      <c r="AI219" s="80"/>
    </row>
    <row r="220" spans="19:35" x14ac:dyDescent="0.2">
      <c r="S220" s="18"/>
      <c r="T220" s="18"/>
      <c r="U220" s="18"/>
      <c r="V220" s="18"/>
      <c r="W220" s="18"/>
      <c r="X220" s="18"/>
      <c r="Z220" s="8"/>
      <c r="AA220" s="34"/>
      <c r="AB220" s="5"/>
      <c r="AC220" s="5"/>
      <c r="AD220" s="5"/>
      <c r="AE220" s="5"/>
      <c r="AF220" s="5"/>
      <c r="AG220" s="69"/>
      <c r="AH220" s="18"/>
      <c r="AI220" s="80"/>
    </row>
    <row r="221" spans="19:35" x14ac:dyDescent="0.2">
      <c r="S221" s="18"/>
      <c r="T221" s="18"/>
      <c r="U221" s="18"/>
      <c r="V221" s="18"/>
      <c r="W221" s="18"/>
      <c r="X221" s="18"/>
      <c r="Z221" s="8"/>
      <c r="AA221" s="34"/>
      <c r="AB221" s="5"/>
      <c r="AC221" s="5"/>
      <c r="AD221" s="5"/>
      <c r="AE221" s="5"/>
      <c r="AF221" s="5"/>
      <c r="AG221" s="69"/>
      <c r="AH221" s="18"/>
      <c r="AI221" s="80"/>
    </row>
    <row r="222" spans="19:35" x14ac:dyDescent="0.2">
      <c r="S222" s="18"/>
      <c r="T222" s="18"/>
      <c r="U222" s="18"/>
      <c r="V222" s="18"/>
      <c r="W222" s="18"/>
      <c r="X222" s="18"/>
      <c r="Z222" s="8"/>
      <c r="AA222" s="34"/>
      <c r="AB222" s="5"/>
      <c r="AC222" s="5"/>
      <c r="AD222" s="5"/>
      <c r="AE222" s="5"/>
      <c r="AF222" s="5"/>
      <c r="AG222" s="69"/>
      <c r="AH222" s="18"/>
      <c r="AI222" s="80"/>
    </row>
    <row r="223" spans="19:35" x14ac:dyDescent="0.2">
      <c r="S223" s="18"/>
      <c r="T223" s="18"/>
      <c r="U223" s="18"/>
      <c r="V223" s="18"/>
      <c r="W223" s="18"/>
      <c r="X223" s="18"/>
      <c r="Z223" s="8"/>
      <c r="AA223" s="34"/>
      <c r="AB223" s="5"/>
      <c r="AC223" s="5"/>
      <c r="AD223" s="5"/>
      <c r="AE223" s="5"/>
      <c r="AF223" s="5"/>
      <c r="AG223" s="69"/>
      <c r="AH223" s="18"/>
      <c r="AI223" s="80"/>
    </row>
    <row r="224" spans="19:35" x14ac:dyDescent="0.2">
      <c r="S224" s="18"/>
      <c r="T224" s="18"/>
      <c r="U224" s="18"/>
      <c r="V224" s="18"/>
      <c r="W224" s="18"/>
      <c r="X224" s="18"/>
      <c r="Z224" s="8"/>
      <c r="AA224" s="34"/>
      <c r="AB224" s="5"/>
      <c r="AC224" s="5"/>
      <c r="AD224" s="5"/>
      <c r="AE224" s="5"/>
      <c r="AF224" s="5"/>
      <c r="AG224" s="69"/>
      <c r="AH224" s="18"/>
      <c r="AI224" s="80"/>
    </row>
    <row r="225" spans="19:35" x14ac:dyDescent="0.2">
      <c r="S225" s="18"/>
      <c r="T225" s="18"/>
      <c r="U225" s="18"/>
      <c r="V225" s="18"/>
      <c r="W225" s="18"/>
      <c r="X225" s="18"/>
      <c r="Z225" s="8"/>
      <c r="AA225" s="34"/>
      <c r="AB225" s="5"/>
      <c r="AC225" s="5"/>
      <c r="AD225" s="5"/>
      <c r="AE225" s="5"/>
      <c r="AF225" s="5"/>
      <c r="AG225" s="69"/>
      <c r="AH225" s="18"/>
      <c r="AI225" s="80"/>
    </row>
    <row r="226" spans="19:35" x14ac:dyDescent="0.2">
      <c r="S226" s="18"/>
      <c r="T226" s="18"/>
      <c r="U226" s="18"/>
      <c r="V226" s="18"/>
      <c r="W226" s="18"/>
      <c r="X226" s="18"/>
      <c r="Z226" s="8"/>
      <c r="AA226" s="34"/>
      <c r="AB226" s="5"/>
      <c r="AC226" s="5"/>
      <c r="AD226" s="5"/>
      <c r="AE226" s="5"/>
      <c r="AF226" s="5"/>
      <c r="AG226" s="69"/>
      <c r="AH226" s="18"/>
      <c r="AI226" s="80"/>
    </row>
    <row r="227" spans="19:35" x14ac:dyDescent="0.2">
      <c r="S227" s="18"/>
      <c r="T227" s="18"/>
      <c r="U227" s="18"/>
      <c r="V227" s="18"/>
      <c r="W227" s="18"/>
      <c r="X227" s="18"/>
      <c r="Z227" s="8"/>
      <c r="AA227" s="34"/>
      <c r="AB227" s="5"/>
      <c r="AC227" s="5"/>
      <c r="AD227" s="5"/>
      <c r="AE227" s="5"/>
      <c r="AF227" s="5"/>
      <c r="AG227" s="69"/>
      <c r="AH227" s="18"/>
      <c r="AI227" s="80"/>
    </row>
    <row r="228" spans="19:35" x14ac:dyDescent="0.2">
      <c r="S228" s="18"/>
      <c r="T228" s="18"/>
      <c r="U228" s="18"/>
      <c r="V228" s="18"/>
      <c r="W228" s="18"/>
      <c r="X228" s="18"/>
      <c r="Z228" s="8"/>
      <c r="AA228" s="34"/>
      <c r="AB228" s="5"/>
      <c r="AC228" s="5"/>
      <c r="AD228" s="5"/>
      <c r="AE228" s="5"/>
      <c r="AF228" s="5"/>
      <c r="AG228" s="69"/>
      <c r="AH228" s="18"/>
      <c r="AI228" s="80"/>
    </row>
    <row r="229" spans="19:35" x14ac:dyDescent="0.2">
      <c r="S229" s="18"/>
      <c r="T229" s="18"/>
      <c r="U229" s="18"/>
      <c r="V229" s="18"/>
      <c r="W229" s="18"/>
      <c r="X229" s="18"/>
      <c r="Z229" s="8"/>
      <c r="AA229" s="34"/>
      <c r="AB229" s="5"/>
      <c r="AC229" s="5"/>
      <c r="AD229" s="5"/>
      <c r="AE229" s="5"/>
      <c r="AF229" s="5"/>
      <c r="AG229" s="69"/>
      <c r="AH229" s="18"/>
      <c r="AI229" s="80"/>
    </row>
    <row r="230" spans="19:35" x14ac:dyDescent="0.2">
      <c r="S230" s="18"/>
      <c r="T230" s="18"/>
      <c r="U230" s="18"/>
      <c r="V230" s="18"/>
      <c r="W230" s="18"/>
      <c r="X230" s="18"/>
      <c r="Z230" s="8"/>
      <c r="AA230" s="34"/>
      <c r="AB230" s="5"/>
      <c r="AC230" s="5"/>
      <c r="AD230" s="5"/>
      <c r="AE230" s="5"/>
      <c r="AF230" s="5"/>
      <c r="AG230" s="69"/>
      <c r="AH230" s="18"/>
      <c r="AI230" s="80"/>
    </row>
    <row r="231" spans="19:35" x14ac:dyDescent="0.2">
      <c r="S231" s="18"/>
      <c r="T231" s="18"/>
      <c r="U231" s="18"/>
      <c r="V231" s="18"/>
      <c r="W231" s="18"/>
      <c r="X231" s="18"/>
      <c r="Z231" s="8"/>
      <c r="AA231" s="34"/>
      <c r="AB231" s="5"/>
      <c r="AC231" s="5"/>
      <c r="AD231" s="5"/>
      <c r="AE231" s="5"/>
      <c r="AF231" s="5"/>
      <c r="AG231" s="69"/>
      <c r="AH231" s="18"/>
      <c r="AI231" s="80"/>
    </row>
    <row r="232" spans="19:35" x14ac:dyDescent="0.2">
      <c r="S232" s="18"/>
      <c r="T232" s="18"/>
      <c r="U232" s="18"/>
      <c r="V232" s="18"/>
      <c r="W232" s="18"/>
      <c r="X232" s="18"/>
      <c r="Z232" s="8"/>
      <c r="AA232" s="34"/>
      <c r="AB232" s="5"/>
      <c r="AC232" s="5"/>
      <c r="AD232" s="5"/>
      <c r="AE232" s="5"/>
      <c r="AF232" s="5"/>
      <c r="AG232" s="69"/>
      <c r="AH232" s="18"/>
      <c r="AI232" s="80"/>
    </row>
    <row r="233" spans="19:35" x14ac:dyDescent="0.2">
      <c r="S233" s="18"/>
      <c r="T233" s="18"/>
      <c r="U233" s="18"/>
      <c r="V233" s="18"/>
      <c r="W233" s="18"/>
      <c r="X233" s="18"/>
      <c r="Z233" s="8"/>
      <c r="AA233" s="34"/>
      <c r="AB233" s="5"/>
      <c r="AC233" s="5"/>
      <c r="AD233" s="5"/>
      <c r="AE233" s="5"/>
      <c r="AF233" s="5"/>
      <c r="AG233" s="69"/>
      <c r="AH233" s="18"/>
      <c r="AI233" s="80"/>
    </row>
    <row r="234" spans="19:35" x14ac:dyDescent="0.2">
      <c r="S234" s="18"/>
      <c r="T234" s="18"/>
      <c r="U234" s="18"/>
      <c r="V234" s="18"/>
      <c r="W234" s="18"/>
      <c r="X234" s="18"/>
      <c r="Z234" s="8"/>
      <c r="AA234" s="34"/>
      <c r="AB234" s="5"/>
      <c r="AC234" s="5"/>
      <c r="AD234" s="5"/>
      <c r="AE234" s="5"/>
      <c r="AF234" s="5"/>
      <c r="AG234" s="69"/>
      <c r="AH234" s="18"/>
      <c r="AI234" s="80"/>
    </row>
    <row r="235" spans="19:35" x14ac:dyDescent="0.2">
      <c r="S235" s="18"/>
      <c r="T235" s="18"/>
      <c r="U235" s="18"/>
      <c r="V235" s="18"/>
      <c r="W235" s="18"/>
      <c r="X235" s="18"/>
      <c r="Z235" s="8"/>
      <c r="AA235" s="34"/>
      <c r="AB235" s="5"/>
      <c r="AC235" s="5"/>
      <c r="AD235" s="5"/>
      <c r="AE235" s="5"/>
      <c r="AF235" s="5"/>
      <c r="AG235" s="69"/>
      <c r="AH235" s="18"/>
      <c r="AI235" s="80"/>
    </row>
    <row r="236" spans="19:35" x14ac:dyDescent="0.2">
      <c r="S236" s="18"/>
      <c r="T236" s="18"/>
      <c r="U236" s="18"/>
      <c r="V236" s="18"/>
      <c r="W236" s="18"/>
      <c r="X236" s="18"/>
      <c r="Z236" s="8"/>
      <c r="AA236" s="34"/>
      <c r="AB236" s="5"/>
      <c r="AC236" s="5"/>
      <c r="AD236" s="5"/>
      <c r="AE236" s="5"/>
      <c r="AF236" s="5"/>
      <c r="AG236" s="69"/>
      <c r="AH236" s="18"/>
      <c r="AI236" s="80"/>
    </row>
    <row r="237" spans="19:35" x14ac:dyDescent="0.2">
      <c r="S237" s="18"/>
      <c r="T237" s="18"/>
      <c r="U237" s="18"/>
      <c r="V237" s="18"/>
      <c r="W237" s="18"/>
      <c r="X237" s="18"/>
      <c r="Z237" s="8"/>
      <c r="AA237" s="34"/>
      <c r="AB237" s="5"/>
      <c r="AC237" s="5"/>
      <c r="AD237" s="5"/>
      <c r="AE237" s="5"/>
      <c r="AF237" s="5"/>
      <c r="AG237" s="69"/>
      <c r="AH237" s="18"/>
      <c r="AI237" s="80"/>
    </row>
    <row r="238" spans="19:35" x14ac:dyDescent="0.2">
      <c r="S238" s="18"/>
      <c r="T238" s="18"/>
      <c r="U238" s="18"/>
      <c r="V238" s="18"/>
      <c r="W238" s="18"/>
      <c r="X238" s="18"/>
      <c r="Z238" s="8"/>
      <c r="AA238" s="34"/>
      <c r="AB238" s="5"/>
      <c r="AC238" s="5"/>
      <c r="AD238" s="5"/>
      <c r="AE238" s="5"/>
      <c r="AF238" s="5"/>
      <c r="AG238" s="69"/>
      <c r="AH238" s="18"/>
      <c r="AI238" s="80"/>
    </row>
    <row r="239" spans="19:35" x14ac:dyDescent="0.2">
      <c r="S239" s="18"/>
      <c r="T239" s="18"/>
      <c r="U239" s="18"/>
      <c r="V239" s="18"/>
      <c r="W239" s="18"/>
      <c r="X239" s="18"/>
      <c r="Z239" s="8"/>
      <c r="AA239" s="34"/>
      <c r="AB239" s="5"/>
      <c r="AC239" s="5"/>
      <c r="AD239" s="5"/>
      <c r="AE239" s="5"/>
      <c r="AF239" s="5"/>
      <c r="AG239" s="69"/>
      <c r="AH239" s="18"/>
      <c r="AI239" s="80"/>
    </row>
    <row r="240" spans="19:35" x14ac:dyDescent="0.2">
      <c r="S240" s="18"/>
      <c r="T240" s="18"/>
      <c r="U240" s="18"/>
      <c r="V240" s="18"/>
      <c r="W240" s="18"/>
      <c r="X240" s="18"/>
      <c r="Z240" s="8"/>
      <c r="AA240" s="34"/>
      <c r="AB240" s="5"/>
      <c r="AC240" s="5"/>
      <c r="AD240" s="5"/>
      <c r="AE240" s="5"/>
      <c r="AF240" s="5"/>
      <c r="AG240" s="69"/>
      <c r="AH240" s="18"/>
      <c r="AI240" s="80"/>
    </row>
    <row r="241" spans="19:35" x14ac:dyDescent="0.2">
      <c r="S241" s="18"/>
      <c r="T241" s="18"/>
      <c r="U241" s="18"/>
      <c r="V241" s="18"/>
      <c r="W241" s="18"/>
      <c r="X241" s="18"/>
      <c r="Z241" s="8"/>
      <c r="AA241" s="34"/>
      <c r="AB241" s="5"/>
      <c r="AC241" s="5"/>
      <c r="AD241" s="5"/>
      <c r="AE241" s="5"/>
      <c r="AF241" s="5"/>
      <c r="AG241" s="69"/>
      <c r="AH241" s="18"/>
      <c r="AI241" s="80"/>
    </row>
    <row r="242" spans="19:35" x14ac:dyDescent="0.2">
      <c r="S242" s="18"/>
      <c r="T242" s="18"/>
      <c r="U242" s="18"/>
      <c r="V242" s="18"/>
      <c r="W242" s="18"/>
      <c r="X242" s="18"/>
      <c r="Z242" s="8"/>
      <c r="AA242" s="34"/>
      <c r="AB242" s="5"/>
      <c r="AC242" s="5"/>
      <c r="AD242" s="5"/>
      <c r="AE242" s="5"/>
      <c r="AF242" s="5"/>
      <c r="AG242" s="69"/>
      <c r="AH242" s="18"/>
      <c r="AI242" s="80"/>
    </row>
    <row r="243" spans="19:35" x14ac:dyDescent="0.2">
      <c r="S243" s="18"/>
      <c r="T243" s="18"/>
      <c r="U243" s="18"/>
      <c r="V243" s="18"/>
      <c r="W243" s="18"/>
      <c r="X243" s="18"/>
      <c r="Z243" s="8"/>
      <c r="AA243" s="34"/>
      <c r="AB243" s="5"/>
      <c r="AC243" s="5"/>
      <c r="AD243" s="5"/>
      <c r="AE243" s="5"/>
      <c r="AF243" s="5"/>
      <c r="AG243" s="69"/>
      <c r="AH243" s="18"/>
      <c r="AI243" s="80"/>
    </row>
    <row r="244" spans="19:35" x14ac:dyDescent="0.2">
      <c r="S244" s="18"/>
      <c r="T244" s="18"/>
      <c r="U244" s="18"/>
      <c r="V244" s="18"/>
      <c r="W244" s="18"/>
      <c r="X244" s="18"/>
      <c r="Z244" s="8"/>
      <c r="AA244" s="34"/>
      <c r="AB244" s="5"/>
      <c r="AC244" s="5"/>
      <c r="AD244" s="5"/>
      <c r="AE244" s="5"/>
      <c r="AF244" s="5"/>
      <c r="AG244" s="69"/>
      <c r="AH244" s="18"/>
      <c r="AI244" s="80"/>
    </row>
    <row r="245" spans="19:35" x14ac:dyDescent="0.2">
      <c r="S245" s="18"/>
      <c r="T245" s="18"/>
      <c r="U245" s="18"/>
      <c r="V245" s="18"/>
      <c r="W245" s="18"/>
      <c r="X245" s="18"/>
      <c r="Z245" s="8"/>
      <c r="AA245" s="34"/>
      <c r="AB245" s="5"/>
      <c r="AC245" s="5"/>
      <c r="AD245" s="5"/>
      <c r="AE245" s="5"/>
      <c r="AF245" s="5"/>
      <c r="AG245" s="69"/>
      <c r="AH245" s="18"/>
      <c r="AI245" s="80"/>
    </row>
    <row r="246" spans="19:35" x14ac:dyDescent="0.2">
      <c r="S246" s="18"/>
      <c r="T246" s="18"/>
      <c r="U246" s="18"/>
      <c r="V246" s="18"/>
      <c r="W246" s="18"/>
      <c r="X246" s="18"/>
      <c r="Z246" s="8"/>
      <c r="AA246" s="34"/>
      <c r="AB246" s="5"/>
      <c r="AC246" s="5"/>
      <c r="AD246" s="5"/>
      <c r="AE246" s="5"/>
      <c r="AF246" s="5"/>
      <c r="AG246" s="69"/>
      <c r="AH246" s="18"/>
      <c r="AI246" s="80"/>
    </row>
    <row r="247" spans="19:35" x14ac:dyDescent="0.2">
      <c r="S247" s="18"/>
      <c r="T247" s="18"/>
      <c r="U247" s="18"/>
      <c r="V247" s="18"/>
      <c r="W247" s="18"/>
      <c r="X247" s="18"/>
      <c r="Z247" s="8"/>
      <c r="AA247" s="34"/>
      <c r="AB247" s="5"/>
      <c r="AC247" s="5"/>
      <c r="AD247" s="5"/>
      <c r="AE247" s="5"/>
      <c r="AF247" s="5"/>
      <c r="AG247" s="69"/>
      <c r="AH247" s="18"/>
      <c r="AI247" s="80"/>
    </row>
    <row r="248" spans="19:35" x14ac:dyDescent="0.2">
      <c r="S248" s="18"/>
      <c r="T248" s="18"/>
      <c r="U248" s="18"/>
      <c r="V248" s="18"/>
      <c r="W248" s="18"/>
      <c r="X248" s="18"/>
      <c r="Z248" s="8"/>
      <c r="AA248" s="34"/>
      <c r="AB248" s="5"/>
      <c r="AC248" s="5"/>
      <c r="AD248" s="5"/>
      <c r="AE248" s="5"/>
      <c r="AF248" s="5"/>
      <c r="AG248" s="69"/>
      <c r="AH248" s="18"/>
      <c r="AI248" s="80"/>
    </row>
    <row r="249" spans="19:35" x14ac:dyDescent="0.2">
      <c r="S249" s="18"/>
      <c r="T249" s="18"/>
      <c r="U249" s="18"/>
      <c r="V249" s="18"/>
      <c r="W249" s="18"/>
      <c r="X249" s="18"/>
      <c r="Z249" s="8"/>
      <c r="AA249" s="34"/>
      <c r="AB249" s="5"/>
      <c r="AC249" s="5"/>
      <c r="AD249" s="5"/>
      <c r="AE249" s="5"/>
      <c r="AF249" s="5"/>
      <c r="AG249" s="69"/>
      <c r="AH249" s="18"/>
      <c r="AI249" s="80"/>
    </row>
    <row r="250" spans="19:35" x14ac:dyDescent="0.2">
      <c r="S250" s="18"/>
      <c r="T250" s="18"/>
      <c r="U250" s="18"/>
      <c r="V250" s="18"/>
      <c r="W250" s="18"/>
      <c r="X250" s="18"/>
      <c r="Z250" s="8"/>
      <c r="AA250" s="34"/>
      <c r="AB250" s="5"/>
      <c r="AC250" s="5"/>
      <c r="AD250" s="5"/>
      <c r="AE250" s="5"/>
      <c r="AF250" s="5"/>
      <c r="AG250" s="69"/>
      <c r="AH250" s="18"/>
      <c r="AI250" s="80"/>
    </row>
    <row r="251" spans="19:35" x14ac:dyDescent="0.2">
      <c r="S251" s="18"/>
      <c r="T251" s="18"/>
      <c r="U251" s="18"/>
      <c r="V251" s="18"/>
      <c r="W251" s="18"/>
      <c r="X251" s="18"/>
      <c r="Z251" s="8"/>
      <c r="AA251" s="34"/>
      <c r="AB251" s="5"/>
      <c r="AC251" s="5"/>
      <c r="AD251" s="5"/>
      <c r="AE251" s="5"/>
      <c r="AF251" s="5"/>
      <c r="AG251" s="69"/>
      <c r="AH251" s="18"/>
      <c r="AI251" s="80"/>
    </row>
    <row r="252" spans="19:35" x14ac:dyDescent="0.2">
      <c r="S252" s="18"/>
      <c r="T252" s="18"/>
      <c r="U252" s="18"/>
      <c r="V252" s="18"/>
      <c r="W252" s="18"/>
      <c r="X252" s="18"/>
      <c r="Z252" s="8"/>
      <c r="AA252" s="34"/>
      <c r="AB252" s="5"/>
      <c r="AC252" s="5"/>
      <c r="AD252" s="5"/>
      <c r="AE252" s="5"/>
      <c r="AF252" s="5"/>
      <c r="AG252" s="69"/>
      <c r="AH252" s="18"/>
      <c r="AI252" s="80"/>
    </row>
    <row r="253" spans="19:35" x14ac:dyDescent="0.2">
      <c r="S253" s="18"/>
      <c r="T253" s="18"/>
      <c r="U253" s="18"/>
      <c r="V253" s="18"/>
      <c r="W253" s="18"/>
      <c r="X253" s="18"/>
      <c r="Z253" s="8"/>
      <c r="AA253" s="34"/>
      <c r="AB253" s="5"/>
      <c r="AC253" s="5"/>
      <c r="AD253" s="5"/>
      <c r="AE253" s="5"/>
      <c r="AF253" s="5"/>
      <c r="AG253" s="69"/>
      <c r="AH253" s="18"/>
      <c r="AI253" s="80"/>
    </row>
    <row r="254" spans="19:35" x14ac:dyDescent="0.2">
      <c r="S254" s="18"/>
      <c r="T254" s="18"/>
      <c r="U254" s="18"/>
      <c r="V254" s="18"/>
      <c r="W254" s="18"/>
      <c r="X254" s="18"/>
      <c r="Z254" s="8"/>
      <c r="AA254" s="34"/>
      <c r="AB254" s="5"/>
      <c r="AC254" s="5"/>
      <c r="AD254" s="5"/>
      <c r="AE254" s="5"/>
      <c r="AF254" s="5"/>
      <c r="AG254" s="69"/>
      <c r="AH254" s="18"/>
      <c r="AI254" s="80"/>
    </row>
    <row r="255" spans="19:35" x14ac:dyDescent="0.2">
      <c r="S255" s="18"/>
      <c r="T255" s="18"/>
      <c r="U255" s="18"/>
      <c r="V255" s="18"/>
      <c r="W255" s="18"/>
      <c r="X255" s="18"/>
      <c r="Z255" s="8"/>
      <c r="AA255" s="34"/>
      <c r="AB255" s="5"/>
      <c r="AC255" s="5"/>
      <c r="AD255" s="5"/>
      <c r="AE255" s="5"/>
      <c r="AF255" s="5"/>
      <c r="AG255" s="69"/>
      <c r="AH255" s="18"/>
      <c r="AI255" s="80"/>
    </row>
    <row r="256" spans="19:35" x14ac:dyDescent="0.2">
      <c r="S256" s="18"/>
      <c r="T256" s="18"/>
      <c r="U256" s="18"/>
      <c r="V256" s="18"/>
      <c r="W256" s="18"/>
      <c r="X256" s="18"/>
      <c r="Z256" s="8"/>
      <c r="AA256" s="34"/>
      <c r="AB256" s="5"/>
      <c r="AC256" s="5"/>
      <c r="AD256" s="5"/>
      <c r="AE256" s="5"/>
      <c r="AF256" s="5"/>
      <c r="AG256" s="69"/>
      <c r="AH256" s="18"/>
      <c r="AI256" s="80"/>
    </row>
    <row r="257" spans="19:35" x14ac:dyDescent="0.2">
      <c r="S257" s="18"/>
      <c r="T257" s="18"/>
      <c r="U257" s="18"/>
      <c r="V257" s="18"/>
      <c r="W257" s="18"/>
      <c r="X257" s="18"/>
      <c r="Z257" s="8"/>
      <c r="AA257" s="34"/>
      <c r="AB257" s="5"/>
      <c r="AC257" s="5"/>
      <c r="AD257" s="5"/>
      <c r="AE257" s="5"/>
      <c r="AF257" s="5"/>
      <c r="AG257" s="69"/>
      <c r="AH257" s="18"/>
      <c r="AI257" s="80"/>
    </row>
    <row r="258" spans="19:35" x14ac:dyDescent="0.2">
      <c r="S258" s="18"/>
      <c r="T258" s="18"/>
      <c r="U258" s="18"/>
      <c r="V258" s="18"/>
      <c r="W258" s="18"/>
      <c r="X258" s="18"/>
      <c r="Z258" s="8"/>
      <c r="AA258" s="34"/>
      <c r="AB258" s="5"/>
      <c r="AC258" s="5"/>
      <c r="AD258" s="5"/>
      <c r="AE258" s="5"/>
      <c r="AF258" s="5"/>
      <c r="AG258" s="69"/>
      <c r="AH258" s="18"/>
      <c r="AI258" s="80"/>
    </row>
    <row r="259" spans="19:35" x14ac:dyDescent="0.2">
      <c r="S259" s="18"/>
      <c r="T259" s="18"/>
      <c r="U259" s="18"/>
      <c r="V259" s="18"/>
      <c r="W259" s="18"/>
      <c r="X259" s="18"/>
      <c r="Z259" s="8"/>
      <c r="AA259" s="34"/>
      <c r="AB259" s="5"/>
      <c r="AC259" s="5"/>
      <c r="AD259" s="5"/>
      <c r="AE259" s="5"/>
      <c r="AF259" s="5"/>
      <c r="AG259" s="69"/>
      <c r="AH259" s="18"/>
      <c r="AI259" s="80"/>
    </row>
    <row r="260" spans="19:35" x14ac:dyDescent="0.2">
      <c r="S260" s="18"/>
      <c r="T260" s="18"/>
      <c r="U260" s="18"/>
      <c r="V260" s="18"/>
      <c r="W260" s="18"/>
      <c r="X260" s="18"/>
      <c r="Z260" s="8"/>
      <c r="AA260" s="34"/>
      <c r="AB260" s="5"/>
      <c r="AC260" s="5"/>
      <c r="AD260" s="5"/>
      <c r="AE260" s="5"/>
      <c r="AF260" s="5"/>
      <c r="AG260" s="69"/>
      <c r="AH260" s="18"/>
      <c r="AI260" s="80"/>
    </row>
    <row r="261" spans="19:35" x14ac:dyDescent="0.2">
      <c r="S261" s="18"/>
      <c r="T261" s="18"/>
      <c r="U261" s="18"/>
      <c r="V261" s="18"/>
      <c r="W261" s="18"/>
      <c r="X261" s="18"/>
      <c r="Z261" s="8"/>
      <c r="AA261" s="34"/>
      <c r="AB261" s="5"/>
      <c r="AC261" s="5"/>
      <c r="AD261" s="5"/>
      <c r="AE261" s="5"/>
      <c r="AF261" s="5"/>
      <c r="AG261" s="69"/>
      <c r="AH261" s="18"/>
      <c r="AI261" s="80"/>
    </row>
    <row r="262" spans="19:35" x14ac:dyDescent="0.2">
      <c r="S262" s="18"/>
      <c r="T262" s="18"/>
      <c r="U262" s="18"/>
      <c r="V262" s="18"/>
      <c r="W262" s="18"/>
      <c r="X262" s="18"/>
      <c r="Z262" s="8"/>
      <c r="AA262" s="34"/>
      <c r="AB262" s="5"/>
      <c r="AC262" s="5"/>
      <c r="AD262" s="5"/>
      <c r="AE262" s="5"/>
      <c r="AF262" s="5"/>
      <c r="AG262" s="69"/>
      <c r="AH262" s="18"/>
      <c r="AI262" s="80"/>
    </row>
    <row r="263" spans="19:35" x14ac:dyDescent="0.2">
      <c r="S263" s="18"/>
      <c r="T263" s="18"/>
      <c r="U263" s="18"/>
      <c r="V263" s="18"/>
      <c r="W263" s="18"/>
      <c r="X263" s="18"/>
      <c r="Z263" s="8"/>
      <c r="AA263" s="34"/>
      <c r="AB263" s="5"/>
      <c r="AC263" s="5"/>
      <c r="AD263" s="5"/>
      <c r="AE263" s="5"/>
      <c r="AF263" s="5"/>
      <c r="AG263" s="69"/>
      <c r="AH263" s="18"/>
      <c r="AI263" s="80"/>
    </row>
    <row r="264" spans="19:35" x14ac:dyDescent="0.2">
      <c r="S264" s="18"/>
      <c r="T264" s="18"/>
      <c r="U264" s="18"/>
      <c r="V264" s="18"/>
      <c r="W264" s="18"/>
      <c r="X264" s="18"/>
      <c r="Z264" s="8"/>
      <c r="AA264" s="34"/>
      <c r="AB264" s="5"/>
      <c r="AC264" s="5"/>
      <c r="AD264" s="5"/>
      <c r="AE264" s="5"/>
      <c r="AF264" s="5"/>
      <c r="AG264" s="69"/>
      <c r="AH264" s="18"/>
      <c r="AI264" s="80"/>
    </row>
    <row r="265" spans="19:35" x14ac:dyDescent="0.2">
      <c r="S265" s="18"/>
      <c r="T265" s="18"/>
      <c r="U265" s="18"/>
      <c r="V265" s="18"/>
      <c r="W265" s="18"/>
      <c r="X265" s="18"/>
      <c r="Z265" s="8"/>
      <c r="AA265" s="34"/>
      <c r="AB265" s="5"/>
      <c r="AC265" s="5"/>
      <c r="AD265" s="5"/>
      <c r="AE265" s="5"/>
      <c r="AF265" s="5"/>
      <c r="AG265" s="69"/>
      <c r="AH265" s="18"/>
      <c r="AI265" s="80"/>
    </row>
    <row r="266" spans="19:35" x14ac:dyDescent="0.2">
      <c r="S266" s="18"/>
      <c r="T266" s="18"/>
      <c r="U266" s="18"/>
      <c r="V266" s="18"/>
      <c r="W266" s="18"/>
      <c r="X266" s="18"/>
      <c r="Z266" s="8"/>
      <c r="AA266" s="34"/>
      <c r="AB266" s="5"/>
      <c r="AC266" s="5"/>
      <c r="AD266" s="5"/>
      <c r="AE266" s="5"/>
      <c r="AF266" s="5"/>
      <c r="AG266" s="69"/>
      <c r="AH266" s="18"/>
      <c r="AI266" s="80"/>
    </row>
    <row r="267" spans="19:35" x14ac:dyDescent="0.2">
      <c r="S267" s="18"/>
      <c r="T267" s="18"/>
      <c r="U267" s="18"/>
      <c r="V267" s="18"/>
      <c r="W267" s="18"/>
      <c r="X267" s="18"/>
      <c r="Z267" s="8"/>
      <c r="AA267" s="34"/>
      <c r="AB267" s="5"/>
      <c r="AC267" s="5"/>
      <c r="AD267" s="5"/>
      <c r="AE267" s="5"/>
      <c r="AF267" s="5"/>
      <c r="AG267" s="69"/>
      <c r="AH267" s="18"/>
      <c r="AI267" s="80"/>
    </row>
    <row r="268" spans="19:35" x14ac:dyDescent="0.2">
      <c r="S268" s="18"/>
      <c r="T268" s="18"/>
      <c r="U268" s="18"/>
      <c r="V268" s="18"/>
      <c r="W268" s="18"/>
      <c r="X268" s="18"/>
      <c r="Z268" s="8"/>
      <c r="AA268" s="34"/>
      <c r="AB268" s="5"/>
      <c r="AC268" s="5"/>
      <c r="AD268" s="5"/>
      <c r="AE268" s="5"/>
      <c r="AF268" s="5"/>
      <c r="AG268" s="69"/>
      <c r="AH268" s="18"/>
      <c r="AI268" s="80"/>
    </row>
    <row r="269" spans="19:35" x14ac:dyDescent="0.2">
      <c r="S269" s="18"/>
      <c r="T269" s="18"/>
      <c r="U269" s="18"/>
      <c r="V269" s="18"/>
      <c r="W269" s="18"/>
      <c r="X269" s="18"/>
      <c r="Z269" s="8"/>
      <c r="AA269" s="34"/>
      <c r="AB269" s="5"/>
      <c r="AC269" s="5"/>
      <c r="AD269" s="5"/>
      <c r="AE269" s="5"/>
      <c r="AF269" s="5"/>
      <c r="AG269" s="69"/>
      <c r="AH269" s="18"/>
      <c r="AI269" s="80"/>
    </row>
    <row r="270" spans="19:35" x14ac:dyDescent="0.2">
      <c r="S270" s="18"/>
      <c r="T270" s="18"/>
      <c r="U270" s="18"/>
      <c r="V270" s="18"/>
      <c r="W270" s="18"/>
      <c r="X270" s="18"/>
      <c r="Z270" s="8"/>
      <c r="AA270" s="34"/>
      <c r="AB270" s="5"/>
      <c r="AC270" s="5"/>
      <c r="AD270" s="5"/>
      <c r="AE270" s="5"/>
      <c r="AF270" s="5"/>
      <c r="AG270" s="69"/>
      <c r="AH270" s="18"/>
      <c r="AI270" s="80"/>
    </row>
    <row r="271" spans="19:35" x14ac:dyDescent="0.2">
      <c r="S271" s="18"/>
      <c r="T271" s="18"/>
      <c r="U271" s="18"/>
      <c r="V271" s="18"/>
      <c r="W271" s="18"/>
      <c r="X271" s="18"/>
      <c r="Z271" s="8"/>
      <c r="AA271" s="34"/>
      <c r="AB271" s="5"/>
      <c r="AC271" s="5"/>
      <c r="AD271" s="5"/>
      <c r="AE271" s="5"/>
      <c r="AF271" s="5"/>
      <c r="AG271" s="69"/>
      <c r="AH271" s="18"/>
      <c r="AI271" s="80"/>
    </row>
    <row r="272" spans="19:35" x14ac:dyDescent="0.2">
      <c r="S272" s="18"/>
      <c r="T272" s="18"/>
      <c r="U272" s="18"/>
      <c r="V272" s="18"/>
      <c r="W272" s="18"/>
      <c r="X272" s="18"/>
      <c r="Z272" s="8"/>
      <c r="AA272" s="34"/>
      <c r="AB272" s="5"/>
      <c r="AC272" s="5"/>
      <c r="AD272" s="5"/>
      <c r="AE272" s="5"/>
      <c r="AF272" s="5"/>
      <c r="AG272" s="69"/>
      <c r="AH272" s="18"/>
      <c r="AI272" s="80"/>
    </row>
    <row r="273" spans="19:35" x14ac:dyDescent="0.2">
      <c r="S273" s="18"/>
      <c r="T273" s="18"/>
      <c r="U273" s="18"/>
      <c r="V273" s="18"/>
      <c r="W273" s="18"/>
      <c r="X273" s="18"/>
      <c r="Z273" s="8"/>
      <c r="AA273" s="34"/>
      <c r="AB273" s="5"/>
      <c r="AC273" s="5"/>
      <c r="AD273" s="5"/>
      <c r="AE273" s="5"/>
      <c r="AF273" s="5"/>
      <c r="AG273" s="69"/>
      <c r="AH273" s="18"/>
      <c r="AI273" s="80"/>
    </row>
    <row r="274" spans="19:35" x14ac:dyDescent="0.2">
      <c r="S274" s="18"/>
      <c r="T274" s="18"/>
      <c r="U274" s="18"/>
      <c r="V274" s="18"/>
      <c r="W274" s="18"/>
      <c r="X274" s="18"/>
      <c r="Z274" s="8"/>
      <c r="AA274" s="34"/>
      <c r="AB274" s="5"/>
      <c r="AC274" s="5"/>
      <c r="AD274" s="5"/>
      <c r="AE274" s="5"/>
      <c r="AF274" s="5"/>
      <c r="AG274" s="69"/>
      <c r="AH274" s="18"/>
      <c r="AI274" s="80"/>
    </row>
    <row r="275" spans="19:35" x14ac:dyDescent="0.2">
      <c r="S275" s="18"/>
      <c r="T275" s="18"/>
      <c r="U275" s="18"/>
      <c r="V275" s="18"/>
      <c r="W275" s="18"/>
      <c r="X275" s="18"/>
      <c r="Z275" s="8"/>
      <c r="AA275" s="34"/>
      <c r="AB275" s="5"/>
      <c r="AC275" s="5"/>
      <c r="AD275" s="5"/>
      <c r="AE275" s="5"/>
      <c r="AF275" s="5"/>
      <c r="AG275" s="69"/>
      <c r="AH275" s="18"/>
      <c r="AI275" s="80"/>
    </row>
    <row r="276" spans="19:35" x14ac:dyDescent="0.2">
      <c r="S276" s="18"/>
      <c r="T276" s="18"/>
      <c r="U276" s="18"/>
      <c r="V276" s="18"/>
      <c r="W276" s="18"/>
      <c r="X276" s="18"/>
      <c r="Z276" s="8"/>
      <c r="AA276" s="34"/>
      <c r="AB276" s="5"/>
      <c r="AC276" s="5"/>
      <c r="AD276" s="5"/>
      <c r="AE276" s="5"/>
      <c r="AF276" s="5"/>
      <c r="AG276" s="69"/>
      <c r="AH276" s="18"/>
      <c r="AI276" s="80"/>
    </row>
    <row r="277" spans="19:35" x14ac:dyDescent="0.2">
      <c r="S277" s="18"/>
      <c r="T277" s="18"/>
      <c r="U277" s="18"/>
      <c r="V277" s="18"/>
      <c r="W277" s="18"/>
      <c r="X277" s="18"/>
      <c r="Z277" s="8"/>
      <c r="AA277" s="34"/>
      <c r="AB277" s="5"/>
      <c r="AC277" s="5"/>
      <c r="AD277" s="5"/>
      <c r="AE277" s="5"/>
      <c r="AF277" s="5"/>
      <c r="AG277" s="69"/>
      <c r="AH277" s="18"/>
      <c r="AI277" s="80"/>
    </row>
    <row r="278" spans="19:35" x14ac:dyDescent="0.2">
      <c r="S278" s="18"/>
      <c r="T278" s="18"/>
      <c r="U278" s="18"/>
      <c r="V278" s="18"/>
      <c r="W278" s="18"/>
      <c r="X278" s="18"/>
      <c r="Z278" s="8"/>
      <c r="AA278" s="34"/>
      <c r="AB278" s="5"/>
      <c r="AC278" s="5"/>
      <c r="AD278" s="5"/>
      <c r="AE278" s="5"/>
      <c r="AF278" s="5"/>
      <c r="AG278" s="69"/>
      <c r="AH278" s="18"/>
      <c r="AI278" s="80"/>
    </row>
    <row r="279" spans="19:35" x14ac:dyDescent="0.2">
      <c r="S279" s="18"/>
      <c r="T279" s="18"/>
      <c r="U279" s="18"/>
      <c r="V279" s="18"/>
      <c r="W279" s="18"/>
      <c r="X279" s="18"/>
      <c r="Z279" s="8"/>
      <c r="AA279" s="34"/>
      <c r="AB279" s="5"/>
      <c r="AC279" s="5"/>
      <c r="AD279" s="5"/>
      <c r="AE279" s="5"/>
      <c r="AF279" s="5"/>
      <c r="AG279" s="69"/>
      <c r="AH279" s="18"/>
      <c r="AI279" s="80"/>
    </row>
    <row r="280" spans="19:35" x14ac:dyDescent="0.2">
      <c r="S280" s="18"/>
      <c r="T280" s="18"/>
      <c r="U280" s="18"/>
      <c r="V280" s="18"/>
      <c r="W280" s="18"/>
      <c r="X280" s="18"/>
      <c r="Z280" s="8"/>
      <c r="AA280" s="34"/>
      <c r="AB280" s="5"/>
      <c r="AC280" s="5"/>
      <c r="AD280" s="5"/>
      <c r="AE280" s="5"/>
      <c r="AF280" s="5"/>
      <c r="AG280" s="69"/>
      <c r="AH280" s="18"/>
      <c r="AI280" s="80"/>
    </row>
    <row r="281" spans="19:35" x14ac:dyDescent="0.2">
      <c r="S281" s="18"/>
      <c r="T281" s="18"/>
      <c r="U281" s="18"/>
      <c r="V281" s="18"/>
      <c r="W281" s="18"/>
      <c r="X281" s="18"/>
      <c r="Z281" s="8"/>
      <c r="AA281" s="34"/>
      <c r="AB281" s="5"/>
      <c r="AC281" s="5"/>
      <c r="AD281" s="5"/>
      <c r="AE281" s="5"/>
      <c r="AF281" s="5"/>
      <c r="AG281" s="69"/>
      <c r="AH281" s="18"/>
      <c r="AI281" s="80"/>
    </row>
    <row r="282" spans="19:35" x14ac:dyDescent="0.2">
      <c r="S282" s="18"/>
      <c r="T282" s="18"/>
      <c r="U282" s="18"/>
      <c r="V282" s="18"/>
      <c r="W282" s="18"/>
      <c r="X282" s="18"/>
      <c r="Z282" s="8"/>
      <c r="AA282" s="34"/>
      <c r="AB282" s="5"/>
      <c r="AC282" s="5"/>
      <c r="AD282" s="5"/>
      <c r="AE282" s="5"/>
      <c r="AF282" s="5"/>
      <c r="AG282" s="69"/>
      <c r="AH282" s="18"/>
      <c r="AI282" s="80"/>
    </row>
    <row r="283" spans="19:35" x14ac:dyDescent="0.2">
      <c r="S283" s="18"/>
      <c r="T283" s="18"/>
      <c r="U283" s="18"/>
      <c r="V283" s="18"/>
      <c r="W283" s="18"/>
      <c r="X283" s="18"/>
      <c r="Z283" s="8"/>
      <c r="AA283" s="34"/>
      <c r="AB283" s="5"/>
      <c r="AC283" s="5"/>
      <c r="AD283" s="5"/>
      <c r="AE283" s="5"/>
      <c r="AF283" s="5"/>
      <c r="AG283" s="69"/>
      <c r="AH283" s="18"/>
      <c r="AI283" s="80"/>
    </row>
    <row r="284" spans="19:35" x14ac:dyDescent="0.2">
      <c r="S284" s="18"/>
      <c r="T284" s="18"/>
      <c r="U284" s="18"/>
      <c r="V284" s="18"/>
      <c r="W284" s="18"/>
      <c r="X284" s="18"/>
      <c r="Z284" s="8"/>
      <c r="AA284" s="34"/>
      <c r="AB284" s="5"/>
      <c r="AC284" s="5"/>
      <c r="AD284" s="5"/>
      <c r="AE284" s="5"/>
      <c r="AF284" s="5"/>
      <c r="AG284" s="69"/>
      <c r="AH284" s="18"/>
      <c r="AI284" s="80"/>
    </row>
    <row r="285" spans="19:35" x14ac:dyDescent="0.2">
      <c r="S285" s="18"/>
      <c r="T285" s="18"/>
      <c r="U285" s="18"/>
      <c r="V285" s="18"/>
      <c r="W285" s="18"/>
      <c r="X285" s="18"/>
      <c r="Z285" s="8"/>
      <c r="AA285" s="34"/>
      <c r="AB285" s="5"/>
      <c r="AC285" s="5"/>
      <c r="AD285" s="5"/>
      <c r="AE285" s="5"/>
      <c r="AF285" s="5"/>
      <c r="AG285" s="69"/>
      <c r="AH285" s="18"/>
      <c r="AI285" s="80"/>
    </row>
    <row r="286" spans="19:35" x14ac:dyDescent="0.2">
      <c r="S286" s="18"/>
      <c r="T286" s="18"/>
      <c r="U286" s="18"/>
      <c r="V286" s="18"/>
      <c r="W286" s="18"/>
      <c r="X286" s="18"/>
      <c r="Z286" s="8"/>
      <c r="AA286" s="34"/>
      <c r="AB286" s="5"/>
      <c r="AC286" s="5"/>
      <c r="AD286" s="5"/>
      <c r="AE286" s="5"/>
      <c r="AF286" s="5"/>
      <c r="AG286" s="69"/>
      <c r="AH286" s="18"/>
      <c r="AI286" s="80"/>
    </row>
    <row r="287" spans="19:35" x14ac:dyDescent="0.2">
      <c r="S287" s="18"/>
      <c r="T287" s="18"/>
      <c r="U287" s="18"/>
      <c r="V287" s="18"/>
      <c r="W287" s="18"/>
      <c r="X287" s="18"/>
      <c r="Z287" s="8"/>
      <c r="AA287" s="34"/>
      <c r="AB287" s="5"/>
      <c r="AC287" s="5"/>
      <c r="AD287" s="5"/>
      <c r="AE287" s="5"/>
      <c r="AF287" s="5"/>
      <c r="AG287" s="69"/>
      <c r="AH287" s="18"/>
      <c r="AI287" s="80"/>
    </row>
    <row r="288" spans="19:35" x14ac:dyDescent="0.2">
      <c r="S288" s="18"/>
      <c r="T288" s="18"/>
      <c r="U288" s="18"/>
      <c r="V288" s="18"/>
      <c r="W288" s="18"/>
      <c r="X288" s="18"/>
      <c r="Z288" s="8"/>
      <c r="AA288" s="34"/>
      <c r="AB288" s="5"/>
      <c r="AC288" s="5"/>
      <c r="AD288" s="5"/>
      <c r="AE288" s="5"/>
      <c r="AF288" s="5"/>
      <c r="AG288" s="69"/>
      <c r="AH288" s="18"/>
      <c r="AI288" s="80"/>
    </row>
    <row r="289" spans="19:35" x14ac:dyDescent="0.2">
      <c r="S289" s="18"/>
      <c r="T289" s="18"/>
      <c r="U289" s="18"/>
      <c r="V289" s="18"/>
      <c r="W289" s="18"/>
      <c r="X289" s="18"/>
      <c r="Z289" s="8"/>
      <c r="AA289" s="34"/>
      <c r="AB289" s="5"/>
      <c r="AC289" s="5"/>
      <c r="AD289" s="5"/>
      <c r="AE289" s="5"/>
      <c r="AF289" s="5"/>
      <c r="AG289" s="69"/>
      <c r="AH289" s="18"/>
      <c r="AI289" s="80"/>
    </row>
    <row r="290" spans="19:35" x14ac:dyDescent="0.2">
      <c r="S290" s="18"/>
      <c r="T290" s="18"/>
      <c r="U290" s="18"/>
      <c r="V290" s="18"/>
      <c r="W290" s="18"/>
      <c r="X290" s="18"/>
      <c r="Z290" s="8"/>
      <c r="AA290" s="34"/>
      <c r="AB290" s="5"/>
      <c r="AC290" s="5"/>
      <c r="AD290" s="5"/>
      <c r="AE290" s="5"/>
      <c r="AF290" s="5"/>
      <c r="AG290" s="69"/>
      <c r="AH290" s="18"/>
      <c r="AI290" s="80"/>
    </row>
    <row r="291" spans="19:35" x14ac:dyDescent="0.2">
      <c r="S291" s="18"/>
      <c r="T291" s="18"/>
      <c r="U291" s="18"/>
      <c r="V291" s="18"/>
      <c r="W291" s="18"/>
      <c r="X291" s="18"/>
      <c r="Z291" s="8"/>
      <c r="AA291" s="34"/>
      <c r="AB291" s="5"/>
      <c r="AC291" s="5"/>
      <c r="AD291" s="5"/>
      <c r="AE291" s="5"/>
      <c r="AF291" s="5"/>
      <c r="AG291" s="69"/>
      <c r="AH291" s="18"/>
      <c r="AI291" s="80"/>
    </row>
    <row r="292" spans="19:35" x14ac:dyDescent="0.2">
      <c r="S292" s="18"/>
      <c r="T292" s="18"/>
      <c r="U292" s="18"/>
      <c r="V292" s="18"/>
      <c r="W292" s="18"/>
      <c r="X292" s="18"/>
      <c r="Z292" s="8"/>
      <c r="AA292" s="34"/>
      <c r="AB292" s="5"/>
      <c r="AC292" s="5"/>
      <c r="AD292" s="5"/>
      <c r="AE292" s="5"/>
      <c r="AF292" s="5"/>
      <c r="AG292" s="69"/>
      <c r="AH292" s="18"/>
      <c r="AI292" s="80"/>
    </row>
    <row r="293" spans="19:35" x14ac:dyDescent="0.2">
      <c r="S293" s="18"/>
      <c r="T293" s="18"/>
      <c r="U293" s="18"/>
      <c r="V293" s="18"/>
      <c r="W293" s="18"/>
      <c r="X293" s="18"/>
      <c r="Z293" s="8"/>
      <c r="AA293" s="34"/>
      <c r="AB293" s="5"/>
      <c r="AC293" s="5"/>
      <c r="AD293" s="5"/>
      <c r="AE293" s="5"/>
      <c r="AF293" s="5"/>
      <c r="AG293" s="69"/>
      <c r="AH293" s="18"/>
      <c r="AI293" s="80"/>
    </row>
    <row r="294" spans="19:35" x14ac:dyDescent="0.2">
      <c r="S294" s="18"/>
      <c r="T294" s="18"/>
      <c r="U294" s="18"/>
      <c r="V294" s="18"/>
      <c r="W294" s="18"/>
      <c r="X294" s="18"/>
      <c r="Z294" s="8"/>
      <c r="AA294" s="34"/>
      <c r="AB294" s="5"/>
      <c r="AC294" s="5"/>
      <c r="AD294" s="5"/>
      <c r="AE294" s="5"/>
      <c r="AF294" s="5"/>
      <c r="AG294" s="69"/>
      <c r="AH294" s="18"/>
      <c r="AI294" s="80"/>
    </row>
    <row r="295" spans="19:35" x14ac:dyDescent="0.2">
      <c r="S295" s="18"/>
      <c r="T295" s="18"/>
      <c r="U295" s="18"/>
      <c r="V295" s="18"/>
      <c r="W295" s="18"/>
      <c r="X295" s="18"/>
      <c r="Z295" s="8"/>
      <c r="AA295" s="34"/>
      <c r="AB295" s="5"/>
      <c r="AC295" s="5"/>
      <c r="AD295" s="5"/>
      <c r="AE295" s="5"/>
      <c r="AF295" s="5"/>
      <c r="AG295" s="69"/>
      <c r="AH295" s="18"/>
      <c r="AI295" s="80"/>
    </row>
    <row r="296" spans="19:35" x14ac:dyDescent="0.2">
      <c r="S296" s="18"/>
      <c r="T296" s="18"/>
      <c r="U296" s="18"/>
      <c r="V296" s="18"/>
      <c r="W296" s="18"/>
      <c r="X296" s="18"/>
      <c r="Z296" s="8"/>
      <c r="AA296" s="34"/>
      <c r="AB296" s="5"/>
      <c r="AC296" s="5"/>
      <c r="AD296" s="5"/>
      <c r="AE296" s="5"/>
      <c r="AF296" s="5"/>
      <c r="AG296" s="69"/>
      <c r="AH296" s="18"/>
      <c r="AI296" s="80"/>
    </row>
    <row r="297" spans="19:35" x14ac:dyDescent="0.2">
      <c r="S297" s="18"/>
      <c r="T297" s="18"/>
      <c r="U297" s="18"/>
      <c r="V297" s="18"/>
      <c r="W297" s="18"/>
      <c r="X297" s="18"/>
      <c r="Z297" s="8"/>
      <c r="AA297" s="34"/>
      <c r="AB297" s="5"/>
      <c r="AC297" s="5"/>
      <c r="AD297" s="5"/>
      <c r="AE297" s="5"/>
      <c r="AF297" s="5"/>
      <c r="AG297" s="69"/>
      <c r="AH297" s="18"/>
      <c r="AI297" s="80"/>
    </row>
    <row r="298" spans="19:35" x14ac:dyDescent="0.2">
      <c r="S298" s="18"/>
      <c r="T298" s="18"/>
      <c r="U298" s="18"/>
      <c r="V298" s="18"/>
      <c r="W298" s="18"/>
      <c r="X298" s="18"/>
      <c r="Z298" s="8"/>
      <c r="AA298" s="34"/>
      <c r="AB298" s="5"/>
      <c r="AC298" s="5"/>
      <c r="AD298" s="5"/>
      <c r="AE298" s="5"/>
      <c r="AF298" s="5"/>
      <c r="AG298" s="69"/>
      <c r="AH298" s="18"/>
      <c r="AI298" s="80"/>
    </row>
    <row r="299" spans="19:35" x14ac:dyDescent="0.2">
      <c r="S299" s="18"/>
      <c r="T299" s="18"/>
      <c r="U299" s="18"/>
      <c r="V299" s="18"/>
      <c r="W299" s="18"/>
      <c r="X299" s="18"/>
      <c r="Z299" s="8"/>
      <c r="AA299" s="34"/>
      <c r="AB299" s="5"/>
      <c r="AC299" s="5"/>
      <c r="AD299" s="5"/>
      <c r="AE299" s="5"/>
      <c r="AF299" s="5"/>
      <c r="AG299" s="69"/>
      <c r="AH299" s="18"/>
      <c r="AI299" s="80"/>
    </row>
    <row r="300" spans="19:35" x14ac:dyDescent="0.2">
      <c r="S300" s="18"/>
      <c r="T300" s="18"/>
      <c r="U300" s="18"/>
      <c r="V300" s="18"/>
      <c r="W300" s="18"/>
      <c r="X300" s="18"/>
      <c r="Z300" s="8"/>
      <c r="AA300" s="34"/>
      <c r="AB300" s="5"/>
      <c r="AC300" s="5"/>
      <c r="AD300" s="5"/>
      <c r="AE300" s="5"/>
      <c r="AF300" s="5"/>
      <c r="AG300" s="69"/>
      <c r="AH300" s="18"/>
      <c r="AI300" s="80"/>
    </row>
    <row r="301" spans="19:35" x14ac:dyDescent="0.2">
      <c r="S301" s="18"/>
      <c r="T301" s="18"/>
      <c r="U301" s="18"/>
      <c r="V301" s="18"/>
      <c r="W301" s="18"/>
      <c r="X301" s="18"/>
      <c r="Z301" s="8"/>
      <c r="AA301" s="34"/>
      <c r="AB301" s="5"/>
      <c r="AC301" s="5"/>
      <c r="AD301" s="5"/>
      <c r="AE301" s="5"/>
      <c r="AF301" s="5"/>
      <c r="AG301" s="69"/>
      <c r="AH301" s="18"/>
      <c r="AI301" s="80"/>
    </row>
    <row r="302" spans="19:35" x14ac:dyDescent="0.2">
      <c r="S302" s="18"/>
      <c r="T302" s="18"/>
      <c r="U302" s="18"/>
      <c r="V302" s="18"/>
      <c r="W302" s="18"/>
      <c r="X302" s="18"/>
      <c r="Z302" s="8"/>
      <c r="AA302" s="34"/>
      <c r="AB302" s="5"/>
      <c r="AC302" s="5"/>
      <c r="AD302" s="5"/>
      <c r="AE302" s="5"/>
      <c r="AF302" s="5"/>
      <c r="AG302" s="69"/>
      <c r="AH302" s="18"/>
      <c r="AI302" s="80"/>
    </row>
    <row r="303" spans="19:35" x14ac:dyDescent="0.2">
      <c r="S303" s="18"/>
      <c r="T303" s="18"/>
      <c r="U303" s="18"/>
      <c r="V303" s="18"/>
      <c r="W303" s="18"/>
      <c r="X303" s="18"/>
      <c r="Z303" s="8"/>
      <c r="AA303" s="34"/>
      <c r="AB303" s="5"/>
      <c r="AC303" s="5"/>
      <c r="AD303" s="5"/>
      <c r="AE303" s="5"/>
      <c r="AF303" s="5"/>
      <c r="AG303" s="69"/>
      <c r="AH303" s="18"/>
      <c r="AI303" s="80"/>
    </row>
    <row r="304" spans="19:35" x14ac:dyDescent="0.2">
      <c r="S304" s="18"/>
      <c r="T304" s="18"/>
      <c r="U304" s="18"/>
      <c r="V304" s="18"/>
      <c r="W304" s="18"/>
      <c r="X304" s="18"/>
      <c r="Z304" s="8"/>
      <c r="AA304" s="34"/>
      <c r="AB304" s="5"/>
      <c r="AC304" s="5"/>
      <c r="AD304" s="5"/>
      <c r="AE304" s="5"/>
      <c r="AF304" s="5"/>
      <c r="AG304" s="69"/>
      <c r="AH304" s="18"/>
      <c r="AI304" s="80"/>
    </row>
    <row r="305" spans="19:35" x14ac:dyDescent="0.2">
      <c r="S305" s="18"/>
      <c r="T305" s="18"/>
      <c r="U305" s="18"/>
      <c r="V305" s="18"/>
      <c r="W305" s="18"/>
      <c r="X305" s="18"/>
      <c r="Z305" s="8"/>
      <c r="AA305" s="34"/>
      <c r="AB305" s="5"/>
      <c r="AC305" s="5"/>
      <c r="AD305" s="5"/>
      <c r="AE305" s="5"/>
      <c r="AF305" s="5"/>
      <c r="AG305" s="69"/>
      <c r="AH305" s="18"/>
      <c r="AI305" s="80"/>
    </row>
    <row r="306" spans="19:35" x14ac:dyDescent="0.2">
      <c r="S306" s="18"/>
      <c r="T306" s="18"/>
      <c r="U306" s="18"/>
      <c r="V306" s="18"/>
      <c r="W306" s="18"/>
      <c r="X306" s="18"/>
      <c r="Z306" s="8"/>
      <c r="AA306" s="34"/>
      <c r="AB306" s="5"/>
      <c r="AC306" s="5"/>
      <c r="AD306" s="5"/>
      <c r="AE306" s="5"/>
      <c r="AF306" s="5"/>
      <c r="AG306" s="69"/>
      <c r="AH306" s="18"/>
      <c r="AI306" s="80"/>
    </row>
    <row r="307" spans="19:35" x14ac:dyDescent="0.2">
      <c r="S307" s="18"/>
      <c r="T307" s="18"/>
      <c r="U307" s="18"/>
      <c r="V307" s="18"/>
      <c r="W307" s="18"/>
      <c r="X307" s="18"/>
      <c r="Z307" s="8"/>
      <c r="AA307" s="34"/>
      <c r="AB307" s="5"/>
      <c r="AC307" s="5"/>
      <c r="AD307" s="5"/>
      <c r="AE307" s="5"/>
      <c r="AF307" s="5"/>
      <c r="AG307" s="69"/>
      <c r="AH307" s="18"/>
      <c r="AI307" s="80"/>
    </row>
    <row r="308" spans="19:35" x14ac:dyDescent="0.2">
      <c r="S308" s="18"/>
      <c r="T308" s="18"/>
      <c r="U308" s="18"/>
      <c r="V308" s="18"/>
      <c r="W308" s="18"/>
      <c r="X308" s="18"/>
      <c r="Z308" s="8"/>
      <c r="AA308" s="34"/>
      <c r="AB308" s="5"/>
      <c r="AC308" s="5"/>
      <c r="AD308" s="5"/>
      <c r="AE308" s="5"/>
      <c r="AF308" s="5"/>
      <c r="AG308" s="69"/>
      <c r="AH308" s="18"/>
      <c r="AI308" s="80"/>
    </row>
    <row r="309" spans="19:35" x14ac:dyDescent="0.2">
      <c r="S309" s="18"/>
      <c r="T309" s="18"/>
      <c r="U309" s="18"/>
      <c r="V309" s="18"/>
      <c r="W309" s="18"/>
      <c r="X309" s="18"/>
      <c r="Z309" s="8"/>
      <c r="AA309" s="34"/>
      <c r="AB309" s="5"/>
      <c r="AC309" s="5"/>
      <c r="AD309" s="5"/>
      <c r="AE309" s="5"/>
      <c r="AF309" s="5"/>
      <c r="AG309" s="69"/>
      <c r="AH309" s="18"/>
      <c r="AI309" s="80"/>
    </row>
    <row r="310" spans="19:35" x14ac:dyDescent="0.2">
      <c r="S310" s="18"/>
      <c r="T310" s="18"/>
      <c r="U310" s="18"/>
      <c r="V310" s="18"/>
      <c r="W310" s="18"/>
      <c r="X310" s="18"/>
      <c r="Z310" s="8"/>
      <c r="AA310" s="34"/>
      <c r="AB310" s="5"/>
      <c r="AC310" s="5"/>
      <c r="AD310" s="5"/>
      <c r="AE310" s="5"/>
      <c r="AF310" s="5"/>
      <c r="AG310" s="69"/>
      <c r="AH310" s="18"/>
      <c r="AI310" s="80"/>
    </row>
    <row r="311" spans="19:35" x14ac:dyDescent="0.2">
      <c r="S311" s="18"/>
      <c r="T311" s="18"/>
      <c r="U311" s="18"/>
      <c r="V311" s="18"/>
      <c r="W311" s="18"/>
      <c r="X311" s="18"/>
      <c r="Z311" s="8"/>
      <c r="AA311" s="34"/>
      <c r="AB311" s="5"/>
      <c r="AC311" s="5"/>
      <c r="AD311" s="5"/>
      <c r="AE311" s="5"/>
      <c r="AF311" s="5"/>
      <c r="AG311" s="69"/>
      <c r="AH311" s="18"/>
      <c r="AI311" s="80"/>
    </row>
    <row r="312" spans="19:35" x14ac:dyDescent="0.2">
      <c r="S312" s="18"/>
      <c r="T312" s="18"/>
      <c r="U312" s="18"/>
      <c r="V312" s="18"/>
      <c r="W312" s="18"/>
      <c r="X312" s="18"/>
      <c r="Z312" s="8"/>
      <c r="AA312" s="34"/>
      <c r="AB312" s="5"/>
      <c r="AC312" s="5"/>
      <c r="AD312" s="5"/>
      <c r="AE312" s="5"/>
      <c r="AF312" s="5"/>
      <c r="AG312" s="69"/>
      <c r="AH312" s="18"/>
      <c r="AI312" s="80"/>
    </row>
    <row r="313" spans="19:35" x14ac:dyDescent="0.2">
      <c r="S313" s="18"/>
      <c r="T313" s="18"/>
      <c r="U313" s="18"/>
      <c r="V313" s="18"/>
      <c r="W313" s="18"/>
      <c r="X313" s="18"/>
      <c r="Z313" s="8"/>
      <c r="AA313" s="34"/>
      <c r="AB313" s="5"/>
      <c r="AC313" s="5"/>
      <c r="AD313" s="5"/>
      <c r="AE313" s="5"/>
      <c r="AF313" s="5"/>
      <c r="AG313" s="69"/>
      <c r="AH313" s="18"/>
      <c r="AI313" s="80"/>
    </row>
    <row r="314" spans="19:35" x14ac:dyDescent="0.2">
      <c r="S314" s="18"/>
      <c r="T314" s="18"/>
      <c r="U314" s="18"/>
      <c r="V314" s="18"/>
      <c r="W314" s="18"/>
      <c r="X314" s="18"/>
      <c r="Z314" s="8"/>
      <c r="AA314" s="34"/>
      <c r="AB314" s="5"/>
      <c r="AC314" s="5"/>
      <c r="AD314" s="5"/>
      <c r="AE314" s="5"/>
      <c r="AF314" s="5"/>
      <c r="AG314" s="69"/>
      <c r="AH314" s="18"/>
      <c r="AI314" s="80"/>
    </row>
    <row r="315" spans="19:35" x14ac:dyDescent="0.2">
      <c r="S315" s="18"/>
      <c r="T315" s="18"/>
      <c r="U315" s="18"/>
      <c r="V315" s="18"/>
      <c r="W315" s="18"/>
      <c r="X315" s="18"/>
      <c r="Z315" s="8"/>
      <c r="AA315" s="34"/>
      <c r="AB315" s="5"/>
      <c r="AC315" s="5"/>
      <c r="AD315" s="5"/>
      <c r="AE315" s="5"/>
      <c r="AF315" s="5"/>
      <c r="AG315" s="69"/>
      <c r="AH315" s="18"/>
      <c r="AI315" s="80"/>
    </row>
    <row r="316" spans="19:35" x14ac:dyDescent="0.2">
      <c r="S316" s="18"/>
      <c r="T316" s="18"/>
      <c r="U316" s="18"/>
      <c r="V316" s="18"/>
      <c r="W316" s="18"/>
      <c r="X316" s="18"/>
      <c r="Z316" s="8"/>
      <c r="AA316" s="34"/>
      <c r="AB316" s="5"/>
      <c r="AC316" s="5"/>
      <c r="AD316" s="5"/>
      <c r="AE316" s="5"/>
      <c r="AF316" s="5"/>
      <c r="AG316" s="69"/>
      <c r="AH316" s="18"/>
      <c r="AI316" s="80"/>
    </row>
    <row r="317" spans="19:35" x14ac:dyDescent="0.2">
      <c r="S317" s="18"/>
      <c r="T317" s="18"/>
      <c r="U317" s="18"/>
      <c r="V317" s="18"/>
      <c r="W317" s="18"/>
      <c r="X317" s="18"/>
      <c r="Z317" s="8"/>
      <c r="AA317" s="34"/>
      <c r="AB317" s="5"/>
      <c r="AC317" s="5"/>
      <c r="AD317" s="5"/>
      <c r="AE317" s="5"/>
      <c r="AF317" s="5"/>
      <c r="AG317" s="69"/>
      <c r="AH317" s="18"/>
      <c r="AI317" s="80"/>
    </row>
    <row r="318" spans="19:35" x14ac:dyDescent="0.2">
      <c r="S318" s="18"/>
      <c r="T318" s="18"/>
      <c r="U318" s="18"/>
      <c r="V318" s="18"/>
      <c r="W318" s="18"/>
      <c r="X318" s="18"/>
      <c r="Z318" s="8"/>
      <c r="AA318" s="34"/>
      <c r="AB318" s="5"/>
      <c r="AC318" s="5"/>
      <c r="AD318" s="5"/>
      <c r="AE318" s="5"/>
      <c r="AF318" s="5"/>
      <c r="AG318" s="69"/>
      <c r="AH318" s="18"/>
      <c r="AI318" s="80"/>
    </row>
    <row r="319" spans="19:35" x14ac:dyDescent="0.2">
      <c r="S319" s="18"/>
      <c r="T319" s="18"/>
      <c r="U319" s="18"/>
      <c r="V319" s="18"/>
      <c r="W319" s="18"/>
      <c r="X319" s="18"/>
      <c r="Z319" s="8"/>
      <c r="AA319" s="34"/>
      <c r="AB319" s="5"/>
      <c r="AC319" s="5"/>
      <c r="AD319" s="5"/>
      <c r="AE319" s="5"/>
      <c r="AF319" s="5"/>
      <c r="AG319" s="69"/>
      <c r="AH319" s="18"/>
      <c r="AI319" s="80"/>
    </row>
    <row r="320" spans="19:35" x14ac:dyDescent="0.2">
      <c r="S320" s="18"/>
      <c r="T320" s="18"/>
      <c r="U320" s="18"/>
      <c r="V320" s="18"/>
      <c r="W320" s="18"/>
      <c r="X320" s="18"/>
      <c r="Z320" s="8"/>
      <c r="AA320" s="34"/>
      <c r="AB320" s="5"/>
      <c r="AC320" s="5"/>
      <c r="AD320" s="5"/>
      <c r="AE320" s="5"/>
      <c r="AF320" s="5"/>
      <c r="AG320" s="69"/>
      <c r="AH320" s="18"/>
      <c r="AI320" s="80"/>
    </row>
    <row r="321" spans="19:35" x14ac:dyDescent="0.2">
      <c r="S321" s="18"/>
      <c r="T321" s="18"/>
      <c r="U321" s="18"/>
      <c r="V321" s="18"/>
      <c r="W321" s="18"/>
      <c r="X321" s="18"/>
      <c r="Z321" s="8"/>
      <c r="AA321" s="34"/>
      <c r="AB321" s="5"/>
      <c r="AC321" s="5"/>
      <c r="AD321" s="5"/>
      <c r="AE321" s="5"/>
      <c r="AF321" s="5"/>
      <c r="AG321" s="69"/>
      <c r="AH321" s="18"/>
      <c r="AI321" s="80"/>
    </row>
    <row r="322" spans="19:35" x14ac:dyDescent="0.2">
      <c r="S322" s="18"/>
      <c r="T322" s="18"/>
      <c r="U322" s="18"/>
      <c r="V322" s="18"/>
      <c r="W322" s="18"/>
      <c r="X322" s="18"/>
      <c r="Z322" s="8"/>
      <c r="AA322" s="34"/>
      <c r="AB322" s="5"/>
      <c r="AC322" s="5"/>
      <c r="AD322" s="5"/>
      <c r="AE322" s="5"/>
      <c r="AF322" s="5"/>
      <c r="AG322" s="69"/>
      <c r="AH322" s="18"/>
      <c r="AI322" s="80"/>
    </row>
    <row r="323" spans="19:35" x14ac:dyDescent="0.2">
      <c r="S323" s="18"/>
      <c r="T323" s="18"/>
      <c r="U323" s="18"/>
      <c r="V323" s="18"/>
      <c r="W323" s="18"/>
      <c r="X323" s="18"/>
      <c r="Z323" s="8"/>
      <c r="AA323" s="34"/>
      <c r="AB323" s="5"/>
      <c r="AC323" s="5"/>
      <c r="AD323" s="5"/>
      <c r="AE323" s="5"/>
      <c r="AF323" s="5"/>
      <c r="AG323" s="69"/>
      <c r="AH323" s="18"/>
      <c r="AI323" s="80"/>
    </row>
    <row r="324" spans="19:35" x14ac:dyDescent="0.2">
      <c r="S324" s="18"/>
      <c r="T324" s="18"/>
      <c r="U324" s="18"/>
      <c r="V324" s="18"/>
      <c r="W324" s="18"/>
      <c r="X324" s="18"/>
      <c r="Z324" s="8"/>
      <c r="AA324" s="34"/>
      <c r="AB324" s="5"/>
      <c r="AC324" s="5"/>
      <c r="AD324" s="5"/>
      <c r="AE324" s="5"/>
      <c r="AF324" s="5"/>
      <c r="AG324" s="69"/>
      <c r="AH324" s="18"/>
      <c r="AI324" s="80"/>
    </row>
    <row r="325" spans="19:35" x14ac:dyDescent="0.2">
      <c r="S325" s="18"/>
      <c r="T325" s="18"/>
      <c r="U325" s="18"/>
      <c r="V325" s="18"/>
      <c r="W325" s="18"/>
      <c r="X325" s="18"/>
      <c r="Z325" s="8"/>
      <c r="AA325" s="34"/>
      <c r="AB325" s="5"/>
      <c r="AC325" s="5"/>
      <c r="AD325" s="5"/>
      <c r="AE325" s="5"/>
      <c r="AF325" s="5"/>
      <c r="AG325" s="69"/>
      <c r="AH325" s="18"/>
      <c r="AI325" s="80"/>
    </row>
    <row r="326" spans="19:35" x14ac:dyDescent="0.2">
      <c r="S326" s="18"/>
      <c r="T326" s="18"/>
      <c r="U326" s="18"/>
      <c r="V326" s="18"/>
      <c r="W326" s="18"/>
      <c r="X326" s="18"/>
      <c r="Z326" s="8"/>
      <c r="AA326" s="34"/>
      <c r="AB326" s="5"/>
      <c r="AC326" s="5"/>
      <c r="AD326" s="5"/>
      <c r="AE326" s="5"/>
      <c r="AF326" s="5"/>
      <c r="AG326" s="69"/>
      <c r="AH326" s="18"/>
      <c r="AI326" s="80"/>
    </row>
    <row r="327" spans="19:35" x14ac:dyDescent="0.2">
      <c r="S327" s="18"/>
      <c r="T327" s="18"/>
      <c r="U327" s="18"/>
      <c r="V327" s="18"/>
      <c r="W327" s="18"/>
      <c r="X327" s="18"/>
      <c r="Z327" s="8"/>
      <c r="AA327" s="34"/>
      <c r="AB327" s="5"/>
      <c r="AC327" s="5"/>
      <c r="AD327" s="5"/>
      <c r="AE327" s="5"/>
      <c r="AF327" s="5"/>
      <c r="AG327" s="69"/>
      <c r="AH327" s="18"/>
      <c r="AI327" s="80"/>
    </row>
    <row r="328" spans="19:35" x14ac:dyDescent="0.2">
      <c r="Z328" s="8"/>
      <c r="AA328" s="34"/>
      <c r="AB328" s="5"/>
      <c r="AC328" s="5"/>
      <c r="AD328" s="5"/>
      <c r="AE328" s="5"/>
      <c r="AF328" s="5"/>
      <c r="AG328" s="69"/>
      <c r="AH328" s="18"/>
      <c r="AI328" s="80"/>
    </row>
    <row r="329" spans="19:35" x14ac:dyDescent="0.2">
      <c r="Z329" s="8"/>
      <c r="AA329" s="34"/>
      <c r="AB329" s="5"/>
      <c r="AC329" s="5"/>
      <c r="AD329" s="5"/>
      <c r="AE329" s="5"/>
      <c r="AF329" s="5"/>
      <c r="AG329" s="69"/>
      <c r="AH329" s="18"/>
      <c r="AI329" s="80"/>
    </row>
    <row r="330" spans="19:35" x14ac:dyDescent="0.2">
      <c r="Z330" s="8"/>
      <c r="AA330" s="34"/>
      <c r="AB330" s="5"/>
      <c r="AC330" s="5"/>
      <c r="AD330" s="5"/>
      <c r="AE330" s="5"/>
      <c r="AF330" s="5"/>
      <c r="AG330" s="69"/>
      <c r="AH330" s="18"/>
      <c r="AI330" s="80"/>
    </row>
    <row r="331" spans="19:35" x14ac:dyDescent="0.2">
      <c r="Z331" s="8"/>
      <c r="AA331" s="34"/>
      <c r="AB331" s="5"/>
      <c r="AC331" s="5"/>
      <c r="AD331" s="5"/>
      <c r="AE331" s="5"/>
      <c r="AF331" s="5"/>
      <c r="AG331" s="69"/>
      <c r="AH331" s="18"/>
      <c r="AI331" s="80"/>
    </row>
    <row r="332" spans="19:35" x14ac:dyDescent="0.2">
      <c r="Z332" s="8"/>
      <c r="AA332" s="34"/>
      <c r="AB332" s="5"/>
      <c r="AC332" s="5"/>
      <c r="AD332" s="5"/>
      <c r="AE332" s="5"/>
      <c r="AF332" s="5"/>
      <c r="AG332" s="69"/>
      <c r="AH332" s="18"/>
      <c r="AI332" s="80"/>
    </row>
    <row r="333" spans="19:35" x14ac:dyDescent="0.2">
      <c r="Z333" s="8"/>
      <c r="AA333" s="34"/>
      <c r="AB333" s="5"/>
      <c r="AC333" s="5"/>
      <c r="AD333" s="5"/>
      <c r="AE333" s="5"/>
      <c r="AF333" s="5"/>
      <c r="AG333" s="69"/>
      <c r="AH333" s="18"/>
      <c r="AI333" s="80"/>
    </row>
    <row r="344" spans="13:13" x14ac:dyDescent="0.2">
      <c r="M344" s="81"/>
    </row>
  </sheetData>
  <mergeCells count="1">
    <mergeCell ref="C3:G3"/>
  </mergeCells>
  <pageMargins left="0.7" right="0.7" top="0.75" bottom="0.75" header="0.3" footer="0.3"/>
  <pageSetup paperSize="9" orientation="portrait" horizontalDpi="0" verticalDpi="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0"/>
  <dimension ref="C2:AJ131"/>
  <sheetViews>
    <sheetView topLeftCell="B1" zoomScale="61" zoomScaleNormal="75" workbookViewId="0">
      <selection activeCell="Q22" sqref="Q22"/>
    </sheetView>
  </sheetViews>
  <sheetFormatPr baseColWidth="10" defaultColWidth="11" defaultRowHeight="16" x14ac:dyDescent="0.2"/>
  <cols>
    <col min="1" max="1" width="12.83203125" customWidth="1"/>
    <col min="2" max="2" width="13.5" bestFit="1" customWidth="1"/>
    <col min="3" max="3" width="15.5" customWidth="1"/>
    <col min="4" max="5" width="14.33203125" customWidth="1"/>
    <col min="6" max="6" width="11" bestFit="1" customWidth="1"/>
    <col min="7" max="7" width="7.1640625" bestFit="1" customWidth="1"/>
    <col min="8" max="8" width="12.33203125" bestFit="1" customWidth="1"/>
    <col min="9" max="9" width="15.1640625" bestFit="1" customWidth="1"/>
    <col min="10" max="10" width="10.33203125" customWidth="1"/>
    <col min="11" max="11" width="18.1640625" bestFit="1" customWidth="1"/>
    <col min="12" max="12" width="17.6640625" bestFit="1" customWidth="1"/>
    <col min="13" max="13" width="8.1640625" bestFit="1" customWidth="1"/>
    <col min="14" max="14" width="22.5" bestFit="1" customWidth="1"/>
    <col min="15" max="15" width="7.6640625" bestFit="1" customWidth="1"/>
    <col min="16" max="16" width="7.5" bestFit="1" customWidth="1"/>
    <col min="17" max="17" width="15.33203125" bestFit="1" customWidth="1"/>
    <col min="18" max="18" width="16" customWidth="1"/>
    <col min="19" max="19" width="14.1640625" bestFit="1" customWidth="1"/>
    <col min="20" max="20" width="13.6640625" bestFit="1" customWidth="1"/>
    <col min="21" max="21" width="16.5" bestFit="1" customWidth="1"/>
    <col min="22" max="22" width="15.5" bestFit="1" customWidth="1"/>
    <col min="23" max="23" width="10" bestFit="1" customWidth="1"/>
    <col min="24" max="24" width="11.1640625" customWidth="1"/>
    <col min="25" max="25" width="15.6640625" customWidth="1"/>
    <col min="26" max="26" width="18.5" bestFit="1" customWidth="1"/>
    <col min="27" max="28" width="7.83203125" bestFit="1" customWidth="1"/>
    <col min="29" max="29" width="9" bestFit="1" customWidth="1"/>
    <col min="30" max="30" width="14.83203125" bestFit="1" customWidth="1"/>
    <col min="31" max="31" width="12.1640625" customWidth="1"/>
    <col min="32" max="32" width="13.6640625" bestFit="1" customWidth="1"/>
    <col min="33" max="33" width="22" bestFit="1" customWidth="1"/>
    <col min="34" max="34" width="14.5" customWidth="1"/>
    <col min="35" max="35" width="13.6640625" bestFit="1" customWidth="1"/>
    <col min="36" max="37" width="15.6640625" bestFit="1" customWidth="1"/>
    <col min="38" max="38" width="21.83203125" bestFit="1" customWidth="1"/>
    <col min="39" max="39" width="8.83203125" bestFit="1" customWidth="1"/>
    <col min="40" max="40" width="10" bestFit="1" customWidth="1"/>
    <col min="41" max="41" width="11.6640625" bestFit="1" customWidth="1"/>
    <col min="42" max="42" width="12.83203125" bestFit="1" customWidth="1"/>
    <col min="43" max="43" width="10.83203125" bestFit="1" customWidth="1"/>
    <col min="44" max="44" width="18" bestFit="1" customWidth="1"/>
    <col min="45" max="45" width="17.33203125" bestFit="1" customWidth="1"/>
    <col min="46" max="46" width="15.1640625" bestFit="1" customWidth="1"/>
    <col min="47" max="47" width="9.83203125" bestFit="1" customWidth="1"/>
    <col min="48" max="48" width="11" bestFit="1" customWidth="1"/>
    <col min="49" max="49" width="13.1640625" bestFit="1" customWidth="1"/>
    <col min="50" max="50" width="14" bestFit="1" customWidth="1"/>
    <col min="51" max="51" width="11.83203125" bestFit="1" customWidth="1"/>
    <col min="52" max="52" width="18" bestFit="1" customWidth="1"/>
    <col min="53" max="53" width="12.1640625" bestFit="1" customWidth="1"/>
    <col min="54" max="54" width="18" bestFit="1" customWidth="1"/>
    <col min="55" max="55" width="12.1640625" bestFit="1" customWidth="1"/>
    <col min="56" max="56" width="18" bestFit="1" customWidth="1"/>
    <col min="57" max="57" width="12.1640625" bestFit="1" customWidth="1"/>
    <col min="58" max="58" width="10.33203125" bestFit="1" customWidth="1"/>
    <col min="59" max="59" width="18" bestFit="1" customWidth="1"/>
    <col min="60" max="60" width="12.1640625" bestFit="1" customWidth="1"/>
    <col min="61" max="61" width="18" bestFit="1" customWidth="1"/>
    <col min="62" max="62" width="14.1640625" bestFit="1" customWidth="1"/>
    <col min="63" max="63" width="20" bestFit="1" customWidth="1"/>
    <col min="64" max="64" width="14.1640625" bestFit="1" customWidth="1"/>
    <col min="65" max="65" width="20" bestFit="1" customWidth="1"/>
    <col min="66" max="66" width="12.1640625" bestFit="1" customWidth="1"/>
  </cols>
  <sheetData>
    <row r="2" spans="4:26" ht="16.5" customHeight="1" x14ac:dyDescent="0.2"/>
    <row r="3" spans="4:26" ht="16.5" customHeight="1" x14ac:dyDescent="0.2"/>
    <row r="4" spans="4:26" ht="16.5" customHeight="1" x14ac:dyDescent="0.2">
      <c r="K4" s="5"/>
      <c r="L4" s="5"/>
    </row>
    <row r="5" spans="4:26" ht="16.5" customHeight="1" x14ac:dyDescent="0.2"/>
    <row r="8" spans="4:26" x14ac:dyDescent="0.2">
      <c r="D8" s="3"/>
      <c r="E8" s="3"/>
    </row>
    <row r="9" spans="4:26" x14ac:dyDescent="0.2">
      <c r="D9" s="3"/>
      <c r="E9" s="3"/>
    </row>
    <row r="10" spans="4:26" x14ac:dyDescent="0.2">
      <c r="D10" s="3"/>
      <c r="E10" s="3"/>
    </row>
    <row r="11" spans="4:26" x14ac:dyDescent="0.2">
      <c r="D11" s="3"/>
      <c r="E11" s="3"/>
      <c r="F11" s="3"/>
      <c r="G11" s="3"/>
      <c r="Z11" s="3"/>
    </row>
    <row r="12" spans="4:26" x14ac:dyDescent="0.2">
      <c r="D12" s="3"/>
      <c r="E12" s="3"/>
      <c r="F12" s="3"/>
      <c r="G12" s="3"/>
    </row>
    <row r="13" spans="4:26" x14ac:dyDescent="0.2">
      <c r="D13" s="3"/>
      <c r="E13" s="3"/>
      <c r="F13" s="3"/>
      <c r="G13" s="3"/>
      <c r="N13" s="5"/>
      <c r="O13" s="5" t="s">
        <v>114</v>
      </c>
      <c r="P13" s="5" t="s">
        <v>115</v>
      </c>
      <c r="Q13" s="5" t="s">
        <v>116</v>
      </c>
      <c r="R13" s="5" t="s">
        <v>117</v>
      </c>
      <c r="S13" s="5" t="s">
        <v>118</v>
      </c>
    </row>
    <row r="14" spans="4:26" x14ac:dyDescent="0.2">
      <c r="D14" s="3"/>
      <c r="E14" s="3"/>
      <c r="F14" s="3"/>
      <c r="G14" s="3"/>
      <c r="J14" s="3"/>
      <c r="N14" s="34" t="s">
        <v>119</v>
      </c>
      <c r="O14" s="66"/>
      <c r="P14" s="66"/>
      <c r="Q14" s="6"/>
      <c r="R14" s="6"/>
      <c r="S14" s="6"/>
    </row>
    <row r="15" spans="4:26" x14ac:dyDescent="0.2">
      <c r="G15" s="3"/>
      <c r="J15" s="3"/>
      <c r="N15" s="76" t="s">
        <v>106</v>
      </c>
      <c r="O15" s="66">
        <v>0.57913665605750508</v>
      </c>
      <c r="P15" s="66">
        <v>0.5</v>
      </c>
      <c r="Q15" s="6">
        <v>15660.590047522634</v>
      </c>
      <c r="R15" s="6">
        <v>21707.273093802418</v>
      </c>
      <c r="S15" s="6">
        <v>-6046.6830462797843</v>
      </c>
    </row>
    <row r="16" spans="4:26" x14ac:dyDescent="0.2">
      <c r="G16" s="3"/>
      <c r="J16" s="3"/>
      <c r="N16" s="76" t="s">
        <v>107</v>
      </c>
      <c r="O16" s="66">
        <v>7.4176991407201381E-2</v>
      </c>
      <c r="P16" s="66">
        <v>0.2</v>
      </c>
      <c r="Q16" s="6">
        <v>2005.8399709920002</v>
      </c>
      <c r="R16" s="6">
        <v>8682.9092375209675</v>
      </c>
      <c r="S16" s="6">
        <v>-6677.0692665289671</v>
      </c>
    </row>
    <row r="17" spans="6:34" x14ac:dyDescent="0.2">
      <c r="G17" s="3"/>
      <c r="J17" s="3"/>
      <c r="N17" s="76" t="s">
        <v>110</v>
      </c>
      <c r="O17" s="66">
        <v>0.24352540643848872</v>
      </c>
      <c r="P17" s="66">
        <v>0.2</v>
      </c>
      <c r="Q17" s="6">
        <v>6585.2360000000008</v>
      </c>
      <c r="R17" s="6">
        <v>8682.9092375209675</v>
      </c>
      <c r="S17" s="6">
        <v>-2097.6732375209667</v>
      </c>
    </row>
    <row r="18" spans="6:34" x14ac:dyDescent="0.2">
      <c r="G18" s="3"/>
      <c r="J18" s="3"/>
      <c r="N18" s="76" t="s">
        <v>102</v>
      </c>
      <c r="O18" s="66">
        <v>3.3582258542950855E-2</v>
      </c>
      <c r="P18" s="66">
        <v>4.4999999999999998E-2</v>
      </c>
      <c r="Q18" s="6">
        <v>908.10688360027996</v>
      </c>
      <c r="R18" s="6">
        <v>1953.6545784422176</v>
      </c>
      <c r="S18" s="6">
        <v>-1045.5476948419378</v>
      </c>
    </row>
    <row r="19" spans="6:34" x14ac:dyDescent="0.2">
      <c r="G19" s="3"/>
      <c r="J19" s="3"/>
      <c r="N19" s="76" t="s">
        <v>111</v>
      </c>
      <c r="O19" s="66">
        <v>6.9578687553853921E-2</v>
      </c>
      <c r="P19" s="66">
        <v>0.05</v>
      </c>
      <c r="Q19" s="6">
        <v>1881.4960000000003</v>
      </c>
      <c r="R19" s="6">
        <v>2170.7273093802419</v>
      </c>
      <c r="S19" s="6">
        <v>-289.23130938024156</v>
      </c>
    </row>
    <row r="20" spans="6:34" x14ac:dyDescent="0.2">
      <c r="G20" s="3"/>
      <c r="J20" s="3"/>
    </row>
    <row r="21" spans="6:34" ht="16.5" customHeight="1" x14ac:dyDescent="0.2">
      <c r="G21" s="3"/>
      <c r="J21" s="3"/>
    </row>
    <row r="22" spans="6:34" ht="16.5" customHeight="1" x14ac:dyDescent="0.2">
      <c r="G22" s="3"/>
      <c r="J22" s="3"/>
    </row>
    <row r="23" spans="6:34" ht="16.5" customHeight="1" x14ac:dyDescent="0.2">
      <c r="G23" s="3"/>
      <c r="J23" s="3"/>
    </row>
    <row r="24" spans="6:34" ht="16.5" customHeight="1" x14ac:dyDescent="0.2">
      <c r="G24" s="3"/>
      <c r="J24" s="3"/>
    </row>
    <row r="28" spans="6:34" ht="16.5" customHeight="1" x14ac:dyDescent="0.2">
      <c r="G28" s="3"/>
      <c r="J28" s="3"/>
    </row>
    <row r="29" spans="6:34" ht="16.5" customHeight="1" x14ac:dyDescent="0.2">
      <c r="G29" s="3"/>
      <c r="J29" s="3"/>
    </row>
    <row r="30" spans="6:34" ht="17" customHeight="1" x14ac:dyDescent="0.2">
      <c r="G30" s="3"/>
    </row>
    <row r="31" spans="6:34" ht="17" customHeight="1" x14ac:dyDescent="0.2">
      <c r="F31" s="3"/>
      <c r="G31" s="3"/>
      <c r="AH31" s="67"/>
    </row>
    <row r="32" spans="6:34" ht="17" customHeight="1" x14ac:dyDescent="0.2">
      <c r="F32" s="3"/>
      <c r="G32" s="3"/>
    </row>
    <row r="33" spans="5:7" ht="17" customHeight="1" x14ac:dyDescent="0.2">
      <c r="F33" s="3"/>
      <c r="G33" s="3"/>
    </row>
    <row r="34" spans="5:7" ht="17" customHeight="1" x14ac:dyDescent="0.2">
      <c r="F34" s="3"/>
      <c r="G34" s="3"/>
    </row>
    <row r="35" spans="5:7" x14ac:dyDescent="0.2">
      <c r="E35" s="68"/>
      <c r="F35" s="3"/>
      <c r="G35" s="3"/>
    </row>
    <row r="36" spans="5:7" x14ac:dyDescent="0.2">
      <c r="E36" s="68"/>
      <c r="F36" s="3"/>
      <c r="G36" s="3"/>
    </row>
    <row r="37" spans="5:7" ht="17" customHeight="1" x14ac:dyDescent="0.2">
      <c r="E37" s="68"/>
      <c r="F37" s="3"/>
      <c r="G37" s="3"/>
    </row>
    <row r="38" spans="5:7" ht="17" customHeight="1" x14ac:dyDescent="0.2">
      <c r="E38" s="68"/>
      <c r="F38" s="3"/>
      <c r="G38" s="3"/>
    </row>
    <row r="39" spans="5:7" ht="17" customHeight="1" x14ac:dyDescent="0.2">
      <c r="E39" s="68"/>
      <c r="F39" s="3"/>
      <c r="G39" s="3"/>
    </row>
    <row r="40" spans="5:7" ht="17" customHeight="1" x14ac:dyDescent="0.2">
      <c r="E40" s="68"/>
    </row>
    <row r="53" spans="6:36" x14ac:dyDescent="0.2">
      <c r="F53" s="5"/>
      <c r="K53" s="5"/>
      <c r="P53" s="5"/>
      <c r="AF53" s="5"/>
      <c r="AG53" s="5"/>
      <c r="AH53" s="5"/>
      <c r="AI53" s="5"/>
    </row>
    <row r="54" spans="6:36" s="5" customFormat="1" x14ac:dyDescent="0.2">
      <c r="F54" s="1"/>
      <c r="K54" s="1"/>
      <c r="P54" s="6"/>
      <c r="AF54" s="69"/>
      <c r="AG54" s="73"/>
      <c r="AH54" s="74"/>
      <c r="AI54" s="69"/>
      <c r="AJ54" s="65"/>
    </row>
    <row r="55" spans="6:36" ht="17" customHeight="1" x14ac:dyDescent="0.2">
      <c r="F55" s="1"/>
      <c r="K55" s="1"/>
      <c r="P55" s="6"/>
      <c r="AF55" s="69"/>
      <c r="AG55" s="73"/>
      <c r="AH55" s="74"/>
      <c r="AI55" s="69"/>
      <c r="AJ55" s="65"/>
    </row>
    <row r="56" spans="6:36" ht="17" customHeight="1" x14ac:dyDescent="0.2">
      <c r="F56" s="1"/>
      <c r="K56" s="1"/>
      <c r="P56" s="6"/>
      <c r="U56" s="34"/>
      <c r="V56" s="69"/>
      <c r="W56" s="69"/>
      <c r="X56" s="69"/>
      <c r="AF56" s="69"/>
      <c r="AG56" s="73"/>
      <c r="AH56" s="74"/>
      <c r="AI56" s="69"/>
    </row>
    <row r="57" spans="6:36" x14ac:dyDescent="0.2">
      <c r="F57" s="1"/>
      <c r="U57" s="34"/>
      <c r="V57" s="69"/>
      <c r="W57" s="69"/>
      <c r="X57" s="69"/>
      <c r="AF57" s="69"/>
      <c r="AG57" s="73"/>
      <c r="AH57" s="74"/>
      <c r="AI57" s="69"/>
    </row>
    <row r="58" spans="6:36" x14ac:dyDescent="0.2">
      <c r="F58" s="1"/>
      <c r="L58" s="3"/>
      <c r="U58" s="34"/>
      <c r="V58" s="69"/>
      <c r="W58" s="69"/>
      <c r="X58" s="69"/>
      <c r="AF58" s="69"/>
      <c r="AG58" s="69"/>
      <c r="AH58" s="69"/>
      <c r="AI58" s="69"/>
    </row>
    <row r="59" spans="6:36" x14ac:dyDescent="0.2">
      <c r="U59" s="34"/>
      <c r="V59" s="69"/>
      <c r="W59" s="69"/>
      <c r="X59" s="69"/>
    </row>
    <row r="60" spans="6:36" ht="17" customHeight="1" x14ac:dyDescent="0.2">
      <c r="U60" s="34"/>
      <c r="V60" s="69"/>
      <c r="W60" s="69"/>
      <c r="X60" s="69"/>
    </row>
    <row r="61" spans="6:36" x14ac:dyDescent="0.2">
      <c r="U61" s="34"/>
      <c r="V61" s="69"/>
      <c r="W61" s="69"/>
      <c r="X61" s="69"/>
    </row>
    <row r="62" spans="6:36" x14ac:dyDescent="0.2">
      <c r="U62" s="34"/>
      <c r="V62" s="69"/>
      <c r="W62" s="69"/>
      <c r="X62" s="69"/>
    </row>
    <row r="63" spans="6:36" x14ac:dyDescent="0.2">
      <c r="U63" s="34"/>
      <c r="V63" s="69"/>
      <c r="W63" s="69"/>
      <c r="X63" s="69"/>
    </row>
    <row r="67" spans="3:26" ht="16.5" customHeight="1" x14ac:dyDescent="0.2"/>
    <row r="69" spans="3:26" ht="16.5" customHeight="1" x14ac:dyDescent="0.2"/>
    <row r="72" spans="3:26" x14ac:dyDescent="0.2">
      <c r="C72" s="7"/>
      <c r="W72" s="18"/>
      <c r="Y72" s="64"/>
      <c r="Z72" s="64"/>
    </row>
    <row r="73" spans="3:26" x14ac:dyDescent="0.2">
      <c r="W73" s="18"/>
      <c r="X73" s="64"/>
      <c r="Y73" s="64"/>
      <c r="Z73" s="64"/>
    </row>
    <row r="74" spans="3:26" x14ac:dyDescent="0.2">
      <c r="W74" s="18"/>
      <c r="X74" s="64"/>
      <c r="Z74" s="64"/>
    </row>
    <row r="84" spans="10:10" x14ac:dyDescent="0.2">
      <c r="J84" s="70"/>
    </row>
    <row r="85" spans="10:10" x14ac:dyDescent="0.2">
      <c r="J85" s="70"/>
    </row>
    <row r="131" spans="14:21" x14ac:dyDescent="0.2">
      <c r="N131" s="3"/>
      <c r="O131" s="71"/>
      <c r="P131" s="66"/>
      <c r="Q131" s="16"/>
      <c r="R131" s="66"/>
      <c r="S131" s="66"/>
      <c r="T131" s="6"/>
      <c r="U131" s="16"/>
    </row>
  </sheetData>
  <conditionalFormatting pivot="1" sqref="S14:S19">
    <cfRule type="colorScale" priority="1">
      <colorScale>
        <cfvo type="min"/>
        <cfvo type="num" val="0"/>
        <cfvo type="max"/>
        <color theme="5" tint="0.39997558519241921"/>
        <color theme="0"/>
        <color rgb="FF00B0F0"/>
      </colorScale>
    </cfRule>
  </conditionalFormatting>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86E8-122B-BB48-9F3F-753A418B8FAF}">
  <dimension ref="B2:R87"/>
  <sheetViews>
    <sheetView topLeftCell="A21" zoomScale="61" workbookViewId="0">
      <selection activeCell="H8" sqref="H8"/>
    </sheetView>
  </sheetViews>
  <sheetFormatPr baseColWidth="10" defaultRowHeight="16" x14ac:dyDescent="0.2"/>
  <cols>
    <col min="2" max="2" width="12.6640625" bestFit="1" customWidth="1"/>
    <col min="3" max="3" width="15.6640625" bestFit="1" customWidth="1"/>
    <col min="4" max="4" width="12" bestFit="1" customWidth="1"/>
    <col min="5" max="5" width="10.1640625" bestFit="1" customWidth="1"/>
    <col min="6" max="6" width="13.33203125" bestFit="1" customWidth="1"/>
    <col min="7" max="7" width="12.5" bestFit="1" customWidth="1"/>
    <col min="8" max="8" width="7.33203125" bestFit="1" customWidth="1"/>
    <col min="9" max="9" width="16.83203125" bestFit="1" customWidth="1"/>
    <col min="10" max="10" width="18.6640625" bestFit="1" customWidth="1"/>
    <col min="11" max="11" width="15.33203125" bestFit="1" customWidth="1"/>
    <col min="12" max="12" width="14.5" bestFit="1" customWidth="1"/>
    <col min="13" max="13" width="14.6640625" bestFit="1" customWidth="1"/>
    <col min="14" max="14" width="15" bestFit="1" customWidth="1"/>
    <col min="15" max="15" width="14.6640625" bestFit="1" customWidth="1"/>
    <col min="16" max="16" width="15" bestFit="1" customWidth="1"/>
    <col min="17" max="17" width="13.83203125" bestFit="1" customWidth="1"/>
    <col min="18" max="18" width="9.6640625" bestFit="1" customWidth="1"/>
    <col min="19" max="19" width="14.6640625" bestFit="1" customWidth="1"/>
    <col min="20" max="20" width="15" bestFit="1" customWidth="1"/>
    <col min="21" max="21" width="14.6640625" bestFit="1" customWidth="1"/>
    <col min="22" max="22" width="15" bestFit="1" customWidth="1"/>
    <col min="23" max="23" width="13.83203125" bestFit="1" customWidth="1"/>
    <col min="24" max="24" width="9.6640625" bestFit="1" customWidth="1"/>
    <col min="25" max="25" width="14.1640625" bestFit="1" customWidth="1"/>
    <col min="26" max="26" width="10.5" bestFit="1" customWidth="1"/>
    <col min="27" max="27" width="11.5" bestFit="1" customWidth="1"/>
    <col min="28" max="28" width="11" bestFit="1" customWidth="1"/>
  </cols>
  <sheetData>
    <row r="2" spans="2:18" ht="24" x14ac:dyDescent="0.2">
      <c r="B2" s="87" t="s">
        <v>181</v>
      </c>
      <c r="C2" s="87"/>
      <c r="D2" s="87"/>
      <c r="J2" s="86" t="s">
        <v>180</v>
      </c>
      <c r="K2" s="86"/>
      <c r="L2" s="86"/>
    </row>
    <row r="5" spans="2:18" x14ac:dyDescent="0.2">
      <c r="B5" s="94"/>
      <c r="C5" s="94" t="s">
        <v>9</v>
      </c>
      <c r="D5" s="94" t="s">
        <v>120</v>
      </c>
      <c r="J5" s="5" t="s">
        <v>2</v>
      </c>
      <c r="K5" s="5" t="s">
        <v>125</v>
      </c>
      <c r="L5" s="5" t="s">
        <v>120</v>
      </c>
      <c r="R5" s="5"/>
    </row>
    <row r="6" spans="2:18" x14ac:dyDescent="0.2">
      <c r="B6" s="94" t="s">
        <v>17</v>
      </c>
      <c r="C6" s="107">
        <v>32403.737327999996</v>
      </c>
      <c r="D6" s="101">
        <v>0.14927594630599408</v>
      </c>
      <c r="J6" t="str">
        <f>B6</f>
        <v>Caixa</v>
      </c>
      <c r="K6" s="18">
        <f>GETPIVOTDATA("Total (R$)",$B$5)*Table_ClasseAtivos[[#This Row],[Porcentagem]]</f>
        <v>32560.909640703627</v>
      </c>
      <c r="L6" s="69">
        <v>0.15</v>
      </c>
      <c r="R6" s="18"/>
    </row>
    <row r="7" spans="2:18" x14ac:dyDescent="0.2">
      <c r="B7" s="94" t="s">
        <v>13</v>
      </c>
      <c r="C7" s="107">
        <v>100713.94061108</v>
      </c>
      <c r="D7" s="101">
        <v>0.46396403719560037</v>
      </c>
      <c r="J7" t="str">
        <f t="shared" ref="J7:J10" si="0">B7</f>
        <v>Cripto</v>
      </c>
      <c r="K7" s="18">
        <f>GETPIVOTDATA("Total (R$)",$B$5)*Table_ClasseAtivos[[#This Row],[Porcentagem]]</f>
        <v>75975.455828308463</v>
      </c>
      <c r="L7" s="69">
        <v>0.35</v>
      </c>
      <c r="R7" s="18"/>
    </row>
    <row r="8" spans="2:18" x14ac:dyDescent="0.2">
      <c r="B8" s="94" t="s">
        <v>20</v>
      </c>
      <c r="C8" s="107">
        <v>46453.345000000001</v>
      </c>
      <c r="D8" s="101">
        <v>0.21399898918332014</v>
      </c>
      <c r="J8" t="str">
        <f t="shared" si="0"/>
        <v>Renda Fixa</v>
      </c>
      <c r="K8" s="18">
        <f>GETPIVOTDATA("Total (R$)",$B$5)*Table_ClasseAtivos[[#This Row],[Porcentagem]]</f>
        <v>54268.182734506045</v>
      </c>
      <c r="L8" s="69">
        <v>0.25</v>
      </c>
      <c r="R8" s="18"/>
    </row>
    <row r="9" spans="2:18" x14ac:dyDescent="0.2">
      <c r="B9" s="94" t="s">
        <v>36</v>
      </c>
      <c r="C9" s="107">
        <v>27041.268902114916</v>
      </c>
      <c r="D9" s="101">
        <v>0.12457239002459224</v>
      </c>
      <c r="J9" t="str">
        <f t="shared" si="0"/>
        <v>Renda Variável</v>
      </c>
      <c r="K9" s="18">
        <f>GETPIVOTDATA("Total (R$)",$B$5)*Table_ClasseAtivos[[#This Row],[Porcentagem]]</f>
        <v>43414.546187604836</v>
      </c>
      <c r="L9" s="69">
        <v>0.2</v>
      </c>
    </row>
    <row r="10" spans="2:18" x14ac:dyDescent="0.2">
      <c r="B10" s="94" t="s">
        <v>23</v>
      </c>
      <c r="C10" s="107">
        <v>10460.439096829257</v>
      </c>
      <c r="D10" s="101">
        <v>4.818863729049315E-2</v>
      </c>
      <c r="J10" t="str">
        <f t="shared" si="0"/>
        <v>Reserva</v>
      </c>
      <c r="K10" s="18">
        <f>GETPIVOTDATA("Total (R$)",$B$5)*Table_ClasseAtivos[[#This Row],[Porcentagem]]</f>
        <v>10853.636546901209</v>
      </c>
      <c r="L10" s="69">
        <v>0.05</v>
      </c>
    </row>
    <row r="11" spans="2:18" ht="17" thickBot="1" x14ac:dyDescent="0.25">
      <c r="B11" s="96" t="s">
        <v>123</v>
      </c>
      <c r="C11" s="107">
        <v>217072.73093802418</v>
      </c>
      <c r="D11" s="95">
        <v>1</v>
      </c>
      <c r="J11" t="s">
        <v>158</v>
      </c>
      <c r="K11" s="18">
        <f>SUBTOTAL(109,Table_ClasseAtivos[Total Ideal])</f>
        <v>217072.73093802418</v>
      </c>
      <c r="L11" s="66">
        <f>SUBTOTAL(109,Table_ClasseAtivos[Porcentagem])</f>
        <v>1</v>
      </c>
    </row>
    <row r="14" spans="2:18" x14ac:dyDescent="0.2">
      <c r="B14" s="94" t="s">
        <v>182</v>
      </c>
      <c r="C14" s="94"/>
      <c r="D14" s="94"/>
      <c r="E14" s="94"/>
      <c r="F14" s="94"/>
      <c r="G14" s="94"/>
    </row>
    <row r="15" spans="2:18" x14ac:dyDescent="0.2">
      <c r="B15" s="94"/>
      <c r="C15" s="94" t="s">
        <v>17</v>
      </c>
      <c r="D15" s="94" t="s">
        <v>13</v>
      </c>
      <c r="E15" s="94" t="s">
        <v>20</v>
      </c>
      <c r="F15" s="94" t="s">
        <v>36</v>
      </c>
      <c r="G15" s="94" t="s">
        <v>23</v>
      </c>
      <c r="J15" t="s">
        <v>122</v>
      </c>
      <c r="K15" t="s">
        <v>17</v>
      </c>
      <c r="L15" t="s">
        <v>13</v>
      </c>
      <c r="M15" t="s">
        <v>20</v>
      </c>
      <c r="N15" t="s">
        <v>36</v>
      </c>
      <c r="O15" t="s">
        <v>23</v>
      </c>
    </row>
    <row r="16" spans="2:18" x14ac:dyDescent="0.2">
      <c r="B16" s="94" t="s">
        <v>124</v>
      </c>
      <c r="C16" s="97">
        <v>8.8791207982281795E-2</v>
      </c>
      <c r="D16" s="97">
        <v>0</v>
      </c>
      <c r="E16" s="97">
        <v>0.21399898918332014</v>
      </c>
      <c r="F16" s="97">
        <v>5.9589635898085774E-2</v>
      </c>
      <c r="G16" s="97">
        <v>0</v>
      </c>
      <c r="J16" t="str">
        <f>B16</f>
        <v>BRL</v>
      </c>
      <c r="K16" s="69">
        <v>0.1</v>
      </c>
      <c r="L16" s="69">
        <v>0</v>
      </c>
      <c r="M16" s="69">
        <v>0.25</v>
      </c>
      <c r="N16" s="69">
        <v>0.04</v>
      </c>
      <c r="O16" s="69">
        <v>0</v>
      </c>
    </row>
    <row r="17" spans="2:15" x14ac:dyDescent="0.2">
      <c r="B17" s="94" t="s">
        <v>14</v>
      </c>
      <c r="C17" s="97">
        <v>0</v>
      </c>
      <c r="D17" s="97">
        <v>0.4527458295032889</v>
      </c>
      <c r="E17" s="97">
        <v>0</v>
      </c>
      <c r="F17" s="97">
        <v>0</v>
      </c>
      <c r="G17" s="97">
        <v>0</v>
      </c>
      <c r="J17" t="str">
        <f t="shared" ref="J17:J18" si="1">B17</f>
        <v>BTC</v>
      </c>
      <c r="K17" s="69">
        <v>0</v>
      </c>
      <c r="L17" s="69">
        <v>0.32500000000000001</v>
      </c>
      <c r="M17" s="69">
        <v>0</v>
      </c>
      <c r="N17" s="69">
        <v>0</v>
      </c>
      <c r="O17" s="69">
        <v>0</v>
      </c>
    </row>
    <row r="18" spans="2:15" x14ac:dyDescent="0.2">
      <c r="B18" s="94" t="s">
        <v>24</v>
      </c>
      <c r="C18" s="97">
        <v>6.0484738323712289E-2</v>
      </c>
      <c r="D18" s="97">
        <v>1.1218207692311468E-2</v>
      </c>
      <c r="E18" s="97">
        <v>0</v>
      </c>
      <c r="F18" s="97">
        <v>6.4982754126506448E-2</v>
      </c>
      <c r="G18" s="97">
        <v>4.818863729049315E-2</v>
      </c>
      <c r="J18" t="str">
        <f t="shared" si="1"/>
        <v>USD</v>
      </c>
      <c r="K18" s="69">
        <v>0.05</v>
      </c>
      <c r="L18" s="69">
        <v>2.5000000000000001E-2</v>
      </c>
      <c r="M18" s="69">
        <v>0</v>
      </c>
      <c r="N18" s="69">
        <v>0.16</v>
      </c>
      <c r="O18" s="69">
        <v>0.05</v>
      </c>
    </row>
    <row r="19" spans="2:15" ht="17" thickBot="1" x14ac:dyDescent="0.25">
      <c r="B19" s="96" t="s">
        <v>123</v>
      </c>
      <c r="C19" s="98">
        <v>0.14927594630599408</v>
      </c>
      <c r="D19" s="98">
        <v>0.46396403719560031</v>
      </c>
      <c r="E19" s="98">
        <v>0.21399898918332014</v>
      </c>
      <c r="F19" s="98">
        <v>0.12457239002459221</v>
      </c>
      <c r="G19" s="98">
        <v>4.818863729049315E-2</v>
      </c>
      <c r="J19" t="s">
        <v>158</v>
      </c>
      <c r="K19" s="66">
        <f>SUBTOTAL(109,Table_ClasseAtivosXMoeda[Caixa])</f>
        <v>0.15000000000000002</v>
      </c>
      <c r="L19" s="66">
        <f>SUBTOTAL(109,Table_ClasseAtivosXMoeda[Cripto])</f>
        <v>0.35000000000000003</v>
      </c>
      <c r="M19" s="66">
        <f>SUBTOTAL(109,Table_ClasseAtivosXMoeda[Renda Fixa])</f>
        <v>0.25</v>
      </c>
      <c r="N19" s="66">
        <f>SUBTOTAL(109,Table_ClasseAtivosXMoeda[Renda Variável])</f>
        <v>0.2</v>
      </c>
      <c r="O19" s="66">
        <f>SUBTOTAL(109,Table_ClasseAtivosXMoeda[Reserva])</f>
        <v>0.05</v>
      </c>
    </row>
    <row r="21" spans="2:15" ht="17" thickBot="1" x14ac:dyDescent="0.25"/>
    <row r="22" spans="2:15" x14ac:dyDescent="0.2">
      <c r="B22" s="102"/>
      <c r="C22" s="103" t="s">
        <v>9</v>
      </c>
      <c r="D22" s="104" t="s">
        <v>120</v>
      </c>
      <c r="J22" s="5" t="s">
        <v>122</v>
      </c>
      <c r="K22" s="5" t="s">
        <v>125</v>
      </c>
      <c r="L22" s="5" t="s">
        <v>120</v>
      </c>
    </row>
    <row r="23" spans="2:15" x14ac:dyDescent="0.2">
      <c r="B23" s="105" t="s">
        <v>124</v>
      </c>
      <c r="C23" s="108">
        <v>78662.78</v>
      </c>
      <c r="D23" s="101">
        <v>0.36237983306368771</v>
      </c>
      <c r="J23" t="str">
        <f t="shared" ref="J23:J25" si="2">B23</f>
        <v>BRL</v>
      </c>
      <c r="K23" s="18">
        <f>GETPIVOTDATA("Total (R$)",$B$22)*Table_Moeda[[#This Row],[Porcentagem]]</f>
        <v>84658.365065829435</v>
      </c>
      <c r="L23" s="79">
        <v>0.39</v>
      </c>
    </row>
    <row r="24" spans="2:15" x14ac:dyDescent="0.2">
      <c r="B24" s="105" t="s">
        <v>14</v>
      </c>
      <c r="C24" s="108">
        <v>98278.773631079996</v>
      </c>
      <c r="D24" s="101">
        <v>0.4527458295032889</v>
      </c>
      <c r="J24" t="str">
        <f t="shared" si="2"/>
        <v>BTC</v>
      </c>
      <c r="K24" s="18">
        <f>GETPIVOTDATA("Total (R$)",$B$22)*Table_Moeda[[#This Row],[Porcentagem]]</f>
        <v>70548.637554857865</v>
      </c>
      <c r="L24" s="79">
        <v>0.32500000000000001</v>
      </c>
    </row>
    <row r="25" spans="2:15" x14ac:dyDescent="0.2">
      <c r="B25" s="105" t="s">
        <v>24</v>
      </c>
      <c r="C25" s="108">
        <v>40131.17730694417</v>
      </c>
      <c r="D25" s="101">
        <v>0.18487433743302334</v>
      </c>
      <c r="J25" t="str">
        <f t="shared" si="2"/>
        <v>USD</v>
      </c>
      <c r="K25" s="18">
        <f>GETPIVOTDATA("Total (R$)",$B$22)*Table_Moeda[[#This Row],[Porcentagem]]</f>
        <v>61865.728317336885</v>
      </c>
      <c r="L25" s="79">
        <v>0.28499999999999998</v>
      </c>
    </row>
    <row r="26" spans="2:15" ht="17" thickBot="1" x14ac:dyDescent="0.25">
      <c r="B26" s="106" t="s">
        <v>123</v>
      </c>
      <c r="C26" s="108">
        <v>217072.73093802418</v>
      </c>
      <c r="D26" s="101">
        <v>1</v>
      </c>
      <c r="J26" t="s">
        <v>158</v>
      </c>
      <c r="K26" s="1">
        <f>SUBTOTAL(109,Table_Moeda[Total Ideal])</f>
        <v>217072.73093802418</v>
      </c>
      <c r="L26" s="66">
        <f>SUBTOTAL(109,Table_Moeda[Porcentagem])</f>
        <v>1</v>
      </c>
    </row>
    <row r="28" spans="2:15" ht="17" thickBot="1" x14ac:dyDescent="0.25"/>
    <row r="29" spans="2:15" ht="17" thickBot="1" x14ac:dyDescent="0.25">
      <c r="B29" s="102"/>
      <c r="C29" s="103" t="s">
        <v>9</v>
      </c>
      <c r="D29" s="104" t="s">
        <v>120</v>
      </c>
      <c r="J29" s="5" t="s">
        <v>5</v>
      </c>
      <c r="K29" s="5" t="s">
        <v>125</v>
      </c>
      <c r="L29" s="5" t="s">
        <v>120</v>
      </c>
    </row>
    <row r="30" spans="2:15" x14ac:dyDescent="0.2">
      <c r="B30" s="112" t="s">
        <v>86</v>
      </c>
      <c r="C30" s="109">
        <v>103716.46993166002</v>
      </c>
      <c r="D30" s="101">
        <v>0.47779594186462698</v>
      </c>
      <c r="J30" t="str">
        <f>B30</f>
        <v>Core</v>
      </c>
      <c r="K30" s="18">
        <f>Table_Estrategia[[#This Row],[Porcentagem]]*GETPIVOTDATA("Total (R$)",Tables_Atual_Ideal!$B$29)</f>
        <v>119390.00201591331</v>
      </c>
      <c r="L30" s="69">
        <v>0.55000000000000004</v>
      </c>
      <c r="M30" s="5"/>
    </row>
    <row r="31" spans="2:15" x14ac:dyDescent="0.2">
      <c r="B31" s="112" t="s">
        <v>87</v>
      </c>
      <c r="C31" s="110">
        <v>98278.773631079996</v>
      </c>
      <c r="D31" s="101">
        <v>0.4527458295032889</v>
      </c>
      <c r="J31" t="str">
        <f>B31</f>
        <v>Core-Satellite</v>
      </c>
      <c r="K31" s="18">
        <f>Table_Estrategia[[#This Row],[Porcentagem]]*GETPIVOTDATA("Total (R$)",Tables_Atual_Ideal!$B$29)</f>
        <v>75975.455828308463</v>
      </c>
      <c r="L31" s="69">
        <v>0.35</v>
      </c>
      <c r="M31" t="s">
        <v>183</v>
      </c>
    </row>
    <row r="32" spans="2:15" x14ac:dyDescent="0.2">
      <c r="B32" s="112" t="s">
        <v>90</v>
      </c>
      <c r="C32" s="110">
        <v>10460.439096829257</v>
      </c>
      <c r="D32" s="101">
        <v>4.818863729049315E-2</v>
      </c>
      <c r="J32" t="str">
        <f>B32</f>
        <v>Hedge</v>
      </c>
      <c r="K32" s="18">
        <f>Table_Estrategia[[#This Row],[Porcentagem]]*GETPIVOTDATA("Total (R$)",Tables_Atual_Ideal!$B$29)</f>
        <v>10853.636546901209</v>
      </c>
      <c r="L32" s="69">
        <v>0.05</v>
      </c>
    </row>
    <row r="33" spans="2:13" x14ac:dyDescent="0.2">
      <c r="B33" s="112" t="s">
        <v>88</v>
      </c>
      <c r="C33" s="110">
        <v>4617.0482784549158</v>
      </c>
      <c r="D33" s="101">
        <v>2.1269591341591017E-2</v>
      </c>
      <c r="J33" t="str">
        <f>B33</f>
        <v>Satellite</v>
      </c>
      <c r="K33" s="18">
        <f>Table_Estrategia[[#This Row],[Porcentagem]]*GETPIVOTDATA("Total (R$)",Tables_Atual_Ideal!$B$29)</f>
        <v>10853.636546901209</v>
      </c>
      <c r="L33" s="69">
        <v>0.05</v>
      </c>
    </row>
    <row r="34" spans="2:13" ht="17" thickBot="1" x14ac:dyDescent="0.25">
      <c r="B34" s="106" t="s">
        <v>123</v>
      </c>
      <c r="C34" s="111">
        <v>217072.73093802418</v>
      </c>
      <c r="D34" s="101">
        <v>1</v>
      </c>
      <c r="J34" t="s">
        <v>158</v>
      </c>
      <c r="K34" s="78"/>
      <c r="L34" s="77">
        <f>SUBTOTAL(109,Table_Estrategia[Porcentagem])</f>
        <v>1</v>
      </c>
    </row>
    <row r="37" spans="2:13" x14ac:dyDescent="0.2">
      <c r="B37" s="99" t="s">
        <v>2</v>
      </c>
      <c r="C37" s="100" t="s">
        <v>20</v>
      </c>
    </row>
    <row r="39" spans="2:13" x14ac:dyDescent="0.2">
      <c r="B39" s="99" t="s">
        <v>113</v>
      </c>
      <c r="C39" s="100"/>
      <c r="D39" s="100"/>
      <c r="E39" s="100"/>
    </row>
    <row r="40" spans="2:13" x14ac:dyDescent="0.2">
      <c r="B40" s="100"/>
      <c r="C40" s="5" t="s">
        <v>99</v>
      </c>
      <c r="D40" s="5" t="s">
        <v>105</v>
      </c>
      <c r="E40" s="5" t="s">
        <v>109</v>
      </c>
      <c r="J40" s="5" t="s">
        <v>3</v>
      </c>
      <c r="K40" s="5" t="s">
        <v>99</v>
      </c>
      <c r="L40" s="5" t="s">
        <v>105</v>
      </c>
      <c r="M40" s="5" t="s">
        <v>109</v>
      </c>
    </row>
    <row r="41" spans="2:13" x14ac:dyDescent="0.2">
      <c r="B41" s="34" t="s">
        <v>103</v>
      </c>
      <c r="C41" s="101">
        <v>6.4625615227493299E-2</v>
      </c>
      <c r="D41" s="101">
        <v>0.10738180425973631</v>
      </c>
      <c r="E41" s="101">
        <v>0.25736919483408566</v>
      </c>
      <c r="J41" s="34" t="str">
        <f t="shared" ref="J41:J42" si="3">B41</f>
        <v>IPCA</v>
      </c>
      <c r="K41" s="69">
        <v>0.15</v>
      </c>
      <c r="L41" s="69">
        <v>0.25</v>
      </c>
      <c r="M41" s="69">
        <v>0.15</v>
      </c>
    </row>
    <row r="42" spans="2:13" x14ac:dyDescent="0.2">
      <c r="B42" s="34" t="s">
        <v>98</v>
      </c>
      <c r="C42" s="101">
        <v>0.21133272533980063</v>
      </c>
      <c r="D42" s="101">
        <v>0.2580333665960976</v>
      </c>
      <c r="E42" s="101">
        <v>0.10125729374278646</v>
      </c>
      <c r="J42" s="34" t="str">
        <f t="shared" si="3"/>
        <v>Pós-fixado</v>
      </c>
      <c r="K42" s="69">
        <v>0.1</v>
      </c>
      <c r="L42" s="69">
        <v>0.25</v>
      </c>
      <c r="M42" s="69">
        <v>0.1</v>
      </c>
    </row>
    <row r="43" spans="2:13" x14ac:dyDescent="0.2">
      <c r="B43" s="5" t="s">
        <v>123</v>
      </c>
      <c r="C43" s="101">
        <v>0.27595834056729396</v>
      </c>
      <c r="D43" s="101">
        <v>0.36541517085583392</v>
      </c>
      <c r="E43" s="101">
        <v>0.35862648857687213</v>
      </c>
      <c r="J43" s="34" t="s">
        <v>158</v>
      </c>
      <c r="K43" s="66">
        <f>SUBTOTAL(109,Table_RendaFixaXDuration[Curto])</f>
        <v>0.25</v>
      </c>
      <c r="L43" s="66">
        <f>SUBTOTAL(109,Table_RendaFixaXDuration[Médio])</f>
        <v>0.5</v>
      </c>
      <c r="M43" s="77">
        <f>SUBTOTAL(109,Table_RendaFixaXDuration[Longo])</f>
        <v>0.25</v>
      </c>
    </row>
    <row r="46" spans="2:13" x14ac:dyDescent="0.2">
      <c r="B46" s="99" t="s">
        <v>2</v>
      </c>
      <c r="C46" s="100" t="s">
        <v>36</v>
      </c>
    </row>
    <row r="48" spans="2:13" x14ac:dyDescent="0.2">
      <c r="B48" s="100"/>
      <c r="C48" s="100" t="s">
        <v>120</v>
      </c>
      <c r="J48" s="3" t="s">
        <v>3</v>
      </c>
      <c r="K48" s="3" t="s">
        <v>120</v>
      </c>
    </row>
    <row r="49" spans="2:18" x14ac:dyDescent="0.2">
      <c r="B49" s="100" t="s">
        <v>106</v>
      </c>
      <c r="C49" s="101">
        <v>0.57913665605750508</v>
      </c>
      <c r="J49" s="34" t="str">
        <f>B49</f>
        <v>Ações EUA</v>
      </c>
      <c r="K49" s="66">
        <v>0.5</v>
      </c>
    </row>
    <row r="50" spans="2:18" x14ac:dyDescent="0.2">
      <c r="B50" s="100" t="s">
        <v>107</v>
      </c>
      <c r="C50" s="101">
        <v>7.4176991407201381E-2</v>
      </c>
      <c r="J50" s="34" t="str">
        <f t="shared" ref="J50:J53" si="4">B50</f>
        <v>Ações - Ex: USA</v>
      </c>
      <c r="K50" s="66">
        <v>0.2</v>
      </c>
    </row>
    <row r="51" spans="2:18" x14ac:dyDescent="0.2">
      <c r="B51" s="100" t="s">
        <v>110</v>
      </c>
      <c r="C51" s="101">
        <v>0.24352540643848872</v>
      </c>
      <c r="J51" s="34" t="str">
        <f t="shared" si="4"/>
        <v>Ações BR</v>
      </c>
      <c r="K51" s="66">
        <v>0.2</v>
      </c>
    </row>
    <row r="52" spans="2:18" x14ac:dyDescent="0.2">
      <c r="B52" s="100" t="s">
        <v>102</v>
      </c>
      <c r="C52" s="101">
        <v>3.3582258542950855E-2</v>
      </c>
      <c r="J52" s="34" t="str">
        <f t="shared" si="4"/>
        <v>Commoditie</v>
      </c>
      <c r="K52" s="66">
        <v>4.4999999999999998E-2</v>
      </c>
    </row>
    <row r="53" spans="2:18" x14ac:dyDescent="0.2">
      <c r="B53" s="100" t="s">
        <v>111</v>
      </c>
      <c r="C53" s="101">
        <v>6.9578687553853921E-2</v>
      </c>
      <c r="J53" s="34" t="str">
        <f t="shared" si="4"/>
        <v>Imobiliário BR</v>
      </c>
      <c r="K53" s="66">
        <v>0.05</v>
      </c>
    </row>
    <row r="54" spans="2:18" x14ac:dyDescent="0.2">
      <c r="B54" s="100" t="s">
        <v>123</v>
      </c>
      <c r="C54" s="101">
        <v>1</v>
      </c>
      <c r="J54" s="34" t="s">
        <v>158</v>
      </c>
      <c r="K54" s="75">
        <f>SUBTOTAL(109,Table_RendaVariavel[Porcentagem])</f>
        <v>0.995</v>
      </c>
    </row>
    <row r="58" spans="2:18" x14ac:dyDescent="0.2">
      <c r="B58" s="99" t="s">
        <v>2</v>
      </c>
      <c r="C58" s="100" t="s">
        <v>36</v>
      </c>
      <c r="E58" s="3"/>
    </row>
    <row r="60" spans="2:18" x14ac:dyDescent="0.2">
      <c r="B60" s="99" t="s">
        <v>113</v>
      </c>
      <c r="C60" s="100"/>
      <c r="D60" s="100"/>
      <c r="E60" s="100"/>
      <c r="F60" s="100"/>
      <c r="G60" s="100"/>
      <c r="J60" s="5" t="s">
        <v>121</v>
      </c>
      <c r="K60" s="5" t="s">
        <v>196</v>
      </c>
      <c r="L60" s="5" t="s">
        <v>197</v>
      </c>
      <c r="M60" s="5" t="s">
        <v>184</v>
      </c>
      <c r="N60" s="5" t="s">
        <v>126</v>
      </c>
      <c r="O60" s="5" t="s">
        <v>185</v>
      </c>
      <c r="P60" s="17" t="s">
        <v>125</v>
      </c>
      <c r="Q60" s="5" t="s">
        <v>127</v>
      </c>
      <c r="R60" s="5" t="s">
        <v>128</v>
      </c>
    </row>
    <row r="61" spans="2:18" x14ac:dyDescent="0.2">
      <c r="B61" s="100"/>
      <c r="C61" s="100" t="s">
        <v>107</v>
      </c>
      <c r="D61" s="100" t="s">
        <v>110</v>
      </c>
      <c r="E61" s="100" t="s">
        <v>106</v>
      </c>
      <c r="F61" s="100" t="s">
        <v>102</v>
      </c>
      <c r="G61" s="100" t="s">
        <v>111</v>
      </c>
      <c r="J61" t="s">
        <v>23</v>
      </c>
      <c r="K61" s="5" t="s">
        <v>198</v>
      </c>
      <c r="L61" s="5" t="s">
        <v>201</v>
      </c>
      <c r="M61" s="69">
        <f>GETPIVOTDATA("Porcentagem",$B$5,"Classe","Reserva")</f>
        <v>4.818863729049315E-2</v>
      </c>
      <c r="N61" s="16">
        <f>GETPIVOTDATA("Total (R$)",$B$5,"Classe","Reserva")</f>
        <v>10460.439096829257</v>
      </c>
      <c r="O61" s="72">
        <f>Tables_Atual_Ideal!L10</f>
        <v>0.05</v>
      </c>
      <c r="P61" s="16">
        <f>Tables_Atual_Ideal!K10</f>
        <v>10853.636546901209</v>
      </c>
      <c r="Q61" s="16">
        <f>Table17[[#This Row],[Total Atual]]-Table17[[#This Row],[Total Ideal]]</f>
        <v>-393.19745007195161</v>
      </c>
      <c r="R61" s="5" t="str">
        <f>IF(Table17[[#This Row],[Diferenca]]&gt;0,"VENDER","COMPRAR")</f>
        <v>COMPRAR</v>
      </c>
    </row>
    <row r="62" spans="2:18" x14ac:dyDescent="0.2">
      <c r="B62" s="100" t="s">
        <v>124</v>
      </c>
      <c r="C62" s="101">
        <v>0</v>
      </c>
      <c r="D62" s="101">
        <v>0.24352540643848875</v>
      </c>
      <c r="E62" s="101">
        <v>0.16524938294040306</v>
      </c>
      <c r="F62" s="101">
        <v>0</v>
      </c>
      <c r="G62" s="101">
        <v>6.9578687553853921E-2</v>
      </c>
      <c r="J62" t="s">
        <v>17</v>
      </c>
      <c r="K62" s="5" t="s">
        <v>198</v>
      </c>
      <c r="L62" s="5" t="s">
        <v>201</v>
      </c>
      <c r="M62" s="69">
        <f>GETPIVOTDATA("Porcentagem",$B$5,"Classe","Caixa")</f>
        <v>0.14927594630599408</v>
      </c>
      <c r="N62" s="16">
        <f>GETPIVOTDATA("Total (R$)",$B$5,"Classe","Caixa")</f>
        <v>32403.737327999996</v>
      </c>
      <c r="O62" s="72">
        <f>Tables_Atual_Ideal!L6</f>
        <v>0.15</v>
      </c>
      <c r="P62" s="16">
        <f>Tables_Atual_Ideal!K6</f>
        <v>32560.909640703627</v>
      </c>
      <c r="Q62" s="16">
        <f>Table17[[#This Row],[Total Atual]]-Table17[[#This Row],[Total Ideal]]</f>
        <v>-157.17231270363118</v>
      </c>
      <c r="R62" s="5" t="str">
        <f>IF(Table17[[#This Row],[Diferenca]]&gt;0,"VENDER","COMPRAR")</f>
        <v>COMPRAR</v>
      </c>
    </row>
    <row r="63" spans="2:18" x14ac:dyDescent="0.2">
      <c r="B63" s="100" t="s">
        <v>24</v>
      </c>
      <c r="C63" s="101">
        <v>7.4176991407201381E-2</v>
      </c>
      <c r="D63" s="101">
        <v>0</v>
      </c>
      <c r="E63" s="101">
        <v>0.41388727311710216</v>
      </c>
      <c r="F63" s="101">
        <v>3.3582258542950855E-2</v>
      </c>
      <c r="G63" s="101">
        <v>0</v>
      </c>
      <c r="J63" t="s">
        <v>36</v>
      </c>
      <c r="K63" s="5" t="s">
        <v>198</v>
      </c>
      <c r="L63" s="5" t="s">
        <v>201</v>
      </c>
      <c r="M63" s="69">
        <f>GETPIVOTDATA("Porcentagem",$B$5,"Classe","Renda Variável")</f>
        <v>0.12457239002459224</v>
      </c>
      <c r="N63" s="16">
        <f>GETPIVOTDATA("Total (R$)",$B$5,"Classe","Renda Variável")</f>
        <v>27041.268902114916</v>
      </c>
      <c r="O63" s="72">
        <f>Tables_Atual_Ideal!L9</f>
        <v>0.2</v>
      </c>
      <c r="P63" s="16">
        <f>Tables_Atual_Ideal!K9</f>
        <v>43414.546187604836</v>
      </c>
      <c r="Q63" s="16">
        <f>Table17[[#This Row],[Total Atual]]-Table17[[#This Row],[Total Ideal]]</f>
        <v>-16373.277285489919</v>
      </c>
      <c r="R63" s="5" t="str">
        <f>IF(Table17[[#This Row],[Diferenca]]&gt;0,"VENDER","COMPRAR")</f>
        <v>COMPRAR</v>
      </c>
    </row>
    <row r="64" spans="2:18" x14ac:dyDescent="0.2">
      <c r="B64" s="100" t="s">
        <v>123</v>
      </c>
      <c r="C64" s="101">
        <v>7.4176991407201381E-2</v>
      </c>
      <c r="D64" s="101">
        <v>0.24352540643848875</v>
      </c>
      <c r="E64" s="101">
        <v>0.57913665605750519</v>
      </c>
      <c r="F64" s="101">
        <v>3.3582258542950855E-2</v>
      </c>
      <c r="G64" s="101">
        <v>6.9578687553853921E-2</v>
      </c>
      <c r="J64" t="s">
        <v>20</v>
      </c>
      <c r="K64" s="5" t="s">
        <v>198</v>
      </c>
      <c r="L64" s="5" t="s">
        <v>201</v>
      </c>
      <c r="M64" s="69">
        <f>GETPIVOTDATA("Porcentagem",$B$5,"Classe","Renda Fixa")</f>
        <v>0.21399898918332014</v>
      </c>
      <c r="N64" s="16">
        <f>GETPIVOTDATA("Total (R$)",$B$5,"Classe","Renda Fixa")</f>
        <v>46453.345000000001</v>
      </c>
      <c r="O64" s="72">
        <f>Tables_Atual_Ideal!L8</f>
        <v>0.25</v>
      </c>
      <c r="P64" s="16">
        <f>Tables_Atual_Ideal!K8</f>
        <v>54268.182734506045</v>
      </c>
      <c r="Q64" s="16">
        <f>Table17[[#This Row],[Total Atual]]-Table17[[#This Row],[Total Ideal]]</f>
        <v>-7814.8377345060435</v>
      </c>
      <c r="R64" s="5" t="str">
        <f>IF(Table17[[#This Row],[Diferenca]]&gt;0,"VENDER","COMPRAR")</f>
        <v>COMPRAR</v>
      </c>
    </row>
    <row r="65" spans="2:18" x14ac:dyDescent="0.2">
      <c r="J65" t="s">
        <v>13</v>
      </c>
      <c r="K65" s="5" t="s">
        <v>198</v>
      </c>
      <c r="L65" s="5" t="s">
        <v>201</v>
      </c>
      <c r="M65" s="69">
        <f>GETPIVOTDATA("Porcentagem",$B$5,"Classe","Cripto")</f>
        <v>0.46396403719560037</v>
      </c>
      <c r="N65" s="16">
        <f>GETPIVOTDATA("Total (R$)",$B$5,"Classe","Cripto")</f>
        <v>100713.94061108</v>
      </c>
      <c r="O65" s="72">
        <f>Tables_Atual_Ideal!L7</f>
        <v>0.35</v>
      </c>
      <c r="P65" s="16">
        <f>Tables_Atual_Ideal!K7</f>
        <v>75975.455828308463</v>
      </c>
      <c r="Q65" s="16">
        <f>Table17[[#This Row],[Total Atual]]-Table17[[#This Row],[Total Ideal]]</f>
        <v>24738.484782771542</v>
      </c>
      <c r="R65" s="5" t="str">
        <f>IF(Table17[[#This Row],[Diferenca]]&gt;0,"VENDER","COMPRAR")</f>
        <v>VENDER</v>
      </c>
    </row>
    <row r="66" spans="2:18" x14ac:dyDescent="0.2">
      <c r="C66" s="7"/>
      <c r="J66" t="s">
        <v>24</v>
      </c>
      <c r="K66" s="5" t="s">
        <v>198</v>
      </c>
      <c r="L66" s="5" t="s">
        <v>202</v>
      </c>
      <c r="M66" s="69">
        <f>GETPIVOTDATA("Porcentagem",$B$22,"Moeda Base","USD")</f>
        <v>0.18487433743302334</v>
      </c>
      <c r="N66" s="16">
        <f>GETPIVOTDATA("Total (R$)",$B$22,"Moeda Base","USD")</f>
        <v>40131.17730694417</v>
      </c>
      <c r="O66" s="66">
        <f>Tables_Atual_Ideal!L25</f>
        <v>0.28499999999999998</v>
      </c>
      <c r="P66" s="6">
        <f>Tables_Atual_Ideal!K25</f>
        <v>61865.728317336885</v>
      </c>
      <c r="Q66" s="16">
        <f>Table17[[#This Row],[Total Atual]]-Table17[[#This Row],[Total Ideal]]</f>
        <v>-21734.551010392715</v>
      </c>
      <c r="R66" s="5" t="str">
        <f>IF(Table17[[#This Row],[Diferenca]]&gt;0,"VENDER","COMPRAR")</f>
        <v>COMPRAR</v>
      </c>
    </row>
    <row r="67" spans="2:18" x14ac:dyDescent="0.2">
      <c r="J67" t="s">
        <v>14</v>
      </c>
      <c r="K67" s="5" t="s">
        <v>198</v>
      </c>
      <c r="L67" s="5" t="s">
        <v>202</v>
      </c>
      <c r="M67" s="69">
        <f>GETPIVOTDATA("Porcentagem",$B$22,"Moeda Base","BTC")</f>
        <v>0.4527458295032889</v>
      </c>
      <c r="N67" s="16">
        <f>GETPIVOTDATA("Total (R$)",$B$22,"Moeda Base","BTC")</f>
        <v>98278.773631079996</v>
      </c>
      <c r="O67" s="66">
        <f>Tables_Atual_Ideal!L24</f>
        <v>0.32500000000000001</v>
      </c>
      <c r="P67" s="6">
        <f>Tables_Atual_Ideal!K24</f>
        <v>70548.637554857865</v>
      </c>
      <c r="Q67" s="16">
        <f>Table17[[#This Row],[Total Atual]]-Table17[[#This Row],[Total Ideal]]</f>
        <v>27730.13607622213</v>
      </c>
      <c r="R67" s="5" t="str">
        <f>IF(Table17[[#This Row],[Diferenca]]&gt;0,"VENDER","COMPRAR")</f>
        <v>VENDER</v>
      </c>
    </row>
    <row r="68" spans="2:18" x14ac:dyDescent="0.2">
      <c r="B68" s="4" t="s">
        <v>112</v>
      </c>
      <c r="C68" t="s">
        <v>113</v>
      </c>
      <c r="J68" t="s">
        <v>124</v>
      </c>
      <c r="K68" s="5" t="s">
        <v>198</v>
      </c>
      <c r="L68" s="5" t="s">
        <v>202</v>
      </c>
      <c r="M68" s="69">
        <f>GETPIVOTDATA("Porcentagem",$B$22,"Moeda Base","BRL")</f>
        <v>0.36237983306368771</v>
      </c>
      <c r="N68" s="16">
        <f>GETPIVOTDATA("Total (R$)",$B$22,"Moeda Base","BRL")</f>
        <v>78662.78</v>
      </c>
      <c r="O68" s="66">
        <f>Tables_Atual_Ideal!L23</f>
        <v>0.39</v>
      </c>
      <c r="P68" s="6">
        <f>Tables_Atual_Ideal!K23</f>
        <v>84658.365065829435</v>
      </c>
      <c r="Q68" s="16">
        <f>Table17[[#This Row],[Total Atual]]-Table17[[#This Row],[Total Ideal]]</f>
        <v>-5995.5850658294366</v>
      </c>
      <c r="R68" s="5" t="str">
        <f>IF(Table17[[#This Row],[Diferenca]]&gt;0,"VENDER","COMPRAR")</f>
        <v>COMPRAR</v>
      </c>
    </row>
    <row r="69" spans="2:18" x14ac:dyDescent="0.2">
      <c r="B69" s="7">
        <v>45870</v>
      </c>
      <c r="C69" s="1">
        <v>220555.63738425999</v>
      </c>
      <c r="J69" t="s">
        <v>90</v>
      </c>
      <c r="K69" s="5" t="s">
        <v>198</v>
      </c>
      <c r="L69" s="5" t="s">
        <v>203</v>
      </c>
      <c r="M69" s="69">
        <f>GETPIVOTDATA("Porcentagem",$B$29,"Estratégia","Hedge")</f>
        <v>4.818863729049315E-2</v>
      </c>
      <c r="N69" s="16">
        <f>GETPIVOTDATA("Total (R$)",$B$29,"Estratégia","Hedge")</f>
        <v>10460.439096829257</v>
      </c>
      <c r="O69" s="66">
        <f>Tables_Atual_Ideal!L32</f>
        <v>0.05</v>
      </c>
      <c r="P69" s="6">
        <f>Tables_Atual_Ideal!K32</f>
        <v>10853.636546901209</v>
      </c>
      <c r="Q69" s="16">
        <f>Table17[[#This Row],[Total Atual]]-Table17[[#This Row],[Total Ideal]]</f>
        <v>-393.19745007195161</v>
      </c>
      <c r="R69" s="5" t="str">
        <f>IF(Table17[[#This Row],[Diferenca]]&gt;0,"VENDER","COMPRAR")</f>
        <v>COMPRAR</v>
      </c>
    </row>
    <row r="70" spans="2:18" x14ac:dyDescent="0.2">
      <c r="B70" s="7">
        <v>45901</v>
      </c>
      <c r="C70" s="1">
        <v>225232.87652798771</v>
      </c>
      <c r="J70" t="s">
        <v>88</v>
      </c>
      <c r="K70" s="5" t="s">
        <v>198</v>
      </c>
      <c r="L70" s="5" t="s">
        <v>203</v>
      </c>
      <c r="M70" s="69">
        <f>GETPIVOTDATA("Porcentagem",$B$29,"Estratégia","Satellite")</f>
        <v>2.1269591341591017E-2</v>
      </c>
      <c r="N70" s="16">
        <f>GETPIVOTDATA("Total (R$)",$B$29,"Estratégia","Satellite")</f>
        <v>4617.0482784549158</v>
      </c>
      <c r="O70" s="66">
        <f>Tables_Atual_Ideal!L33</f>
        <v>0.05</v>
      </c>
      <c r="P70" s="6">
        <f>Tables_Atual_Ideal!K33</f>
        <v>10853.636546901209</v>
      </c>
      <c r="Q70" s="16">
        <f>Table17[[#This Row],[Total Atual]]-Table17[[#This Row],[Total Ideal]]</f>
        <v>-6236.5882684462931</v>
      </c>
      <c r="R70" s="5" t="str">
        <f>IF(Table17[[#This Row],[Diferenca]]&gt;0,"VENDER","COMPRAR")</f>
        <v>COMPRAR</v>
      </c>
    </row>
    <row r="71" spans="2:18" x14ac:dyDescent="0.2">
      <c r="B71" s="7">
        <v>45931</v>
      </c>
      <c r="C71" s="1">
        <v>231459.57097011153</v>
      </c>
      <c r="J71" t="s">
        <v>87</v>
      </c>
      <c r="K71" s="5" t="s">
        <v>198</v>
      </c>
      <c r="L71" s="5" t="s">
        <v>203</v>
      </c>
      <c r="M71" s="69">
        <f>GETPIVOTDATA("Porcentagem",$B$29,"Estratégia","Core-Satellite")</f>
        <v>0.4527458295032889</v>
      </c>
      <c r="N71" s="16">
        <f>GETPIVOTDATA("Total (R$)",$B$29,"Estratégia","Core-Satellite")</f>
        <v>98278.773631079996</v>
      </c>
      <c r="O71" s="66">
        <f>Tables_Atual_Ideal!L31</f>
        <v>0.35</v>
      </c>
      <c r="P71" s="6">
        <f>Tables_Atual_Ideal!K31</f>
        <v>75975.455828308463</v>
      </c>
      <c r="Q71" s="16">
        <f>Table17[[#This Row],[Total Atual]]-Table17[[#This Row],[Total Ideal]]</f>
        <v>22303.317802771533</v>
      </c>
      <c r="R71" s="5" t="str">
        <f>IF(Table17[[#This Row],[Diferenca]]&gt;0,"VENDER","COMPRAR")</f>
        <v>VENDER</v>
      </c>
    </row>
    <row r="72" spans="2:18" x14ac:dyDescent="0.2">
      <c r="B72" s="7">
        <v>45962</v>
      </c>
      <c r="C72" s="1">
        <v>232057.06637545509</v>
      </c>
      <c r="J72" t="s">
        <v>86</v>
      </c>
      <c r="K72" s="5" t="s">
        <v>198</v>
      </c>
      <c r="L72" s="5" t="s">
        <v>203</v>
      </c>
      <c r="M72" s="69">
        <f>GETPIVOTDATA("Porcentagem",$B$29,"Estratégia","Core")</f>
        <v>0.47779594186462698</v>
      </c>
      <c r="N72" s="16">
        <f>GETPIVOTDATA("Total (R$)",$B$29,"Estratégia","Core")</f>
        <v>103716.46993166002</v>
      </c>
      <c r="O72" s="66">
        <f>Tables_Atual_Ideal!L30</f>
        <v>0.55000000000000004</v>
      </c>
      <c r="P72" s="6">
        <f>Tables_Atual_Ideal!K30</f>
        <v>119390.00201591331</v>
      </c>
      <c r="Q72" s="16">
        <f>Table17[[#This Row],[Total Atual]]-Table17[[#This Row],[Total Ideal]]</f>
        <v>-15673.532084253296</v>
      </c>
      <c r="R72" s="5" t="str">
        <f>IF(Table17[[#This Row],[Diferenca]]&gt;0,"VENDER","COMPRAR")</f>
        <v>COMPRAR</v>
      </c>
    </row>
    <row r="73" spans="2:18" x14ac:dyDescent="0.2">
      <c r="B73" s="7">
        <v>45992</v>
      </c>
      <c r="C73" s="1">
        <v>214211.33912420351</v>
      </c>
      <c r="J73" t="s">
        <v>187</v>
      </c>
      <c r="K73" s="5" t="s">
        <v>207</v>
      </c>
      <c r="L73" s="3" t="s">
        <v>204</v>
      </c>
      <c r="M73" s="69">
        <f>GETPIVOTDATA("Total (R$)2",$B$14,"Classe","Caixa","Moeda Base","USD")</f>
        <v>6.0484738323712289E-2</v>
      </c>
      <c r="N73" s="16">
        <f>Table17[[#This Row],[Percentual Atual]]*GETPIVOTDATA("Total (R$)",$B$5)</f>
        <v>13129.587327999998</v>
      </c>
      <c r="O73" s="66">
        <f>$K$18</f>
        <v>0.05</v>
      </c>
      <c r="P73" s="6">
        <f>Table17[[#This Row],[Percentual Ideal]]*Table_ClasseAtivos[[#Totals],[Total Ideal]]</f>
        <v>10853.636546901209</v>
      </c>
      <c r="Q73" s="16">
        <f>Table17[[#This Row],[Total Atual]]-Table17[[#This Row],[Total Ideal]]</f>
        <v>2275.9507810987889</v>
      </c>
      <c r="R73" s="5" t="str">
        <f>IF(Table17[[#This Row],[Diferenca]]&gt;0,"VENDER","COMPRAR")</f>
        <v>VENDER</v>
      </c>
    </row>
    <row r="74" spans="2:18" x14ac:dyDescent="0.2">
      <c r="B74" s="7">
        <v>46023</v>
      </c>
      <c r="C74" s="1">
        <v>215929.93765553352</v>
      </c>
      <c r="J74" t="s">
        <v>186</v>
      </c>
      <c r="K74" s="5" t="s">
        <v>207</v>
      </c>
      <c r="L74" s="3" t="s">
        <v>204</v>
      </c>
      <c r="M74" s="69">
        <f>GETPIVOTDATA("Total (R$)2",$B$14,"Classe","Caixa","Moeda Base","BRL")</f>
        <v>8.8791207982281795E-2</v>
      </c>
      <c r="N74" s="16">
        <f>Table17[[#This Row],[Percentual Atual]]*GETPIVOTDATA("Total (R$)",$B$5)</f>
        <v>19274.150000000001</v>
      </c>
      <c r="O74" s="66">
        <f>$K$16</f>
        <v>0.1</v>
      </c>
      <c r="P74" s="6">
        <f>Table17[[#This Row],[Percentual Ideal]]*Table_ClasseAtivos[[#Totals],[Total Ideal]]</f>
        <v>21707.273093802418</v>
      </c>
      <c r="Q74" s="16">
        <f>Table17[[#This Row],[Total Atual]]-Table17[[#This Row],[Total Ideal]]</f>
        <v>-2433.1230938024164</v>
      </c>
      <c r="R74" s="5" t="str">
        <f>IF(Table17[[#This Row],[Diferenca]]&gt;0,"VENDER","COMPRAR")</f>
        <v>COMPRAR</v>
      </c>
    </row>
    <row r="75" spans="2:18" x14ac:dyDescent="0.2">
      <c r="B75" s="7">
        <v>46054</v>
      </c>
      <c r="C75" s="1">
        <v>187954.69352189402</v>
      </c>
      <c r="J75" t="s">
        <v>193</v>
      </c>
      <c r="K75" s="5" t="s">
        <v>199</v>
      </c>
      <c r="L75" s="5" t="s">
        <v>205</v>
      </c>
      <c r="M75" s="69">
        <f>GETPIVOTDATA("Total (R$)",$B$39,"Subclasse","Pós-fixado","Duração","Curto")</f>
        <v>0.21133272533980063</v>
      </c>
      <c r="N75" s="16">
        <f>Table17[[#This Row],[Percentual Atual]]*GETPIVOTDATA("Total (R$)",$B$5,"Classe","Renda Fixa")</f>
        <v>9817.112000000001</v>
      </c>
      <c r="O75" s="66">
        <f>Tables_Atual_Ideal!K42</f>
        <v>0.1</v>
      </c>
      <c r="P75" s="6">
        <f>Table17[[#This Row],[Percentual Ideal]]*$K$8</f>
        <v>5426.8182734506045</v>
      </c>
      <c r="Q75" s="16">
        <f>Table17[[#This Row],[Total Atual]]-Table17[[#This Row],[Total Ideal]]</f>
        <v>4390.2937265493965</v>
      </c>
      <c r="R75" s="5" t="str">
        <f>IF(Table17[[#This Row],[Diferenca]]&gt;0,"VENDER","COMPRAR")</f>
        <v>VENDER</v>
      </c>
    </row>
    <row r="76" spans="2:18" x14ac:dyDescent="0.2">
      <c r="B76" s="7">
        <v>46082</v>
      </c>
      <c r="C76" s="1">
        <v>199651.29491026778</v>
      </c>
      <c r="J76" t="s">
        <v>191</v>
      </c>
      <c r="K76" s="5" t="s">
        <v>199</v>
      </c>
      <c r="L76" s="5" t="s">
        <v>205</v>
      </c>
      <c r="M76" s="69">
        <f>GETPIVOTDATA("Total (R$)",$B$39,"Subclasse","Pós-fixado","Duração","Longo")</f>
        <v>0.10125729374278646</v>
      </c>
      <c r="N76" s="16">
        <f>Table17[[#This Row],[Percentual Atual]]*GETPIVOTDATA("Total (R$)",$B$5,"Classe","Renda Fixa")</f>
        <v>4703.7400000000007</v>
      </c>
      <c r="O76" s="66">
        <f>Tables_Atual_Ideal!M42</f>
        <v>0.1</v>
      </c>
      <c r="P76" s="6">
        <f>Table17[[#This Row],[Percentual Ideal]]*$K$8</f>
        <v>5426.8182734506045</v>
      </c>
      <c r="Q76" s="16">
        <f>Table17[[#This Row],[Total Atual]]-Table17[[#This Row],[Total Ideal]]</f>
        <v>-723.07827345060377</v>
      </c>
      <c r="R76" s="5" t="str">
        <f>IF(Table17[[#This Row],[Diferenca]]&gt;0,"VENDER","COMPRAR")</f>
        <v>COMPRAR</v>
      </c>
    </row>
    <row r="77" spans="2:18" x14ac:dyDescent="0.2">
      <c r="B77" s="7">
        <v>46113</v>
      </c>
      <c r="C77" s="1">
        <v>207017.14618094146</v>
      </c>
      <c r="J77" t="s">
        <v>188</v>
      </c>
      <c r="K77" s="5" t="s">
        <v>199</v>
      </c>
      <c r="L77" s="5" t="s">
        <v>205</v>
      </c>
      <c r="M77" s="69">
        <f>GETPIVOTDATA("Total (R$)",$B$39,"Subclasse","IPCA","Duração","Curto")</f>
        <v>6.4625615227493299E-2</v>
      </c>
      <c r="N77" s="16">
        <f>Table17[[#This Row],[Percentual Atual]]*GETPIVOTDATA("Total (R$)",$B$5,"Classe","Renda Fixa")</f>
        <v>3002.076</v>
      </c>
      <c r="O77" s="66">
        <f>Tables_Atual_Ideal!K41</f>
        <v>0.15</v>
      </c>
      <c r="P77" s="6">
        <f>Table17[[#This Row],[Percentual Ideal]]*$K$8</f>
        <v>8140.2274101759067</v>
      </c>
      <c r="Q77" s="16">
        <f>Table17[[#This Row],[Total Atual]]-Table17[[#This Row],[Total Ideal]]</f>
        <v>-5138.1514101759067</v>
      </c>
      <c r="R77" s="5" t="str">
        <f>IF(Table17[[#This Row],[Diferenca]]&gt;0,"VENDER","COMPRAR")</f>
        <v>COMPRAR</v>
      </c>
    </row>
    <row r="78" spans="2:18" x14ac:dyDescent="0.2">
      <c r="B78" s="7">
        <v>46143</v>
      </c>
      <c r="C78" s="1">
        <v>219505.54447410066</v>
      </c>
      <c r="J78" t="s">
        <v>192</v>
      </c>
      <c r="K78" s="5" t="s">
        <v>199</v>
      </c>
      <c r="L78" s="5" t="s">
        <v>205</v>
      </c>
      <c r="M78" s="69">
        <f>GETPIVOTDATA("Total (R$)",$B$39,"Subclasse","IPCA","Duração","Longo")</f>
        <v>0.25736919483408566</v>
      </c>
      <c r="N78" s="16">
        <f>Table17[[#This Row],[Percentual Atual]]*GETPIVOTDATA("Total (R$)",$B$5,"Classe","Renda Fixa")</f>
        <v>11955.66</v>
      </c>
      <c r="O78" s="66">
        <f>Tables_Atual_Ideal!M41</f>
        <v>0.15</v>
      </c>
      <c r="P78" s="6">
        <f>Table17[[#This Row],[Percentual Ideal]]*$K$8</f>
        <v>8140.2274101759067</v>
      </c>
      <c r="Q78" s="16">
        <f>Table17[[#This Row],[Total Atual]]-Table17[[#This Row],[Total Ideal]]</f>
        <v>3815.4325898240932</v>
      </c>
      <c r="R78" s="5" t="str">
        <f>IF(Table17[[#This Row],[Diferenca]]&gt;0,"VENDER","COMPRAR")</f>
        <v>VENDER</v>
      </c>
    </row>
    <row r="79" spans="2:18" x14ac:dyDescent="0.2">
      <c r="B79" s="7">
        <v>46174</v>
      </c>
      <c r="C79" s="1">
        <v>197861.65772847316</v>
      </c>
      <c r="J79" t="s">
        <v>189</v>
      </c>
      <c r="K79" s="5" t="s">
        <v>199</v>
      </c>
      <c r="L79" s="5" t="s">
        <v>205</v>
      </c>
      <c r="M79" s="69">
        <f>GETPIVOTDATA("Total (R$)",$B$39,"Subclasse","IPCA","Duração","Médio")</f>
        <v>0.10738180425973631</v>
      </c>
      <c r="N79" s="16">
        <f>Table17[[#This Row],[Percentual Atual]]*GETPIVOTDATA("Total (R$)",$B$5,"Classe","Renda Fixa")</f>
        <v>4988.2440000000006</v>
      </c>
      <c r="O79" s="66">
        <f>Tables_Atual_Ideal!L41</f>
        <v>0.25</v>
      </c>
      <c r="P79" s="6">
        <f>Table17[[#This Row],[Percentual Ideal]]*$K$8</f>
        <v>13567.045683626511</v>
      </c>
      <c r="Q79" s="16">
        <f>Table17[[#This Row],[Total Atual]]-Table17[[#This Row],[Total Ideal]]</f>
        <v>-8578.8016836265106</v>
      </c>
      <c r="R79" s="5" t="str">
        <f>IF(Table17[[#This Row],[Diferenca]]&gt;0,"VENDER","COMPRAR")</f>
        <v>COMPRAR</v>
      </c>
    </row>
    <row r="80" spans="2:18" x14ac:dyDescent="0.2">
      <c r="B80" s="7">
        <v>46204</v>
      </c>
      <c r="C80" s="1">
        <v>217072.73093802421</v>
      </c>
      <c r="J80" t="s">
        <v>190</v>
      </c>
      <c r="K80" s="5" t="s">
        <v>199</v>
      </c>
      <c r="L80" s="5" t="s">
        <v>205</v>
      </c>
      <c r="M80" s="69">
        <f>GETPIVOTDATA("Total (R$)",$B$39,"Subclasse","Pós-fixado","Duração","Médio")</f>
        <v>0.2580333665960976</v>
      </c>
      <c r="N80" s="16">
        <f>Table17[[#This Row],[Percentual Atual]]*GETPIVOTDATA("Total (R$)",$B$5,"Classe","Renda Fixa")</f>
        <v>11986.512999999997</v>
      </c>
      <c r="O80" s="66">
        <f>Tables_Atual_Ideal!L42</f>
        <v>0.25</v>
      </c>
      <c r="P80" s="6">
        <f>Table17[[#This Row],[Percentual Ideal]]*$K$8</f>
        <v>13567.045683626511</v>
      </c>
      <c r="Q80" s="16">
        <f>Table17[[#This Row],[Total Atual]]-Table17[[#This Row],[Total Ideal]]</f>
        <v>-1580.532683626514</v>
      </c>
      <c r="R80" s="5" t="str">
        <f>IF(Table17[[#This Row],[Diferenca]]&gt;0,"VENDER","COMPRAR")</f>
        <v>COMPRAR</v>
      </c>
    </row>
    <row r="81" spans="10:18" x14ac:dyDescent="0.2">
      <c r="J81" t="s">
        <v>194</v>
      </c>
      <c r="K81" s="5" t="s">
        <v>200</v>
      </c>
      <c r="L81" s="3" t="s">
        <v>204</v>
      </c>
      <c r="M81" s="69">
        <f>GETPIVOTDATA("Total (R$)2",$B$14,"Classe","Renda Variável","Moeda Base","BRL")</f>
        <v>5.9589635898085774E-2</v>
      </c>
      <c r="N81" s="16">
        <f>Table17[[#This Row],[Percentual Atual]]*GETPIVOTDATA("Total (R$)",$B$5)</f>
        <v>12935.285</v>
      </c>
      <c r="O81" s="66">
        <f>$N$16</f>
        <v>0.04</v>
      </c>
      <c r="P81" s="6">
        <f>Table17[[#This Row],[Percentual Ideal]]*Table_ClasseAtivos[[#Totals],[Total Ideal]]</f>
        <v>8682.9092375209675</v>
      </c>
      <c r="Q81" s="16">
        <f>Table17[[#This Row],[Total Atual]]-Table17[[#This Row],[Total Ideal]]</f>
        <v>4252.3757624790323</v>
      </c>
      <c r="R81" s="5" t="str">
        <f>IF(Table17[[#This Row],[Diferenca]]&gt;0,"VENDER","COMPRAR")</f>
        <v>VENDER</v>
      </c>
    </row>
    <row r="82" spans="10:18" x14ac:dyDescent="0.2">
      <c r="J82" t="s">
        <v>195</v>
      </c>
      <c r="K82" s="5" t="s">
        <v>200</v>
      </c>
      <c r="L82" s="3" t="s">
        <v>204</v>
      </c>
      <c r="M82" s="69">
        <f>GETPIVOTDATA("Total (R$)2",$B$14,"Classe","Renda Variável","Moeda Base","USD")</f>
        <v>6.4982754126506448E-2</v>
      </c>
      <c r="N82" s="16">
        <f>Table17[[#This Row],[Percentual Atual]]*GETPIVOTDATA("Total (R$)",$B$5)</f>
        <v>14105.983902114915</v>
      </c>
      <c r="O82" s="66">
        <f>$N$18</f>
        <v>0.16</v>
      </c>
      <c r="P82" s="6">
        <f>Table17[[#This Row],[Percentual Ideal]]*Table_ClasseAtivos[[#Totals],[Total Ideal]]</f>
        <v>34731.63695008387</v>
      </c>
      <c r="Q82" s="16">
        <f>Table17[[#This Row],[Total Atual]]-Table17[[#This Row],[Total Ideal]]</f>
        <v>-20625.653047968954</v>
      </c>
      <c r="R82" s="5" t="str">
        <f>IF(Table17[[#This Row],[Diferenca]]&gt;0,"VENDER","COMPRAR")</f>
        <v>COMPRAR</v>
      </c>
    </row>
    <row r="83" spans="10:18" x14ac:dyDescent="0.2">
      <c r="J83" t="s">
        <v>102</v>
      </c>
      <c r="K83" s="5" t="s">
        <v>200</v>
      </c>
      <c r="L83" s="3" t="s">
        <v>206</v>
      </c>
      <c r="M83" s="69">
        <f>GETPIVOTDATA("Total (R$)",$B$48,"Subclasse","Commoditie")</f>
        <v>3.3582258542950855E-2</v>
      </c>
      <c r="N83" s="16">
        <f>Table17[[#This Row],[Percentual Atual]]*GETPIVOTDATA("Total (R$)",$B$5,"Classe","Renda Variável")</f>
        <v>908.10688360027996</v>
      </c>
      <c r="O83" s="66">
        <f>Tables_Atual_Ideal!K52</f>
        <v>4.4999999999999998E-2</v>
      </c>
      <c r="P83" s="6">
        <f>Table17[[#This Row],[Percentual Ideal]]*$K$9</f>
        <v>1953.6545784422176</v>
      </c>
      <c r="Q83" s="16">
        <f>Table17[[#This Row],[Total Atual]]-Table17[[#This Row],[Total Ideal]]</f>
        <v>-1045.5476948419378</v>
      </c>
      <c r="R83" s="5" t="str">
        <f>IF(Table17[[#This Row],[Diferenca]]&gt;0,"VENDER","COMPRAR")</f>
        <v>COMPRAR</v>
      </c>
    </row>
    <row r="84" spans="10:18" x14ac:dyDescent="0.2">
      <c r="J84" t="s">
        <v>111</v>
      </c>
      <c r="K84" s="5" t="s">
        <v>200</v>
      </c>
      <c r="L84" s="3" t="s">
        <v>206</v>
      </c>
      <c r="M84" s="69">
        <f>GETPIVOTDATA("Total (R$)",$B$48,"Subclasse","Imobiliário BR")</f>
        <v>6.9578687553853921E-2</v>
      </c>
      <c r="N84" s="16">
        <f>Table17[[#This Row],[Percentual Atual]]*GETPIVOTDATA("Total (R$)",$B$5,"Classe","Renda Variável")</f>
        <v>1881.4960000000003</v>
      </c>
      <c r="O84" s="66">
        <f>Tables_Atual_Ideal!K53</f>
        <v>0.05</v>
      </c>
      <c r="P84" s="6">
        <f>Table17[[#This Row],[Percentual Ideal]]*$K$9</f>
        <v>2170.7273093802419</v>
      </c>
      <c r="Q84" s="16">
        <f>Table17[[#This Row],[Total Atual]]-Table17[[#This Row],[Total Ideal]]</f>
        <v>-289.23130938024156</v>
      </c>
      <c r="R84" s="5" t="str">
        <f>IF(Table17[[#This Row],[Diferenca]]&gt;0,"VENDER","COMPRAR")</f>
        <v>COMPRAR</v>
      </c>
    </row>
    <row r="85" spans="10:18" x14ac:dyDescent="0.2">
      <c r="J85" t="s">
        <v>107</v>
      </c>
      <c r="K85" s="5" t="s">
        <v>200</v>
      </c>
      <c r="L85" s="3" t="s">
        <v>206</v>
      </c>
      <c r="M85" s="69">
        <f>GETPIVOTDATA("Total (R$)",$B$48,"Subclasse","Ações - Ex: USA")</f>
        <v>7.4176991407201381E-2</v>
      </c>
      <c r="N85" s="16">
        <f>Table17[[#This Row],[Percentual Atual]]*GETPIVOTDATA("Total (R$)",$B$5,"Classe","Renda Variável")</f>
        <v>2005.8399709920002</v>
      </c>
      <c r="O85" s="66">
        <f>Tables_Atual_Ideal!K50</f>
        <v>0.2</v>
      </c>
      <c r="P85" s="6">
        <f>Table17[[#This Row],[Percentual Ideal]]*$K$9</f>
        <v>8682.9092375209675</v>
      </c>
      <c r="Q85" s="16">
        <f>Table17[[#This Row],[Total Atual]]-Table17[[#This Row],[Total Ideal]]</f>
        <v>-6677.0692665289671</v>
      </c>
      <c r="R85" s="5" t="str">
        <f>IF(Table17[[#This Row],[Diferenca]]&gt;0,"VENDER","COMPRAR")</f>
        <v>COMPRAR</v>
      </c>
    </row>
    <row r="86" spans="10:18" x14ac:dyDescent="0.2">
      <c r="J86" t="s">
        <v>110</v>
      </c>
      <c r="K86" s="5" t="s">
        <v>200</v>
      </c>
      <c r="L86" s="3" t="s">
        <v>206</v>
      </c>
      <c r="M86" s="69">
        <f>GETPIVOTDATA("Total (R$)",$B$48,"Subclasse","Ações BR")</f>
        <v>0.24352540643848872</v>
      </c>
      <c r="N86" s="16">
        <f>Table17[[#This Row],[Percentual Atual]]*GETPIVOTDATA("Total (R$)",$B$5,"Classe","Renda Variável")</f>
        <v>6585.2360000000008</v>
      </c>
      <c r="O86" s="66">
        <f>Tables_Atual_Ideal!K51</f>
        <v>0.2</v>
      </c>
      <c r="P86" s="6">
        <f>Table17[[#This Row],[Percentual Ideal]]*$K$9</f>
        <v>8682.9092375209675</v>
      </c>
      <c r="Q86" s="16">
        <f>Table17[[#This Row],[Total Atual]]-Table17[[#This Row],[Total Ideal]]</f>
        <v>-2097.6732375209667</v>
      </c>
      <c r="R86" s="5" t="str">
        <f>IF(Table17[[#This Row],[Diferenca]]&gt;0,"VENDER","COMPRAR")</f>
        <v>COMPRAR</v>
      </c>
    </row>
    <row r="87" spans="10:18" x14ac:dyDescent="0.2">
      <c r="J87" t="s">
        <v>106</v>
      </c>
      <c r="K87" s="5" t="s">
        <v>200</v>
      </c>
      <c r="L87" s="3" t="s">
        <v>206</v>
      </c>
      <c r="M87" s="69">
        <f>GETPIVOTDATA("Total (R$)",$B$48,"Subclasse","Ações EUA")</f>
        <v>0.57913665605750508</v>
      </c>
      <c r="N87" s="16">
        <f>Table17[[#This Row],[Percentual Atual]]*GETPIVOTDATA("Total (R$)",$B$5,"Classe","Renda Variável")</f>
        <v>15660.590047522634</v>
      </c>
      <c r="O87" s="66">
        <f>Tables_Atual_Ideal!K49</f>
        <v>0.5</v>
      </c>
      <c r="P87" s="6">
        <f>Table17[[#This Row],[Percentual Ideal]]*$K$9</f>
        <v>21707.273093802418</v>
      </c>
      <c r="Q87" s="16">
        <f>Table17[[#This Row],[Total Atual]]-Table17[[#This Row],[Total Ideal]]</f>
        <v>-6046.6830462797843</v>
      </c>
      <c r="R87" s="5" t="str">
        <f>IF(Table17[[#This Row],[Diferenca]]&gt;0,"VENDER","COMPRAR")</f>
        <v>COMPRAR</v>
      </c>
    </row>
  </sheetData>
  <mergeCells count="2">
    <mergeCell ref="J2:L2"/>
    <mergeCell ref="B2:D2"/>
  </mergeCells>
  <phoneticPr fontId="8" type="noConversion"/>
  <pageMargins left="0.7" right="0.7" top="0.75" bottom="0.75" header="0.3" footer="0.3"/>
  <pageSetup paperSize="9" orientation="portrait" horizontalDpi="0" verticalDpi="0"/>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N59"/>
  <sheetViews>
    <sheetView zoomScaleNormal="100" workbookViewId="0">
      <selection activeCell="F10" sqref="F10"/>
    </sheetView>
  </sheetViews>
  <sheetFormatPr baseColWidth="10" defaultColWidth="10.83203125" defaultRowHeight="16" x14ac:dyDescent="0.2"/>
  <cols>
    <col min="1" max="1" width="10.83203125" customWidth="1"/>
    <col min="2" max="2" width="8.83203125" bestFit="1" customWidth="1"/>
    <col min="3" max="3" width="20.5" bestFit="1" customWidth="1"/>
    <col min="4" max="4" width="12.83203125" bestFit="1" customWidth="1"/>
    <col min="5" max="5" width="14.83203125" bestFit="1" customWidth="1"/>
    <col min="6" max="6" width="14.1640625" bestFit="1" customWidth="1"/>
    <col min="7" max="7" width="14.6640625" bestFit="1" customWidth="1"/>
    <col min="8" max="8" width="13.5" bestFit="1" customWidth="1"/>
    <col min="9" max="9" width="14" bestFit="1" customWidth="1"/>
    <col min="10" max="10" width="14.33203125" bestFit="1" customWidth="1"/>
    <col min="11" max="12" width="13.1640625" bestFit="1" customWidth="1"/>
    <col min="13" max="13" width="10.83203125" customWidth="1"/>
    <col min="14" max="14" width="13.1640625" bestFit="1" customWidth="1"/>
  </cols>
  <sheetData>
    <row r="3" spans="2:14" x14ac:dyDescent="0.2">
      <c r="C3" s="89" t="s">
        <v>136</v>
      </c>
      <c r="D3" s="85"/>
      <c r="E3" s="85"/>
      <c r="F3" s="90" t="s">
        <v>137</v>
      </c>
      <c r="G3" s="91"/>
      <c r="H3" s="91"/>
      <c r="I3" s="91"/>
      <c r="J3" s="35" t="s">
        <v>138</v>
      </c>
      <c r="L3" s="88" t="s">
        <v>139</v>
      </c>
      <c r="M3" s="85"/>
      <c r="N3" s="85"/>
    </row>
    <row r="4" spans="2:14" x14ac:dyDescent="0.2">
      <c r="B4" s="21" t="s">
        <v>140</v>
      </c>
      <c r="C4" s="22" t="s">
        <v>141</v>
      </c>
      <c r="D4" s="22" t="s">
        <v>142</v>
      </c>
      <c r="E4" s="22" t="s">
        <v>143</v>
      </c>
      <c r="F4" s="23" t="s">
        <v>144</v>
      </c>
      <c r="G4" s="23" t="s">
        <v>145</v>
      </c>
      <c r="H4" s="23" t="s">
        <v>146</v>
      </c>
      <c r="I4" s="23" t="s">
        <v>147</v>
      </c>
      <c r="J4" s="24" t="s">
        <v>148</v>
      </c>
      <c r="L4" s="5" t="s">
        <v>149</v>
      </c>
      <c r="M4" s="18" t="s">
        <v>132</v>
      </c>
      <c r="N4" s="18" t="s">
        <v>121</v>
      </c>
    </row>
    <row r="5" spans="2:14" x14ac:dyDescent="0.2">
      <c r="B5" s="25">
        <v>46023</v>
      </c>
      <c r="C5" s="26">
        <v>7769.88</v>
      </c>
      <c r="D5" s="31">
        <v>660</v>
      </c>
      <c r="E5" s="29">
        <f>Table12[[#This Row],[Salário Líquido + Extras]]+Table12[[#This Row],[VA/VR]]</f>
        <v>8429.880000000001</v>
      </c>
      <c r="F5" s="28">
        <v>999.34</v>
      </c>
      <c r="G5" s="18">
        <v>1660.75</v>
      </c>
      <c r="H5" s="18">
        <v>612.12</v>
      </c>
      <c r="I5" s="27">
        <f>Table12[[#This Row],[Gasto - PIX]]+Table12[[#This Row],[Gasto - VA/VR]]+Table12[[#This Row],[Gasto - Cartão]]</f>
        <v>3272.21</v>
      </c>
      <c r="J5" s="20">
        <f>Table12[[#This Row],[Entrada Total]]-Table12[[#This Row],[Saída Total]]</f>
        <v>5157.670000000001</v>
      </c>
      <c r="K5" s="18"/>
      <c r="L5" s="34" t="s">
        <v>150</v>
      </c>
      <c r="M5" s="33">
        <v>323.48</v>
      </c>
      <c r="N5" s="3" t="s">
        <v>151</v>
      </c>
    </row>
    <row r="6" spans="2:14" x14ac:dyDescent="0.2">
      <c r="B6" s="30">
        <v>46054</v>
      </c>
      <c r="C6" s="31">
        <v>8246.39</v>
      </c>
      <c r="D6" s="31">
        <v>1100</v>
      </c>
      <c r="E6" s="32">
        <f>Table12[[#This Row],[Salário Líquido + Extras]]+Table12[[#This Row],[VA/VR]]</f>
        <v>9346.39</v>
      </c>
      <c r="F6" s="31">
        <v>551.69000000000005</v>
      </c>
      <c r="G6" s="18">
        <v>2025.25</v>
      </c>
      <c r="H6" s="18">
        <v>1100</v>
      </c>
      <c r="I6" s="32">
        <f>Table12[[#This Row],[Gasto - PIX]]+Table12[[#This Row],[Gasto - VA/VR]]+Table12[[#This Row],[Gasto - Cartão]]</f>
        <v>3676.94</v>
      </c>
      <c r="J6" s="20">
        <f>Table12[[#This Row],[Entrada Total]]-Table12[[#This Row],[Saída Total]]</f>
        <v>5669.4499999999989</v>
      </c>
      <c r="K6" s="18"/>
      <c r="L6" s="2" t="s">
        <v>152</v>
      </c>
      <c r="M6" s="16">
        <v>119.9</v>
      </c>
      <c r="N6" s="3" t="s">
        <v>153</v>
      </c>
    </row>
    <row r="7" spans="2:14" x14ac:dyDescent="0.2">
      <c r="B7" s="25">
        <v>46082</v>
      </c>
      <c r="C7" s="18">
        <f>8741.99+467</f>
        <v>9208.99</v>
      </c>
      <c r="D7" s="26">
        <v>1100</v>
      </c>
      <c r="E7" s="29">
        <f>Table12[[#This Row],[Salário Líquido + Extras]]+Table12[[#This Row],[VA/VR]]</f>
        <v>10308.99</v>
      </c>
      <c r="F7" s="31">
        <v>1637</v>
      </c>
      <c r="G7" s="18">
        <v>2156.71</v>
      </c>
      <c r="H7" s="18">
        <v>1100</v>
      </c>
      <c r="I7" s="27">
        <f>Table12[[#This Row],[Gasto - PIX]]+Table12[[#This Row],[Gasto - VA/VR]]+Table12[[#This Row],[Gasto - Cartão]]</f>
        <v>4893.71</v>
      </c>
      <c r="J7" s="20">
        <f>Table12[[#This Row],[Entrada Total]]-Table12[[#This Row],[Saída Total]]</f>
        <v>5415.28</v>
      </c>
      <c r="L7" s="34" t="s">
        <v>154</v>
      </c>
      <c r="M7" s="18">
        <v>5.9</v>
      </c>
      <c r="N7" s="3" t="s">
        <v>153</v>
      </c>
    </row>
    <row r="8" spans="2:14" x14ac:dyDescent="0.2">
      <c r="B8" s="30">
        <v>46113</v>
      </c>
      <c r="C8" s="31">
        <v>8008.13</v>
      </c>
      <c r="D8" s="31">
        <v>1100</v>
      </c>
      <c r="E8" s="32">
        <f>Table12[[#This Row],[Salário Líquido + Extras]]+Table12[[#This Row],[VA/VR]]</f>
        <v>9108.130000000001</v>
      </c>
      <c r="F8" s="31">
        <v>1779.84</v>
      </c>
      <c r="G8" s="18">
        <v>573.68000000000029</v>
      </c>
      <c r="H8" s="18">
        <v>1000</v>
      </c>
      <c r="I8" s="32">
        <f>Table12[[#This Row],[Gasto - PIX]]+Table12[[#This Row],[Gasto - VA/VR]]+Table12[[#This Row],[Gasto - Cartão]]</f>
        <v>3353.5200000000004</v>
      </c>
      <c r="J8" s="20">
        <f>Table12[[#This Row],[Entrada Total]]-Table12[[#This Row],[Saída Total]]</f>
        <v>5754.6100000000006</v>
      </c>
      <c r="L8" s="34" t="s">
        <v>155</v>
      </c>
      <c r="M8" s="18">
        <v>30</v>
      </c>
      <c r="N8" s="3" t="s">
        <v>153</v>
      </c>
    </row>
    <row r="9" spans="2:14" x14ac:dyDescent="0.2">
      <c r="B9" s="25">
        <v>46143</v>
      </c>
      <c r="C9" s="18">
        <v>8601.74</v>
      </c>
      <c r="D9" s="31">
        <v>1100</v>
      </c>
      <c r="E9" s="29">
        <f>Table12[[#This Row],[Salário Líquido + Extras]]+Table12[[#This Row],[VA/VR]]</f>
        <v>9701.74</v>
      </c>
      <c r="F9" s="18">
        <v>2205.5500000000002</v>
      </c>
      <c r="G9" s="18">
        <f>10.8+1110+128+267.5+4-(106-213.3-46-50)</f>
        <v>1723.6</v>
      </c>
      <c r="H9" s="18">
        <v>1000</v>
      </c>
      <c r="I9" s="27">
        <f>Table12[[#This Row],[Gasto - PIX]]+Table12[[#This Row],[Gasto - VA/VR]]+Table12[[#This Row],[Gasto - Cartão]]</f>
        <v>4929.1499999999996</v>
      </c>
      <c r="J9" s="20">
        <f>Table12[[#This Row],[Entrada Total]]-Table12[[#This Row],[Saída Total]]</f>
        <v>4772.59</v>
      </c>
      <c r="L9" s="34" t="s">
        <v>156</v>
      </c>
      <c r="M9" s="18">
        <v>7.95</v>
      </c>
      <c r="N9" s="3" t="s">
        <v>153</v>
      </c>
    </row>
    <row r="10" spans="2:14" x14ac:dyDescent="0.2">
      <c r="B10" s="30">
        <v>46174</v>
      </c>
      <c r="C10" s="18">
        <f>11642.46+3201.53+5653.71</f>
        <v>20497.7</v>
      </c>
      <c r="D10" s="31">
        <v>1100</v>
      </c>
      <c r="E10" s="31">
        <f>Table12[[#This Row],[Salário Líquido + Extras]]+Table12[[#This Row],[VA/VR]]</f>
        <v>21597.7</v>
      </c>
      <c r="F10" s="31">
        <v>2839.55</v>
      </c>
      <c r="G10" s="31">
        <f>579.87+216</f>
        <v>795.87</v>
      </c>
      <c r="H10" s="31">
        <v>1000</v>
      </c>
      <c r="I10" s="31">
        <f>Table12[[#This Row],[Gasto - PIX]]+Table12[[#This Row],[Gasto - VA/VR]]+Table12[[#This Row],[Gasto - Cartão]]</f>
        <v>4635.42</v>
      </c>
      <c r="J10" s="31">
        <f>Table12[[#This Row],[Entrada Total]]-Table12[[#This Row],[Saída Total]]</f>
        <v>16962.28</v>
      </c>
      <c r="L10" s="34" t="s">
        <v>157</v>
      </c>
      <c r="M10" s="18">
        <v>366.66666666666669</v>
      </c>
      <c r="N10" s="5" t="s">
        <v>151</v>
      </c>
    </row>
    <row r="11" spans="2:14" x14ac:dyDescent="0.2">
      <c r="B11" s="25">
        <v>46204</v>
      </c>
      <c r="D11" s="31">
        <v>1100</v>
      </c>
      <c r="E11" s="31">
        <f>Table12[[#This Row],[Salário Líquido + Extras]]+Table12[[#This Row],[VA/VR]]</f>
        <v>1100</v>
      </c>
      <c r="F11" s="36"/>
      <c r="G11" s="60"/>
      <c r="H11" s="31">
        <v>1000</v>
      </c>
      <c r="I11" s="31">
        <f>Table12[[#This Row],[Gasto - PIX]]+Table12[[#This Row],[Gasto - VA/VR]]+Table12[[#This Row],[Gasto - Cartão]]</f>
        <v>1000</v>
      </c>
      <c r="J11" s="20">
        <f>Table12[[#This Row],[Entrada Total]]-Table12[[#This Row],[Saída Total]]</f>
        <v>100</v>
      </c>
      <c r="K11" s="1"/>
      <c r="L11" s="34"/>
      <c r="M11" s="18"/>
    </row>
    <row r="12" spans="2:14" x14ac:dyDescent="0.2">
      <c r="B12" s="30">
        <v>46235</v>
      </c>
      <c r="E12" s="1"/>
      <c r="G12" s="1"/>
      <c r="H12" s="32"/>
      <c r="I12" s="32"/>
      <c r="J12" s="20">
        <f>Table12[[#This Row],[Entrada Total]]-Table12[[#This Row],[Saída Total]]</f>
        <v>0</v>
      </c>
      <c r="K12" s="1"/>
      <c r="L12" s="34"/>
      <c r="M12" s="18"/>
    </row>
    <row r="13" spans="2:14" x14ac:dyDescent="0.2">
      <c r="B13" s="25">
        <v>46266</v>
      </c>
      <c r="E13" s="1"/>
      <c r="G13" s="1"/>
      <c r="H13" s="27"/>
      <c r="I13" s="29"/>
      <c r="J13" s="20">
        <f>Table12[[#This Row],[Entrada Total]]-Table12[[#This Row],[Saída Total]]</f>
        <v>0</v>
      </c>
      <c r="L13" s="34"/>
      <c r="M13" s="18"/>
    </row>
    <row r="14" spans="2:14" x14ac:dyDescent="0.2">
      <c r="B14" s="3" t="s">
        <v>158</v>
      </c>
      <c r="C14" s="1"/>
      <c r="D14" s="1"/>
      <c r="E14" s="1">
        <f>SUBTOTAL(109,Table12[Entrada Total])</f>
        <v>69592.83</v>
      </c>
      <c r="F14" s="1"/>
      <c r="G14" s="1"/>
      <c r="H14" s="1"/>
      <c r="I14" s="1">
        <f>SUBTOTAL(109,Table12[Saída Total])</f>
        <v>25760.949999999997</v>
      </c>
      <c r="J14" s="1">
        <f>SUBTOTAL(109,Table12[Balanço Mensal])</f>
        <v>43831.88</v>
      </c>
      <c r="L14" s="5" t="s">
        <v>158</v>
      </c>
      <c r="M14" s="1">
        <f>SUBTOTAL(109,Table5[Valor])</f>
        <v>853.89666666666665</v>
      </c>
    </row>
    <row r="17" spans="10:14" x14ac:dyDescent="0.2">
      <c r="L17" s="88" t="s">
        <v>159</v>
      </c>
      <c r="M17" s="88"/>
    </row>
    <row r="18" spans="10:14" x14ac:dyDescent="0.2">
      <c r="L18" s="5" t="s">
        <v>121</v>
      </c>
      <c r="M18" s="5" t="s">
        <v>151</v>
      </c>
    </row>
    <row r="19" spans="10:14" x14ac:dyDescent="0.2">
      <c r="L19" s="5" t="s">
        <v>151</v>
      </c>
      <c r="M19" s="18">
        <f>SUMIF(Table5[Tipo],Table8[[#This Row],[Tipo]],Table5[Valor])</f>
        <v>690.14666666666676</v>
      </c>
    </row>
    <row r="20" spans="10:14" x14ac:dyDescent="0.2">
      <c r="L20" s="3" t="s">
        <v>153</v>
      </c>
      <c r="M20" s="18">
        <f>SUMIF(Table5[Tipo],Table8[[#This Row],[Tipo]],Table5[Valor])</f>
        <v>163.75</v>
      </c>
    </row>
    <row r="21" spans="10:14" x14ac:dyDescent="0.2">
      <c r="L21" s="5" t="s">
        <v>158</v>
      </c>
      <c r="M21" s="1">
        <f>SUBTOTAL(109,Table8[PIX])</f>
        <v>853.89666666666676</v>
      </c>
    </row>
    <row r="22" spans="10:14" x14ac:dyDescent="0.2">
      <c r="J22" s="18"/>
      <c r="K22" s="1"/>
    </row>
    <row r="23" spans="10:14" x14ac:dyDescent="0.2">
      <c r="K23" s="1"/>
    </row>
    <row r="25" spans="10:14" x14ac:dyDescent="0.2">
      <c r="L25" s="1"/>
    </row>
    <row r="27" spans="10:14" x14ac:dyDescent="0.2">
      <c r="J27" s="18"/>
      <c r="K27" s="18"/>
      <c r="L27" s="1"/>
      <c r="M27" s="18"/>
      <c r="N27" s="18"/>
    </row>
    <row r="28" spans="10:14" x14ac:dyDescent="0.2">
      <c r="J28" s="18"/>
      <c r="K28" s="18"/>
      <c r="M28" s="18"/>
      <c r="N28" s="18"/>
    </row>
    <row r="29" spans="10:14" x14ac:dyDescent="0.2">
      <c r="J29" s="18"/>
      <c r="K29" s="18"/>
      <c r="L29" s="18"/>
      <c r="M29" s="18"/>
      <c r="N29" s="18"/>
    </row>
    <row r="30" spans="10:14" x14ac:dyDescent="0.2">
      <c r="J30" s="18"/>
      <c r="K30" s="18"/>
      <c r="L30" s="18"/>
      <c r="M30" s="18"/>
      <c r="N30" s="18"/>
    </row>
    <row r="31" spans="10:14" x14ac:dyDescent="0.2">
      <c r="J31" s="18"/>
      <c r="K31" s="18"/>
      <c r="L31" s="18"/>
      <c r="M31" s="18"/>
      <c r="N31" s="18"/>
    </row>
    <row r="32" spans="10:14" x14ac:dyDescent="0.2">
      <c r="J32" s="18"/>
      <c r="K32" s="18"/>
      <c r="L32" s="18"/>
      <c r="M32" s="18"/>
      <c r="N32" s="18"/>
    </row>
    <row r="33" spans="10:14" x14ac:dyDescent="0.2">
      <c r="J33" s="18"/>
      <c r="K33" s="18"/>
      <c r="L33" s="18"/>
      <c r="M33" s="18"/>
      <c r="N33" s="18"/>
    </row>
    <row r="34" spans="10:14" x14ac:dyDescent="0.2">
      <c r="J34" s="18"/>
      <c r="K34" s="18"/>
      <c r="L34" s="18"/>
      <c r="M34" s="18"/>
      <c r="N34" s="18"/>
    </row>
    <row r="35" spans="10:14" x14ac:dyDescent="0.2">
      <c r="J35" s="18"/>
      <c r="K35" s="18"/>
      <c r="L35" s="18"/>
      <c r="M35" s="18"/>
      <c r="N35" s="18"/>
    </row>
    <row r="36" spans="10:14" x14ac:dyDescent="0.2">
      <c r="J36" s="18"/>
      <c r="K36" s="18"/>
      <c r="L36" s="18"/>
      <c r="M36" s="18"/>
      <c r="N36" s="18"/>
    </row>
    <row r="37" spans="10:14" x14ac:dyDescent="0.2">
      <c r="J37" s="18"/>
      <c r="K37" s="18"/>
      <c r="L37" s="18"/>
      <c r="M37" s="18"/>
      <c r="N37" s="18"/>
    </row>
    <row r="38" spans="10:14" x14ac:dyDescent="0.2">
      <c r="J38" s="18"/>
      <c r="K38" s="18"/>
      <c r="L38" s="18"/>
      <c r="M38" s="18"/>
      <c r="N38" s="18"/>
    </row>
    <row r="39" spans="10:14" x14ac:dyDescent="0.2">
      <c r="J39" s="18"/>
      <c r="K39" s="18"/>
      <c r="L39" s="18"/>
      <c r="M39" s="18"/>
      <c r="N39" s="18"/>
    </row>
    <row r="40" spans="10:14" x14ac:dyDescent="0.2">
      <c r="J40" s="18"/>
      <c r="K40" s="18"/>
      <c r="L40" s="18"/>
      <c r="M40" s="18"/>
      <c r="N40" s="18"/>
    </row>
    <row r="41" spans="10:14" x14ac:dyDescent="0.2">
      <c r="J41" s="18"/>
      <c r="K41" s="18"/>
      <c r="L41" s="18"/>
      <c r="M41" s="18"/>
      <c r="N41" s="18"/>
    </row>
    <row r="42" spans="10:14" x14ac:dyDescent="0.2">
      <c r="J42" s="18"/>
      <c r="K42" s="18"/>
      <c r="L42" s="18"/>
      <c r="M42" s="18"/>
      <c r="N42" s="18"/>
    </row>
    <row r="43" spans="10:14" x14ac:dyDescent="0.2">
      <c r="J43" s="18"/>
      <c r="K43" s="18"/>
      <c r="L43" s="18"/>
      <c r="M43" s="18"/>
      <c r="N43" s="18"/>
    </row>
    <row r="44" spans="10:14" x14ac:dyDescent="0.2">
      <c r="J44" s="18"/>
      <c r="K44" s="18"/>
      <c r="L44" s="18"/>
      <c r="M44" s="18"/>
      <c r="N44" s="18"/>
    </row>
    <row r="45" spans="10:14" x14ac:dyDescent="0.2">
      <c r="J45" s="18"/>
      <c r="K45" s="18"/>
      <c r="L45" s="18"/>
      <c r="M45" s="18"/>
      <c r="N45" s="18"/>
    </row>
    <row r="46" spans="10:14" x14ac:dyDescent="0.2">
      <c r="J46" s="18"/>
      <c r="K46" s="18"/>
      <c r="L46" s="18"/>
      <c r="M46" s="18"/>
      <c r="N46" s="18"/>
    </row>
    <row r="47" spans="10:14" x14ac:dyDescent="0.2">
      <c r="J47" s="18"/>
      <c r="K47" s="18"/>
      <c r="L47" s="18"/>
      <c r="M47" s="18"/>
      <c r="N47" s="18"/>
    </row>
    <row r="48" spans="10:14" x14ac:dyDescent="0.2">
      <c r="J48" s="18"/>
      <c r="K48" s="18"/>
      <c r="L48" s="18"/>
      <c r="M48" s="18"/>
      <c r="N48" s="18"/>
    </row>
    <row r="49" spans="10:14" x14ac:dyDescent="0.2">
      <c r="J49" s="18"/>
      <c r="K49" s="18"/>
      <c r="L49" s="18"/>
      <c r="M49" s="18"/>
      <c r="N49" s="18"/>
    </row>
    <row r="50" spans="10:14" x14ac:dyDescent="0.2">
      <c r="J50" s="18"/>
      <c r="K50" s="18"/>
      <c r="L50" s="18"/>
      <c r="M50" s="18"/>
      <c r="N50" s="18"/>
    </row>
    <row r="51" spans="10:14" x14ac:dyDescent="0.2">
      <c r="J51" s="18"/>
      <c r="K51" s="18"/>
      <c r="L51" s="18"/>
      <c r="M51" s="18"/>
      <c r="N51" s="18"/>
    </row>
    <row r="52" spans="10:14" x14ac:dyDescent="0.2">
      <c r="J52" s="18"/>
      <c r="K52" s="18"/>
      <c r="L52" s="18"/>
      <c r="M52" s="18"/>
      <c r="N52" s="18"/>
    </row>
    <row r="53" spans="10:14" x14ac:dyDescent="0.2">
      <c r="J53" s="18"/>
      <c r="K53" s="18"/>
      <c r="L53" s="18"/>
      <c r="M53" s="18"/>
      <c r="N53" s="18"/>
    </row>
    <row r="54" spans="10:14" x14ac:dyDescent="0.2">
      <c r="J54" s="18"/>
      <c r="K54" s="18"/>
      <c r="L54" s="18"/>
      <c r="M54" s="18"/>
      <c r="N54" s="18"/>
    </row>
    <row r="55" spans="10:14" x14ac:dyDescent="0.2">
      <c r="J55" s="18"/>
      <c r="K55" s="18"/>
      <c r="L55" s="18"/>
      <c r="M55" s="18"/>
      <c r="N55" s="18"/>
    </row>
    <row r="56" spans="10:14" x14ac:dyDescent="0.2">
      <c r="J56" s="18"/>
      <c r="K56" s="18"/>
      <c r="L56" s="18"/>
      <c r="M56" s="18"/>
      <c r="N56" s="18"/>
    </row>
    <row r="57" spans="10:14" x14ac:dyDescent="0.2">
      <c r="J57" s="18"/>
      <c r="K57" s="18"/>
      <c r="L57" s="18"/>
      <c r="M57" s="18"/>
      <c r="N57" s="18"/>
    </row>
    <row r="58" spans="10:14" x14ac:dyDescent="0.2">
      <c r="J58" s="18"/>
      <c r="K58" s="18"/>
      <c r="L58" s="18"/>
      <c r="M58" s="18"/>
      <c r="N58" s="18"/>
    </row>
    <row r="59" spans="10:14" x14ac:dyDescent="0.2">
      <c r="J59" s="18"/>
      <c r="K59" s="18"/>
      <c r="L59" s="18"/>
      <c r="M59" s="18"/>
      <c r="N59" s="18"/>
    </row>
  </sheetData>
  <mergeCells count="4">
    <mergeCell ref="L17:M17"/>
    <mergeCell ref="L3:N3"/>
    <mergeCell ref="C3:E3"/>
    <mergeCell ref="F3:I3"/>
  </mergeCells>
  <pageMargins left="0.7" right="0.7" top="0.75" bottom="0.75" header="0.3" footer="0.3"/>
  <pageSetup paperSize="9" orientation="portrait" horizontalDpi="0" verticalDpi="0"/>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S62"/>
  <sheetViews>
    <sheetView workbookViewId="0">
      <selection activeCell="E4" sqref="E4"/>
    </sheetView>
  </sheetViews>
  <sheetFormatPr baseColWidth="10" defaultColWidth="10.83203125" defaultRowHeight="16" x14ac:dyDescent="0.2"/>
  <cols>
    <col min="1" max="1" width="10" bestFit="1" customWidth="1"/>
    <col min="2" max="2" width="9.5" bestFit="1" customWidth="1"/>
    <col min="3" max="3" width="20.1640625" bestFit="1" customWidth="1"/>
    <col min="4" max="4" width="13.6640625" bestFit="1" customWidth="1"/>
    <col min="5" max="5" width="15" bestFit="1" customWidth="1"/>
    <col min="6" max="6" width="14.6640625" bestFit="1" customWidth="1"/>
    <col min="7" max="7" width="20.33203125" bestFit="1" customWidth="1"/>
    <col min="8" max="8" width="22.33203125" bestFit="1" customWidth="1"/>
    <col min="9" max="9" width="21.5" bestFit="1" customWidth="1"/>
    <col min="10" max="10" width="17.6640625" bestFit="1" customWidth="1"/>
    <col min="11" max="11" width="20.33203125" bestFit="1" customWidth="1"/>
    <col min="14" max="14" width="20.83203125" bestFit="1" customWidth="1"/>
    <col min="15" max="15" width="13" bestFit="1" customWidth="1"/>
    <col min="18" max="18" width="13.6640625" bestFit="1" customWidth="1"/>
    <col min="19" max="19" width="13" bestFit="1" customWidth="1"/>
  </cols>
  <sheetData>
    <row r="2" spans="3:9" ht="15" customHeight="1" x14ac:dyDescent="0.2">
      <c r="C2" s="92" t="s">
        <v>138</v>
      </c>
      <c r="D2" s="93"/>
    </row>
    <row r="3" spans="3:9" x14ac:dyDescent="0.2">
      <c r="C3" s="5" t="s">
        <v>160</v>
      </c>
      <c r="D3" s="6" t="s">
        <v>161</v>
      </c>
    </row>
    <row r="4" spans="3:9" x14ac:dyDescent="0.2">
      <c r="C4" t="s">
        <v>162</v>
      </c>
      <c r="D4" s="1">
        <f>12%*Table1[[#Totals],[Renda Tributável]]</f>
        <v>8587.3139999999985</v>
      </c>
    </row>
    <row r="5" spans="3:9" ht="15" customHeight="1" x14ac:dyDescent="0.2">
      <c r="C5" t="s">
        <v>163</v>
      </c>
      <c r="D5" s="1">
        <f>D4-Table25[[#Totals],[Valor]]</f>
        <v>-1412.6860000000015</v>
      </c>
    </row>
    <row r="7" spans="3:9" ht="15" customHeight="1" x14ac:dyDescent="0.2">
      <c r="C7" s="92" t="s">
        <v>164</v>
      </c>
      <c r="D7" s="93"/>
      <c r="E7" s="93"/>
    </row>
    <row r="8" spans="3:9" x14ac:dyDescent="0.2">
      <c r="C8" s="5" t="s">
        <v>165</v>
      </c>
      <c r="D8" s="5" t="s">
        <v>0</v>
      </c>
      <c r="E8" s="59" t="s">
        <v>132</v>
      </c>
    </row>
    <row r="9" spans="3:9" ht="15" hidden="1" customHeight="1" x14ac:dyDescent="0.2">
      <c r="C9" s="5">
        <v>1</v>
      </c>
      <c r="D9" s="58">
        <v>45877</v>
      </c>
      <c r="E9" s="39">
        <v>5100</v>
      </c>
    </row>
    <row r="10" spans="3:9" ht="15" hidden="1" customHeight="1" x14ac:dyDescent="0.2">
      <c r="C10" s="5">
        <f>C9+1</f>
        <v>2</v>
      </c>
      <c r="D10" s="58">
        <v>45999</v>
      </c>
      <c r="E10" s="39">
        <v>7280</v>
      </c>
      <c r="F10" s="39"/>
      <c r="G10" s="19"/>
      <c r="H10" s="19"/>
      <c r="I10" s="38"/>
    </row>
    <row r="11" spans="3:9" ht="15" customHeight="1" x14ac:dyDescent="0.2">
      <c r="C11" s="5">
        <f>C10+1</f>
        <v>3</v>
      </c>
      <c r="D11" s="57">
        <v>46093</v>
      </c>
      <c r="E11" s="39">
        <v>4000</v>
      </c>
      <c r="H11" s="19"/>
    </row>
    <row r="12" spans="3:9" ht="15" customHeight="1" x14ac:dyDescent="0.2">
      <c r="C12" s="5">
        <f>C11+1</f>
        <v>4</v>
      </c>
      <c r="D12" s="57">
        <v>46127</v>
      </c>
      <c r="E12" s="39">
        <v>3000</v>
      </c>
      <c r="F12" s="19"/>
    </row>
    <row r="13" spans="3:9" ht="15" customHeight="1" x14ac:dyDescent="0.2">
      <c r="C13" s="5">
        <v>5</v>
      </c>
      <c r="D13" s="58">
        <v>46182</v>
      </c>
      <c r="E13" s="61">
        <v>1000</v>
      </c>
      <c r="F13" s="19"/>
    </row>
    <row r="14" spans="3:9" ht="15" customHeight="1" x14ac:dyDescent="0.2">
      <c r="C14" s="3">
        <v>6</v>
      </c>
      <c r="D14" s="58">
        <v>46209</v>
      </c>
      <c r="E14" s="61">
        <v>2000</v>
      </c>
      <c r="F14" s="19"/>
    </row>
    <row r="15" spans="3:9" ht="15" customHeight="1" x14ac:dyDescent="0.2">
      <c r="D15" s="2" t="s">
        <v>158</v>
      </c>
      <c r="E15" s="1">
        <f>SUBTOTAL(109,Table25[Valor])</f>
        <v>10000</v>
      </c>
      <c r="F15" s="19"/>
    </row>
    <row r="17" spans="1:19" ht="15" customHeight="1" x14ac:dyDescent="0.2">
      <c r="C17" s="93" t="s">
        <v>166</v>
      </c>
      <c r="D17" s="93"/>
      <c r="E17" s="93"/>
      <c r="F17" s="93"/>
      <c r="G17" s="93"/>
      <c r="H17" s="93"/>
      <c r="I17" s="93"/>
      <c r="J17" s="93"/>
      <c r="K17" s="93"/>
    </row>
    <row r="18" spans="1:19" x14ac:dyDescent="0.2">
      <c r="C18" s="37" t="s">
        <v>112</v>
      </c>
      <c r="D18" s="37" t="s">
        <v>167</v>
      </c>
      <c r="E18" s="37" t="s">
        <v>168</v>
      </c>
      <c r="F18" s="37" t="s">
        <v>169</v>
      </c>
      <c r="G18" s="37" t="s">
        <v>170</v>
      </c>
      <c r="H18" s="37" t="s">
        <v>171</v>
      </c>
      <c r="I18" s="37" t="s">
        <v>172</v>
      </c>
      <c r="J18" s="37" t="s">
        <v>173</v>
      </c>
      <c r="K18" s="37" t="s">
        <v>174</v>
      </c>
    </row>
    <row r="19" spans="1:19" ht="15" hidden="1" customHeight="1" x14ac:dyDescent="0.2">
      <c r="C19" s="55">
        <v>45658</v>
      </c>
      <c r="D19" s="54" t="s">
        <v>175</v>
      </c>
      <c r="E19" s="51">
        <v>45658</v>
      </c>
      <c r="F19" s="51">
        <v>45688</v>
      </c>
      <c r="G19" s="50">
        <f>_xlfn.DAYS(Previdencia!$F19,Previdencia!$E19)+1</f>
        <v>31</v>
      </c>
      <c r="H19" s="50" t="s">
        <v>176</v>
      </c>
      <c r="I19" s="49">
        <v>3282.5</v>
      </c>
      <c r="J19" s="48">
        <f>Previdencia!$I19/30</f>
        <v>109.41666666666667</v>
      </c>
      <c r="K19" s="47">
        <f>IF(Previdencia!$H19="Sim",Previdencia!$J19*Previdencia!$G19,Previdencia!$I19)</f>
        <v>3282.5</v>
      </c>
    </row>
    <row r="20" spans="1:19" ht="15" hidden="1" customHeight="1" x14ac:dyDescent="0.2">
      <c r="C20" s="46">
        <v>45689</v>
      </c>
      <c r="D20" s="52" t="s">
        <v>175</v>
      </c>
      <c r="E20" s="45">
        <v>45689</v>
      </c>
      <c r="F20" s="45">
        <v>45716</v>
      </c>
      <c r="G20" s="44">
        <f>_xlfn.DAYS(Previdencia!$F20,Previdencia!$E20)+1</f>
        <v>28</v>
      </c>
      <c r="H20" s="44" t="s">
        <v>176</v>
      </c>
      <c r="I20" s="43">
        <v>3282.5</v>
      </c>
      <c r="J20" s="42">
        <f>Previdencia!$I20/30</f>
        <v>109.41666666666667</v>
      </c>
      <c r="K20" s="41">
        <f>IF(Previdencia!$H20="Sim",Previdencia!$J20*Previdencia!$G20,Previdencia!$I20)</f>
        <v>3282.5</v>
      </c>
    </row>
    <row r="21" spans="1:19" ht="15" hidden="1" customHeight="1" x14ac:dyDescent="0.2">
      <c r="C21" s="55">
        <v>45717</v>
      </c>
      <c r="D21" s="54" t="s">
        <v>175</v>
      </c>
      <c r="E21" s="51">
        <v>45717</v>
      </c>
      <c r="F21" s="51">
        <v>45718</v>
      </c>
      <c r="G21" s="50">
        <f>_xlfn.DAYS(Previdencia!$F21,Previdencia!$E21)+1</f>
        <v>2</v>
      </c>
      <c r="H21" s="50" t="s">
        <v>177</v>
      </c>
      <c r="I21" s="49">
        <v>3282.5</v>
      </c>
      <c r="J21" s="48">
        <f>Previdencia!$I21/30</f>
        <v>109.41666666666667</v>
      </c>
      <c r="K21" s="47">
        <f>IF(Previdencia!$H21="Sim",Previdencia!$J21*Previdencia!$G21,Previdencia!$I21)</f>
        <v>218.83333333333334</v>
      </c>
    </row>
    <row r="22" spans="1:19" ht="15" hidden="1" customHeight="1" x14ac:dyDescent="0.2">
      <c r="C22" s="46">
        <v>45717</v>
      </c>
      <c r="D22" s="52" t="s">
        <v>178</v>
      </c>
      <c r="E22" s="45">
        <v>45719</v>
      </c>
      <c r="F22" s="45">
        <v>45747</v>
      </c>
      <c r="G22" s="44">
        <f>_xlfn.DAYS(Previdencia!$F22,Previdencia!$E22)+1</f>
        <v>29</v>
      </c>
      <c r="H22" s="44" t="s">
        <v>177</v>
      </c>
      <c r="I22" s="43">
        <v>7000</v>
      </c>
      <c r="J22" s="42">
        <f>Previdencia!$I22/30</f>
        <v>233.33333333333334</v>
      </c>
      <c r="K22" s="41">
        <f>IF(Previdencia!$H22="Sim",Previdencia!$J22*Previdencia!$G22,Previdencia!$I22)</f>
        <v>6766.666666666667</v>
      </c>
      <c r="O22" s="39"/>
    </row>
    <row r="23" spans="1:19" ht="15" hidden="1" customHeight="1" x14ac:dyDescent="0.2">
      <c r="C23" s="55">
        <v>45748</v>
      </c>
      <c r="D23" s="54" t="s">
        <v>178</v>
      </c>
      <c r="E23" s="51">
        <v>45748</v>
      </c>
      <c r="F23" s="51">
        <v>45777</v>
      </c>
      <c r="G23" s="50">
        <f>_xlfn.DAYS(Previdencia!$F23,Previdencia!$E23)+1</f>
        <v>30</v>
      </c>
      <c r="H23" s="50" t="s">
        <v>176</v>
      </c>
      <c r="I23" s="49">
        <v>7000</v>
      </c>
      <c r="J23" s="48">
        <f>Previdencia!$I23/30</f>
        <v>233.33333333333334</v>
      </c>
      <c r="K23" s="47">
        <f>IF(Previdencia!$H23="Sim",Previdencia!$J23*Previdencia!$G23,Previdencia!$I23)</f>
        <v>7000</v>
      </c>
      <c r="S23" s="56"/>
    </row>
    <row r="24" spans="1:19" ht="15" hidden="1" customHeight="1" x14ac:dyDescent="0.2">
      <c r="C24" s="46">
        <v>45778</v>
      </c>
      <c r="D24" s="52" t="s">
        <v>178</v>
      </c>
      <c r="E24" s="45">
        <v>45778</v>
      </c>
      <c r="F24" s="45">
        <v>45786</v>
      </c>
      <c r="G24" s="44">
        <f>_xlfn.DAYS(Previdencia!$F24,Previdencia!$E24)+1</f>
        <v>9</v>
      </c>
      <c r="H24" s="44" t="s">
        <v>177</v>
      </c>
      <c r="I24" s="43">
        <v>7000</v>
      </c>
      <c r="J24" s="42">
        <f>Previdencia!$I24/30</f>
        <v>233.33333333333334</v>
      </c>
      <c r="K24" s="41">
        <f>IF(Previdencia!$H24="Sim",Previdencia!$J24*Previdencia!$G24,Previdencia!$I24)</f>
        <v>2100</v>
      </c>
    </row>
    <row r="25" spans="1:19" ht="15" hidden="1" customHeight="1" x14ac:dyDescent="0.2">
      <c r="C25" s="55">
        <v>45778</v>
      </c>
      <c r="D25" s="54" t="s">
        <v>179</v>
      </c>
      <c r="E25" s="51">
        <v>45789</v>
      </c>
      <c r="F25" s="51">
        <v>45808</v>
      </c>
      <c r="G25" s="50">
        <f>_xlfn.DAYS(Previdencia!$F25,Previdencia!$E25)+1</f>
        <v>20</v>
      </c>
      <c r="H25" s="50" t="s">
        <v>177</v>
      </c>
      <c r="I25" s="49">
        <v>10500</v>
      </c>
      <c r="J25" s="48">
        <f>Previdencia!$I25/30</f>
        <v>350</v>
      </c>
      <c r="K25" s="47">
        <f>IF(Previdencia!$H25="Sim",Previdencia!$J25*Previdencia!$G25,Previdencia!$I25)</f>
        <v>7000</v>
      </c>
    </row>
    <row r="26" spans="1:19" ht="15" hidden="1" customHeight="1" x14ac:dyDescent="0.2">
      <c r="C26" s="46">
        <v>45809</v>
      </c>
      <c r="D26" s="52" t="s">
        <v>179</v>
      </c>
      <c r="E26" s="45">
        <v>45809</v>
      </c>
      <c r="F26" s="45">
        <v>45838</v>
      </c>
      <c r="G26" s="44">
        <f>_xlfn.DAYS(Previdencia!$F26,Previdencia!$E26)+1</f>
        <v>30</v>
      </c>
      <c r="H26" s="44" t="s">
        <v>176</v>
      </c>
      <c r="I26" s="43">
        <v>10500</v>
      </c>
      <c r="J26" s="42">
        <f>Previdencia!$I26/30</f>
        <v>350</v>
      </c>
      <c r="K26" s="41">
        <f>IF(Previdencia!$H26="Sim",Previdencia!$J26*Previdencia!$G26,Previdencia!$I26)</f>
        <v>10500</v>
      </c>
    </row>
    <row r="27" spans="1:19" ht="15" hidden="1" customHeight="1" x14ac:dyDescent="0.2">
      <c r="C27" s="55">
        <v>45839</v>
      </c>
      <c r="D27" s="54" t="s">
        <v>179</v>
      </c>
      <c r="E27" s="51">
        <v>45839</v>
      </c>
      <c r="F27" s="51">
        <v>45869</v>
      </c>
      <c r="G27" s="50">
        <f>_xlfn.DAYS(Previdencia!$F27,Previdencia!$E27)+1</f>
        <v>31</v>
      </c>
      <c r="H27" s="50" t="s">
        <v>176</v>
      </c>
      <c r="I27" s="49">
        <v>10500</v>
      </c>
      <c r="J27" s="48">
        <f>Previdencia!$I27/30</f>
        <v>350</v>
      </c>
      <c r="K27" s="47">
        <f>IF(Previdencia!$H27="Sim",Previdencia!$J27*Previdencia!$G27,Previdencia!$I27)</f>
        <v>10500</v>
      </c>
    </row>
    <row r="28" spans="1:19" ht="15" hidden="1" customHeight="1" x14ac:dyDescent="0.2">
      <c r="C28" s="46">
        <v>45870</v>
      </c>
      <c r="D28" s="52" t="s">
        <v>179</v>
      </c>
      <c r="E28" s="45">
        <v>45870</v>
      </c>
      <c r="F28" s="45">
        <v>45900</v>
      </c>
      <c r="G28" s="44">
        <f>_xlfn.DAYS(Previdencia!$F28,Previdencia!$E28)+1</f>
        <v>31</v>
      </c>
      <c r="H28" s="44" t="s">
        <v>176</v>
      </c>
      <c r="I28" s="43">
        <v>10500</v>
      </c>
      <c r="J28" s="42">
        <f>Previdencia!$I28/30</f>
        <v>350</v>
      </c>
      <c r="K28" s="41">
        <f>IF(Previdencia!$H28="Sim",Previdencia!$J28*Previdencia!$G28,Previdencia!$I28)</f>
        <v>10500</v>
      </c>
    </row>
    <row r="29" spans="1:19" ht="15" hidden="1" customHeight="1" x14ac:dyDescent="0.2">
      <c r="C29" s="55">
        <v>45901</v>
      </c>
      <c r="D29" s="54" t="s">
        <v>179</v>
      </c>
      <c r="E29" s="51">
        <v>45901</v>
      </c>
      <c r="F29" s="51">
        <v>45930</v>
      </c>
      <c r="G29" s="50">
        <f>_xlfn.DAYS(Previdencia!$F29,Previdencia!$E29)+1</f>
        <v>30</v>
      </c>
      <c r="H29" s="50" t="s">
        <v>176</v>
      </c>
      <c r="I29" s="49">
        <v>10500</v>
      </c>
      <c r="J29" s="48">
        <f>Previdencia!$I29/30</f>
        <v>350</v>
      </c>
      <c r="K29" s="47">
        <f>IF(Previdencia!$H29="Sim",Previdencia!$J29*Previdencia!$G29,Previdencia!$I29)</f>
        <v>10500</v>
      </c>
    </row>
    <row r="30" spans="1:19" ht="15" hidden="1" customHeight="1" x14ac:dyDescent="0.2">
      <c r="C30" s="46">
        <v>45931</v>
      </c>
      <c r="D30" s="52" t="s">
        <v>179</v>
      </c>
      <c r="E30" s="45">
        <v>45931</v>
      </c>
      <c r="F30" s="45">
        <v>45961</v>
      </c>
      <c r="G30" s="44">
        <f>_xlfn.DAYS(Previdencia!$F30,Previdencia!$E30)+1</f>
        <v>31</v>
      </c>
      <c r="H30" s="44" t="s">
        <v>176</v>
      </c>
      <c r="I30" s="43">
        <v>10500</v>
      </c>
      <c r="J30" s="42">
        <f>Previdencia!$I30/30</f>
        <v>350</v>
      </c>
      <c r="K30" s="41">
        <f>IF(Previdencia!$H30="Sim",Previdencia!$J30*Previdencia!$G30,Previdencia!$I30)</f>
        <v>10500</v>
      </c>
    </row>
    <row r="31" spans="1:19" ht="15" hidden="1" customHeight="1" x14ac:dyDescent="0.2">
      <c r="C31" s="55">
        <v>45962</v>
      </c>
      <c r="D31" s="54" t="s">
        <v>179</v>
      </c>
      <c r="E31" s="51">
        <v>45962</v>
      </c>
      <c r="F31" s="51">
        <v>45991</v>
      </c>
      <c r="G31" s="50">
        <f>_xlfn.DAYS(Previdencia!$F31,Previdencia!$E31)+1</f>
        <v>30</v>
      </c>
      <c r="H31" s="50" t="s">
        <v>176</v>
      </c>
      <c r="I31" s="49">
        <v>10500</v>
      </c>
      <c r="J31" s="48">
        <f>Previdencia!$I31/30</f>
        <v>350</v>
      </c>
      <c r="K31" s="47">
        <f>IF(Previdencia!$H31="Sim",Previdencia!$J31*Previdencia!$G31,Previdencia!$I31)</f>
        <v>10500</v>
      </c>
    </row>
    <row r="32" spans="1:19" ht="15" hidden="1" customHeight="1" x14ac:dyDescent="0.2">
      <c r="A32" s="53"/>
      <c r="B32" s="39"/>
      <c r="C32" s="46">
        <v>45992</v>
      </c>
      <c r="D32" s="52" t="s">
        <v>179</v>
      </c>
      <c r="E32" s="45">
        <v>45992</v>
      </c>
      <c r="F32" s="45">
        <v>46022</v>
      </c>
      <c r="G32" s="44">
        <f>_xlfn.DAYS(Previdencia!$F32,Previdencia!$E32)+1</f>
        <v>31</v>
      </c>
      <c r="H32" s="44" t="s">
        <v>176</v>
      </c>
      <c r="I32" s="43">
        <v>10500</v>
      </c>
      <c r="J32" s="42">
        <f>Previdencia!$I32/30</f>
        <v>350</v>
      </c>
      <c r="K32" s="41">
        <f>IF(Previdencia!$H32="Sim",Previdencia!$J32*Previdencia!$G32,Previdencia!$I32)</f>
        <v>10500</v>
      </c>
    </row>
    <row r="33" spans="3:13" x14ac:dyDescent="0.2">
      <c r="C33" s="46">
        <v>46023</v>
      </c>
      <c r="D33" s="49" t="s">
        <v>179</v>
      </c>
      <c r="E33" s="51">
        <v>46023</v>
      </c>
      <c r="F33" s="51">
        <v>46053</v>
      </c>
      <c r="G33" s="50">
        <f>_xlfn.DAYS(Previdencia!$F33,Previdencia!$E33)+1</f>
        <v>31</v>
      </c>
      <c r="H33" s="50" t="s">
        <v>176</v>
      </c>
      <c r="I33" s="49">
        <v>10500</v>
      </c>
      <c r="J33" s="48">
        <f>Previdencia!$I33/30</f>
        <v>350</v>
      </c>
      <c r="K33" s="47">
        <f>IF(Previdencia!$H33="Sim",Previdencia!$J33*Previdencia!$G33,Previdencia!$I33)</f>
        <v>10500</v>
      </c>
    </row>
    <row r="34" spans="3:13" x14ac:dyDescent="0.2">
      <c r="C34" s="46">
        <v>46054</v>
      </c>
      <c r="D34" s="43" t="s">
        <v>179</v>
      </c>
      <c r="E34" s="45">
        <v>46054</v>
      </c>
      <c r="F34" s="45">
        <v>46081</v>
      </c>
      <c r="G34" s="44">
        <f>_xlfn.DAYS(Previdencia!$F34,Previdencia!$E34)+1</f>
        <v>28</v>
      </c>
      <c r="H34" s="44" t="s">
        <v>176</v>
      </c>
      <c r="I34" s="43">
        <v>11095.7</v>
      </c>
      <c r="J34" s="42">
        <f>Previdencia!$I34/30</f>
        <v>369.85666666666668</v>
      </c>
      <c r="K34" s="41">
        <f>IF(Previdencia!$H34="Sim",Previdencia!$J34*Previdencia!$G34,Previdencia!$I34)</f>
        <v>11095.7</v>
      </c>
    </row>
    <row r="35" spans="3:13" x14ac:dyDescent="0.2">
      <c r="C35" s="46">
        <v>46082</v>
      </c>
      <c r="D35" s="49" t="s">
        <v>179</v>
      </c>
      <c r="E35" s="51">
        <v>46082</v>
      </c>
      <c r="F35" s="51">
        <v>46112</v>
      </c>
      <c r="G35" s="50">
        <f>_xlfn.DAYS(Previdencia!$F35,Previdencia!$E35)+1</f>
        <v>31</v>
      </c>
      <c r="H35" s="50" t="s">
        <v>176</v>
      </c>
      <c r="I35" s="49">
        <v>11792.56</v>
      </c>
      <c r="J35" s="48">
        <f>Previdencia!$I35/30</f>
        <v>393.08533333333332</v>
      </c>
      <c r="K35" s="47">
        <f>IF(Previdencia!$H35="Sim",Previdencia!$J35*Previdencia!$G35,Previdencia!$I35)</f>
        <v>11792.56</v>
      </c>
    </row>
    <row r="36" spans="3:13" x14ac:dyDescent="0.2">
      <c r="C36" s="46">
        <v>46113</v>
      </c>
      <c r="D36" s="43" t="s">
        <v>179</v>
      </c>
      <c r="E36" s="45">
        <v>46113</v>
      </c>
      <c r="F36" s="45">
        <v>46142</v>
      </c>
      <c r="G36" s="44">
        <f>_xlfn.DAYS(Previdencia!$F36,Previdencia!$E36)+1</f>
        <v>30</v>
      </c>
      <c r="H36" s="44" t="s">
        <v>176</v>
      </c>
      <c r="I36" s="43">
        <v>10780.35</v>
      </c>
      <c r="J36" s="42">
        <f>Previdencia!$I36/30</f>
        <v>359.34500000000003</v>
      </c>
      <c r="K36" s="41">
        <f>IF(Previdencia!$H36="Sim",Previdencia!$J36*Previdencia!$G36,Previdencia!$I36)</f>
        <v>10780.35</v>
      </c>
    </row>
    <row r="37" spans="3:13" x14ac:dyDescent="0.2">
      <c r="C37" s="46">
        <v>46143</v>
      </c>
      <c r="D37" s="43" t="s">
        <v>179</v>
      </c>
      <c r="E37" s="45">
        <v>46143</v>
      </c>
      <c r="F37" s="45">
        <v>46173</v>
      </c>
      <c r="G37" s="44">
        <f>_xlfn.DAYS(Previdencia!$F37,Previdencia!$E37)+1</f>
        <v>31</v>
      </c>
      <c r="H37" s="44" t="s">
        <v>176</v>
      </c>
      <c r="I37" s="43">
        <v>11599.12</v>
      </c>
      <c r="J37" s="42">
        <f>Previdencia!$I37/30</f>
        <v>386.63733333333334</v>
      </c>
      <c r="K37" s="41">
        <f>IF(Previdencia!$H37="Sim",Previdencia!$J37*Previdencia!$G37,Previdencia!$I37)</f>
        <v>11599.12</v>
      </c>
      <c r="L37" s="1"/>
      <c r="M37" s="1"/>
    </row>
    <row r="38" spans="3:13" x14ac:dyDescent="0.2">
      <c r="C38" s="46">
        <v>46174</v>
      </c>
      <c r="D38" s="43" t="s">
        <v>179</v>
      </c>
      <c r="E38" s="45">
        <v>46174</v>
      </c>
      <c r="F38" s="63">
        <v>46203</v>
      </c>
      <c r="G38" s="44">
        <f>_xlfn.DAYS(Previdencia!$F38,Previdencia!$E38)+1</f>
        <v>30</v>
      </c>
      <c r="H38" s="44" t="s">
        <v>176</v>
      </c>
      <c r="I38" s="1">
        <v>15793.22</v>
      </c>
      <c r="J38" s="62">
        <f>Previdencia!$I38/30</f>
        <v>526.44066666666663</v>
      </c>
      <c r="K38" s="1">
        <f>IF(Previdencia!$H38="Sim",Previdencia!$J38*Previdencia!$G38,Previdencia!$I38)</f>
        <v>15793.22</v>
      </c>
      <c r="L38" s="1"/>
      <c r="M38" s="1"/>
    </row>
    <row r="39" spans="3:13" ht="15" customHeight="1" x14ac:dyDescent="0.2">
      <c r="C39" s="5" t="s">
        <v>158</v>
      </c>
      <c r="J39" s="1"/>
      <c r="K39" s="1">
        <f>SUBTOTAL(109,Table1[Renda Tributável])</f>
        <v>71560.95</v>
      </c>
      <c r="L39" s="1"/>
      <c r="M39" s="1"/>
    </row>
    <row r="40" spans="3:13" ht="15" customHeight="1" x14ac:dyDescent="0.2">
      <c r="C40" s="1"/>
      <c r="D40" s="1"/>
      <c r="E40" s="1"/>
      <c r="F40" s="1"/>
      <c r="G40" s="1"/>
      <c r="H40" s="1"/>
      <c r="I40" s="1"/>
      <c r="J40" s="1"/>
      <c r="K40" s="1"/>
      <c r="L40" s="1"/>
      <c r="M40" s="1"/>
    </row>
    <row r="41" spans="3:13" ht="15" customHeight="1" x14ac:dyDescent="0.2">
      <c r="C41" s="1"/>
      <c r="D41" s="1"/>
      <c r="E41" s="1"/>
      <c r="F41" s="1"/>
      <c r="G41" s="1"/>
      <c r="H41" s="1"/>
      <c r="I41" s="1"/>
      <c r="J41" s="1"/>
      <c r="K41" s="1"/>
      <c r="L41" s="1"/>
      <c r="M41" s="1"/>
    </row>
    <row r="42" spans="3:13" ht="15" customHeight="1" x14ac:dyDescent="0.2">
      <c r="C42" s="1"/>
      <c r="D42" s="1"/>
      <c r="E42" s="1"/>
      <c r="F42" s="1"/>
      <c r="G42" s="1"/>
      <c r="H42" s="1"/>
      <c r="I42" s="1"/>
      <c r="J42" s="1"/>
      <c r="K42" s="1"/>
      <c r="L42" s="1"/>
      <c r="M42" s="1"/>
    </row>
    <row r="43" spans="3:13" ht="15" customHeight="1" x14ac:dyDescent="0.2">
      <c r="C43" s="1"/>
      <c r="D43" s="1"/>
      <c r="E43" s="1"/>
      <c r="F43" s="1"/>
      <c r="G43" s="1"/>
      <c r="H43" s="1"/>
      <c r="I43" s="1"/>
      <c r="J43" s="1"/>
      <c r="K43" s="1"/>
      <c r="L43" s="1"/>
      <c r="M43" s="1"/>
    </row>
    <row r="44" spans="3:13" ht="15" customHeight="1" x14ac:dyDescent="0.2">
      <c r="C44" s="1"/>
      <c r="D44" s="1"/>
      <c r="E44" s="1"/>
      <c r="F44" s="1"/>
      <c r="G44" s="1"/>
      <c r="H44" s="1"/>
      <c r="I44" s="1"/>
      <c r="J44" s="1"/>
      <c r="K44" s="1"/>
      <c r="L44" s="1"/>
      <c r="M44" s="1"/>
    </row>
    <row r="45" spans="3:13" ht="15" customHeight="1" x14ac:dyDescent="0.2">
      <c r="C45" s="1"/>
      <c r="D45" s="1"/>
      <c r="E45" s="1"/>
      <c r="F45" s="1"/>
      <c r="G45" s="1"/>
      <c r="H45" s="1"/>
      <c r="I45" s="1"/>
      <c r="J45" s="1"/>
      <c r="K45" s="1"/>
    </row>
    <row r="46" spans="3:13" ht="15" customHeight="1" x14ac:dyDescent="0.2">
      <c r="C46" s="40"/>
      <c r="D46" s="39"/>
      <c r="E46" s="19"/>
      <c r="F46" s="19"/>
      <c r="G46" s="38"/>
      <c r="H46" s="38"/>
      <c r="K46" s="1"/>
    </row>
    <row r="47" spans="3:13" ht="15" customHeight="1" x14ac:dyDescent="0.2">
      <c r="C47" s="40"/>
      <c r="D47" s="39"/>
      <c r="E47" s="19"/>
      <c r="F47" s="19"/>
      <c r="G47" s="38"/>
      <c r="H47" s="38"/>
      <c r="K47" s="1"/>
    </row>
    <row r="48" spans="3:13" ht="15" customHeight="1" x14ac:dyDescent="0.2">
      <c r="C48" s="40"/>
      <c r="D48" s="39"/>
      <c r="E48" s="19"/>
      <c r="F48" s="19"/>
      <c r="G48" s="38"/>
      <c r="H48" s="38"/>
      <c r="K48" s="1"/>
    </row>
    <row r="49" spans="3:11" ht="15" customHeight="1" x14ac:dyDescent="0.2">
      <c r="C49" s="40"/>
      <c r="D49" s="39"/>
      <c r="E49" s="19"/>
      <c r="F49" s="19"/>
      <c r="G49" s="38"/>
      <c r="H49" s="38"/>
      <c r="K49" s="1"/>
    </row>
    <row r="50" spans="3:11" ht="15" customHeight="1" x14ac:dyDescent="0.2">
      <c r="C50" s="40"/>
      <c r="D50" s="39"/>
      <c r="E50" s="19"/>
      <c r="F50" s="19"/>
      <c r="G50" s="38"/>
      <c r="H50" s="38"/>
      <c r="K50" s="1"/>
    </row>
    <row r="51" spans="3:11" ht="15" customHeight="1" x14ac:dyDescent="0.2">
      <c r="C51" s="40"/>
      <c r="D51" s="39"/>
      <c r="E51" s="19"/>
      <c r="F51" s="19"/>
      <c r="G51" s="38"/>
      <c r="H51" s="38"/>
      <c r="K51" s="1"/>
    </row>
    <row r="52" spans="3:11" ht="15" customHeight="1" x14ac:dyDescent="0.2">
      <c r="C52" s="40"/>
      <c r="D52" s="39"/>
      <c r="E52" s="19"/>
      <c r="F52" s="19"/>
      <c r="G52" s="38"/>
      <c r="H52" s="38"/>
      <c r="K52" s="1"/>
    </row>
    <row r="53" spans="3:11" ht="15" customHeight="1" x14ac:dyDescent="0.2">
      <c r="C53" s="40"/>
      <c r="D53" s="39"/>
      <c r="E53" s="19"/>
      <c r="F53" s="19"/>
      <c r="G53" s="38"/>
      <c r="H53" s="38"/>
      <c r="K53" s="1"/>
    </row>
    <row r="54" spans="3:11" ht="15" customHeight="1" x14ac:dyDescent="0.2">
      <c r="C54" s="40"/>
      <c r="D54" s="39"/>
      <c r="E54" s="19"/>
      <c r="F54" s="19"/>
      <c r="G54" s="38"/>
      <c r="H54" s="38"/>
      <c r="K54" s="1"/>
    </row>
    <row r="55" spans="3:11" ht="15" customHeight="1" x14ac:dyDescent="0.2">
      <c r="C55" s="40"/>
      <c r="D55" s="39"/>
      <c r="E55" s="19"/>
      <c r="F55" s="19"/>
      <c r="G55" s="38"/>
      <c r="H55" s="38"/>
      <c r="K55" s="1"/>
    </row>
    <row r="56" spans="3:11" ht="15" customHeight="1" x14ac:dyDescent="0.2">
      <c r="C56" s="40"/>
      <c r="D56" s="39"/>
      <c r="E56" s="19"/>
      <c r="F56" s="19"/>
      <c r="G56" s="38"/>
      <c r="H56" s="38"/>
      <c r="K56" s="1"/>
    </row>
    <row r="57" spans="3:11" ht="15" customHeight="1" x14ac:dyDescent="0.2">
      <c r="C57" s="40"/>
      <c r="D57" s="39"/>
      <c r="E57" s="19"/>
      <c r="F57" s="19"/>
      <c r="G57" s="38"/>
      <c r="H57" s="38"/>
      <c r="K57" s="1"/>
    </row>
    <row r="58" spans="3:11" x14ac:dyDescent="0.2">
      <c r="C58" s="40"/>
      <c r="D58" s="39"/>
      <c r="E58" s="19"/>
      <c r="F58" s="19"/>
      <c r="G58" s="38"/>
      <c r="H58" s="38"/>
      <c r="K58" s="1"/>
    </row>
    <row r="59" spans="3:11" x14ac:dyDescent="0.2">
      <c r="C59" s="40"/>
      <c r="D59" s="39"/>
      <c r="E59" s="19"/>
      <c r="F59" s="19"/>
      <c r="G59" s="38"/>
      <c r="H59" s="38"/>
      <c r="K59" s="1"/>
    </row>
    <row r="60" spans="3:11" x14ac:dyDescent="0.2">
      <c r="C60" s="40"/>
      <c r="D60" s="39"/>
      <c r="E60" s="19"/>
      <c r="F60" s="19"/>
      <c r="G60" s="38"/>
      <c r="H60" s="38"/>
      <c r="K60" s="1"/>
    </row>
    <row r="61" spans="3:11" x14ac:dyDescent="0.2">
      <c r="C61" s="40"/>
      <c r="D61" s="39"/>
      <c r="E61" s="19"/>
      <c r="F61" s="19"/>
      <c r="G61" s="38"/>
      <c r="H61" s="38"/>
      <c r="K61" s="1"/>
    </row>
    <row r="62" spans="3:11" x14ac:dyDescent="0.2">
      <c r="C62" s="40"/>
      <c r="D62" s="39"/>
      <c r="E62" s="19"/>
      <c r="F62" s="19"/>
      <c r="G62" s="38"/>
      <c r="H62" s="38"/>
      <c r="K62" s="1"/>
    </row>
  </sheetData>
  <mergeCells count="3">
    <mergeCell ref="C7:E7"/>
    <mergeCell ref="C17:K17"/>
    <mergeCell ref="C2:D2"/>
  </mergeCells>
  <pageMargins left="0.7" right="0.7" top="0.75" bottom="0.75" header="0.3" footer="0.3"/>
  <pageSetup paperSize="9" orientation="portrait" horizontalDpi="0" verticalDpi="0"/>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Investimentos_Main</vt:lpstr>
      <vt:lpstr>Investimentos_Porcent</vt:lpstr>
      <vt:lpstr>Cotacoes</vt:lpstr>
      <vt:lpstr>Graficos</vt:lpstr>
      <vt:lpstr>Tables_Atual_Ideal</vt:lpstr>
      <vt:lpstr>Gastos_Mensais</vt:lpstr>
      <vt:lpstr>Previdencia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Henriques</dc:creator>
  <cp:lastModifiedBy>NETO Fernando</cp:lastModifiedBy>
  <dcterms:created xsi:type="dcterms:W3CDTF">2023-05-30T15:04:07Z</dcterms:created>
  <dcterms:modified xsi:type="dcterms:W3CDTF">2026-07-11T05:49:59Z</dcterms:modified>
</cp:coreProperties>
</file>