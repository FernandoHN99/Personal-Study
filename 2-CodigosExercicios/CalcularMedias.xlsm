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rnandohenriques/Documents/Dev/Personal-Study/Personal-Study_Excel/2-CodigosExercicios/"/>
    </mc:Choice>
  </mc:AlternateContent>
  <xr:revisionPtr revIDLastSave="0" documentId="13_ncr:1_{5F58DE14-BFC2-2F46-964F-01159233104D}" xr6:coauthVersionLast="47" xr6:coauthVersionMax="47" xr10:uidLastSave="{00000000-0000-0000-0000-000000000000}"/>
  <bookViews>
    <workbookView xWindow="0" yWindow="500" windowWidth="25600" windowHeight="15500" activeTab="7" xr2:uid="{3DCC1F04-22A2-45B8-AB94-37A04B4BCBF8}"/>
  </bookViews>
  <sheets>
    <sheet name="Base" sheetId="1" r:id="rId1"/>
    <sheet name="Arquitetura" sheetId="2" r:id="rId2"/>
    <sheet name="LP2" sheetId="3" r:id="rId3"/>
    <sheet name="Redes" sheetId="5" r:id="rId4"/>
    <sheet name="BancoDeDados" sheetId="7" r:id="rId5"/>
    <sheet name="Microcontroladores" sheetId="8" r:id="rId6"/>
    <sheet name="Empreendedorismo" sheetId="9" r:id="rId7"/>
    <sheet name="EngenhariaSoftware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C7" i="1"/>
  <c r="C6" i="1"/>
  <c r="C5" i="1"/>
  <c r="C4" i="1"/>
  <c r="D10" i="1"/>
  <c r="D9" i="1"/>
  <c r="D8" i="1"/>
  <c r="D7" i="1"/>
  <c r="D6" i="1"/>
  <c r="D5" i="1"/>
  <c r="D4" i="1"/>
  <c r="C7" i="11"/>
  <c r="B3" i="11"/>
  <c r="C7" i="5"/>
  <c r="B5" i="9"/>
  <c r="C7" i="9" s="1"/>
  <c r="B4" i="8"/>
  <c r="C7" i="8" s="1"/>
  <c r="B3" i="7"/>
  <c r="C7" i="7" s="1"/>
  <c r="B3" i="5"/>
  <c r="B3" i="3"/>
  <c r="C7" i="3" s="1"/>
  <c r="B3" i="2"/>
  <c r="C7" i="2" s="1"/>
</calcChain>
</file>

<file path=xl/sharedStrings.xml><?xml version="1.0" encoding="utf-8"?>
<sst xmlns="http://schemas.openxmlformats.org/spreadsheetml/2006/main" count="102" uniqueCount="34">
  <si>
    <t>p1</t>
  </si>
  <si>
    <t>p2</t>
  </si>
  <si>
    <t>p3</t>
  </si>
  <si>
    <t>p4</t>
  </si>
  <si>
    <t>t1</t>
  </si>
  <si>
    <t>t2</t>
  </si>
  <si>
    <t>Peso Prova</t>
  </si>
  <si>
    <t>Peso Trabalho</t>
  </si>
  <si>
    <t>MÉDIA</t>
  </si>
  <si>
    <t>DESEJADO</t>
  </si>
  <si>
    <t>Peso 1 Semestre</t>
  </si>
  <si>
    <t>Peso 2 Semestre</t>
  </si>
  <si>
    <t>Materia</t>
  </si>
  <si>
    <t>Média</t>
  </si>
  <si>
    <t>Arquitetura</t>
  </si>
  <si>
    <t>t3</t>
  </si>
  <si>
    <t>t4</t>
  </si>
  <si>
    <t xml:space="preserve">  </t>
  </si>
  <si>
    <t/>
  </si>
  <si>
    <t>Peso  T1</t>
  </si>
  <si>
    <t>Peso  T2</t>
  </si>
  <si>
    <t>Peso  T3</t>
  </si>
  <si>
    <t>Peso  T4</t>
  </si>
  <si>
    <t>t5</t>
  </si>
  <si>
    <t>t6</t>
  </si>
  <si>
    <t>t7</t>
  </si>
  <si>
    <t>t8</t>
  </si>
  <si>
    <t>LP2</t>
  </si>
  <si>
    <t>Redes de Computadores</t>
  </si>
  <si>
    <t>Banco de Dados</t>
  </si>
  <si>
    <t>Microcontroladores</t>
  </si>
  <si>
    <t>Empreendedorismo</t>
  </si>
  <si>
    <t>Engenharia de Software</t>
  </si>
  <si>
    <t>Nota Principal 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</si>
</sst>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4" borderId="3" xfId="0" applyFill="1" applyBorder="1"/>
    <xf numFmtId="0" fontId="0" fillId="4" borderId="1" xfId="0" applyFill="1" applyBorder="1" applyAlignment="1">
      <alignment horizontal="left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5" borderId="15" xfId="0" applyNumberFormat="1" applyFill="1" applyBorder="1" applyAlignment="1">
      <alignment horizontal="center"/>
    </xf>
    <xf numFmtId="164" fontId="0" fillId="5" borderId="16" xfId="0" applyNumberFormat="1" applyFill="1" applyBorder="1" applyAlignment="1">
      <alignment horizontal="center"/>
    </xf>
    <xf numFmtId="0" fontId="0" fillId="0" borderId="0" xfId="0" quotePrefix="1"/>
    <xf numFmtId="0" fontId="0" fillId="3" borderId="8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164" fontId="0" fillId="3" borderId="26" xfId="0" applyNumberFormat="1" applyFill="1" applyBorder="1" applyAlignment="1">
      <alignment horizontal="center"/>
    </xf>
    <xf numFmtId="164" fontId="0" fillId="5" borderId="27" xfId="0" applyNumberFormat="1" applyFill="1" applyBorder="1" applyAlignment="1">
      <alignment horizontal="center"/>
    </xf>
    <xf numFmtId="164" fontId="0" fillId="5" borderId="21" xfId="0" applyNumberFormat="1" applyFill="1" applyBorder="1" applyAlignment="1">
      <alignment horizontal="center"/>
    </xf>
    <xf numFmtId="164" fontId="0" fillId="5" borderId="31" xfId="0" applyNumberFormat="1" applyFill="1" applyBorder="1" applyAlignment="1">
      <alignment horizontal="center"/>
    </xf>
    <xf numFmtId="164" fontId="0" fillId="5" borderId="32" xfId="0" applyNumberForma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30" xfId="0" applyFill="1" applyBorder="1" applyAlignment="1">
      <alignment horizontal="center"/>
    </xf>
  </cellXfs>
  <cellStyles count="1">
    <cellStyle name="Normal" xfId="0" builtinId="0"/>
  </cellStyles>
  <dxfs count="7">
    <dxf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</xdr:row>
          <xdr:rowOff>88900</xdr:rowOff>
        </xdr:from>
        <xdr:to>
          <xdr:col>8</xdr:col>
          <xdr:colOff>177800</xdr:colOff>
          <xdr:row>7</xdr:row>
          <xdr:rowOff>63500</xdr:rowOff>
        </xdr:to>
        <xdr:sp macro="" textlink="">
          <xdr:nvSpPr>
            <xdr:cNvPr id="2049" name="Button 1" descr="Calcular Médi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P4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</xdr:row>
          <xdr:rowOff>88900</xdr:rowOff>
        </xdr:from>
        <xdr:to>
          <xdr:col>8</xdr:col>
          <xdr:colOff>177800</xdr:colOff>
          <xdr:row>7</xdr:row>
          <xdr:rowOff>63500</xdr:rowOff>
        </xdr:to>
        <xdr:sp macro="" textlink="">
          <xdr:nvSpPr>
            <xdr:cNvPr id="3073" name="Button 1" descr="Calcular Médi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P4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38100</xdr:rowOff>
        </xdr:from>
        <xdr:to>
          <xdr:col>7</xdr:col>
          <xdr:colOff>546100</xdr:colOff>
          <xdr:row>7</xdr:row>
          <xdr:rowOff>12700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P2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</xdr:row>
          <xdr:rowOff>88900</xdr:rowOff>
        </xdr:from>
        <xdr:to>
          <xdr:col>8</xdr:col>
          <xdr:colOff>177800</xdr:colOff>
          <xdr:row>7</xdr:row>
          <xdr:rowOff>63500</xdr:rowOff>
        </xdr:to>
        <xdr:sp macro="" textlink="">
          <xdr:nvSpPr>
            <xdr:cNvPr id="7169" name="Button 1" descr="Calcular Média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P4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5</xdr:row>
          <xdr:rowOff>127000</xdr:rowOff>
        </xdr:from>
        <xdr:to>
          <xdr:col>6</xdr:col>
          <xdr:colOff>596900</xdr:colOff>
          <xdr:row>7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T3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4</xdr:row>
          <xdr:rowOff>127000</xdr:rowOff>
        </xdr:from>
        <xdr:to>
          <xdr:col>6</xdr:col>
          <xdr:colOff>596900</xdr:colOff>
          <xdr:row>6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T4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38100</xdr:rowOff>
        </xdr:from>
        <xdr:to>
          <xdr:col>7</xdr:col>
          <xdr:colOff>546100</xdr:colOff>
          <xdr:row>7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P2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BEDEF1-316C-3542-AF38-46019C0C2148}" name="Table1" displayName="Table1" ref="B3:D10" totalsRowShown="0" headerRowDxfId="6" dataDxfId="4" headerRowBorderDxfId="5" tableBorderDxfId="3">
  <autoFilter ref="B3:D10" xr:uid="{6EBEDEF1-316C-3542-AF38-46019C0C2148}">
    <filterColumn colId="0" hiddenButton="1"/>
    <filterColumn colId="1" hiddenButton="1"/>
    <filterColumn colId="2" hiddenButton="1"/>
  </autoFilter>
  <tableColumns count="3">
    <tableColumn id="1" xr3:uid="{8A4CD230-5729-F04A-ACD9-3B1BA538FB7E}" name="Materia" dataDxfId="2"/>
    <tableColumn id="2" xr3:uid="{EFBD3190-2C85-8548-8EFD-D956A255B294}" name="Nota Principal Pendente" dataDxfId="1"/>
    <tableColumn id="3" xr3:uid="{EF837E7E-489C-D443-BA70-2BA0C54696D8}" name="Média" dataDxfId="0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A52A8-44E3-4805-AD46-D2FEB9017788}">
  <sheetPr codeName="Sheet1"/>
  <dimension ref="B3:D10"/>
  <sheetViews>
    <sheetView zoomScale="163" zoomScaleNormal="85" workbookViewId="0">
      <selection activeCell="C17" sqref="C17"/>
    </sheetView>
  </sheetViews>
  <sheetFormatPr baseColWidth="10" defaultColWidth="8.83203125" defaultRowHeight="15" x14ac:dyDescent="0.2"/>
  <cols>
    <col min="1" max="1" width="15" customWidth="1"/>
    <col min="2" max="2" width="19.33203125" bestFit="1" customWidth="1"/>
    <col min="3" max="3" width="20.83203125" customWidth="1"/>
    <col min="4" max="4" width="12.33203125" customWidth="1"/>
  </cols>
  <sheetData>
    <row r="3" spans="2:4" ht="16" thickBot="1" x14ac:dyDescent="0.25">
      <c r="B3" s="15" t="s">
        <v>12</v>
      </c>
      <c r="C3" s="53" t="s">
        <v>33</v>
      </c>
      <c r="D3" s="14" t="s">
        <v>13</v>
      </c>
    </row>
    <row r="4" spans="2:4" x14ac:dyDescent="0.2">
      <c r="B4" s="54" t="s">
        <v>14</v>
      </c>
      <c r="C4" s="30">
        <f>Arquitetura!H3</f>
        <v>0</v>
      </c>
      <c r="D4" s="49">
        <f>Arquitetura!C8</f>
        <v>6</v>
      </c>
    </row>
    <row r="5" spans="2:4" x14ac:dyDescent="0.2">
      <c r="B5" s="55" t="s">
        <v>27</v>
      </c>
      <c r="C5" s="31">
        <f>'LP2'!H3</f>
        <v>0</v>
      </c>
      <c r="D5" s="50">
        <f>'LP2'!C8</f>
        <v>6</v>
      </c>
    </row>
    <row r="6" spans="2:4" x14ac:dyDescent="0.2">
      <c r="B6" s="55" t="s">
        <v>28</v>
      </c>
      <c r="C6" s="31">
        <f>Redes!F3</f>
        <v>0</v>
      </c>
      <c r="D6" s="50">
        <f>Redes!C8</f>
        <v>6</v>
      </c>
    </row>
    <row r="7" spans="2:4" x14ac:dyDescent="0.2">
      <c r="B7" s="55" t="s">
        <v>29</v>
      </c>
      <c r="C7" s="31">
        <f>BancoDeDados!H3</f>
        <v>2.8571428571428474</v>
      </c>
      <c r="D7" s="50">
        <f>BancoDeDados!C8</f>
        <v>6</v>
      </c>
    </row>
    <row r="8" spans="2:4" ht="15" customHeight="1" x14ac:dyDescent="0.2">
      <c r="B8" s="55" t="s">
        <v>30</v>
      </c>
      <c r="C8" s="31">
        <f>Microcontroladores!G3</f>
        <v>0.6666666666666593</v>
      </c>
      <c r="D8" s="50">
        <f>Microcontroladores!C8</f>
        <v>6</v>
      </c>
    </row>
    <row r="9" spans="2:4" x14ac:dyDescent="0.2">
      <c r="B9" s="55" t="s">
        <v>31</v>
      </c>
      <c r="C9" s="31">
        <f>Empreendedorismo!H3</f>
        <v>0.33333333333333248</v>
      </c>
      <c r="D9" s="50">
        <f>Empreendedorismo!C8</f>
        <v>6</v>
      </c>
    </row>
    <row r="10" spans="2:4" x14ac:dyDescent="0.2">
      <c r="B10" s="56" t="s">
        <v>32</v>
      </c>
      <c r="C10" s="51">
        <f>EngenhariaSoftware!F3</f>
        <v>0.24999999999999822</v>
      </c>
      <c r="D10" s="52">
        <f>EngenhariaSoftware!C8</f>
        <v>6</v>
      </c>
    </row>
  </sheetData>
  <sheetProtection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469E7-39F4-5340-9C21-9099956F16E8}">
  <sheetPr codeName="Sheet2"/>
  <dimension ref="A1:J15"/>
  <sheetViews>
    <sheetView zoomScale="125" zoomScaleNormal="85" workbookViewId="0">
      <selection activeCell="C7" sqref="C7"/>
    </sheetView>
  </sheetViews>
  <sheetFormatPr baseColWidth="10" defaultColWidth="8.83203125" defaultRowHeight="15" x14ac:dyDescent="0.2"/>
  <cols>
    <col min="1" max="1" width="15" customWidth="1"/>
    <col min="2" max="2" width="12.5" customWidth="1"/>
  </cols>
  <sheetData>
    <row r="1" spans="1:10" ht="16" thickBot="1" x14ac:dyDescent="0.25"/>
    <row r="2" spans="1:10" ht="16" thickBot="1" x14ac:dyDescent="0.25">
      <c r="A2" s="8" t="s">
        <v>6</v>
      </c>
      <c r="B2" s="9">
        <v>0.5</v>
      </c>
      <c r="D2" s="1"/>
      <c r="E2" s="2" t="s">
        <v>0</v>
      </c>
      <c r="F2" s="3" t="s">
        <v>1</v>
      </c>
      <c r="G2" s="3" t="s">
        <v>2</v>
      </c>
      <c r="H2" s="3" t="s">
        <v>3</v>
      </c>
      <c r="I2" s="4" t="s">
        <v>4</v>
      </c>
      <c r="J2" s="5" t="s">
        <v>5</v>
      </c>
    </row>
    <row r="3" spans="1:10" ht="16" thickBot="1" x14ac:dyDescent="0.25">
      <c r="A3" s="10" t="s">
        <v>7</v>
      </c>
      <c r="B3" s="11">
        <f>1-B2</f>
        <v>0.5</v>
      </c>
      <c r="D3" s="1"/>
      <c r="E3" s="27">
        <v>8</v>
      </c>
      <c r="F3" s="25">
        <v>7</v>
      </c>
      <c r="G3" s="25">
        <v>10</v>
      </c>
      <c r="H3" s="25">
        <v>0</v>
      </c>
      <c r="I3" s="28">
        <v>6</v>
      </c>
      <c r="J3" s="29">
        <v>6</v>
      </c>
    </row>
    <row r="4" spans="1:10" x14ac:dyDescent="0.2">
      <c r="A4" s="12" t="s">
        <v>10</v>
      </c>
      <c r="B4" s="13">
        <v>2</v>
      </c>
      <c r="E4" s="32" t="s">
        <v>18</v>
      </c>
    </row>
    <row r="5" spans="1:10" ht="16" thickBot="1" x14ac:dyDescent="0.25">
      <c r="A5" s="14" t="s">
        <v>11</v>
      </c>
      <c r="B5" s="15">
        <v>3</v>
      </c>
    </row>
    <row r="6" spans="1:10" ht="16" thickBot="1" x14ac:dyDescent="0.25">
      <c r="B6" s="1"/>
      <c r="C6" s="1"/>
      <c r="D6" s="1"/>
      <c r="E6" s="1"/>
      <c r="F6" s="1"/>
      <c r="G6" s="1"/>
      <c r="H6" s="1"/>
      <c r="I6" s="1"/>
      <c r="J6" s="1"/>
    </row>
    <row r="7" spans="1:10" ht="16" thickBot="1" x14ac:dyDescent="0.25">
      <c r="B7" s="7" t="s">
        <v>8</v>
      </c>
      <c r="C7" s="24">
        <f>B2*((((E3+F3)/2)*B4)+(((G3+H3)/2)*B5))/(B4+B5) + B3*((I3+J3)/2)</f>
        <v>6</v>
      </c>
      <c r="D7" s="1"/>
      <c r="E7" s="1"/>
      <c r="F7" s="1"/>
      <c r="G7" s="1"/>
      <c r="H7" s="1"/>
      <c r="I7" s="1"/>
      <c r="J7" s="1"/>
    </row>
    <row r="8" spans="1:10" ht="15" customHeight="1" thickBot="1" x14ac:dyDescent="0.25">
      <c r="B8" s="6" t="s">
        <v>9</v>
      </c>
      <c r="C8" s="26">
        <v>6</v>
      </c>
      <c r="D8" s="1"/>
      <c r="E8" s="1"/>
      <c r="F8" s="1"/>
      <c r="G8" s="1"/>
      <c r="H8" s="1"/>
      <c r="I8" s="1"/>
      <c r="J8" s="1"/>
    </row>
    <row r="15" spans="1:10" x14ac:dyDescent="0.2">
      <c r="H15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r_Esforco_N4" altText="Calcular Média">
                <anchor moveWithCells="1" sizeWithCells="1">
                  <from>
                    <xdr:col>5</xdr:col>
                    <xdr:colOff>304800</xdr:colOff>
                    <xdr:row>5</xdr:row>
                    <xdr:rowOff>88900</xdr:rowOff>
                  </from>
                  <to>
                    <xdr:col>8</xdr:col>
                    <xdr:colOff>177800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675F7-D61D-6045-A8A1-8A54C4047DD3}">
  <sheetPr codeName="Sheet3"/>
  <dimension ref="A1:J15"/>
  <sheetViews>
    <sheetView zoomScale="125" zoomScaleNormal="85" workbookViewId="0">
      <selection activeCell="H4" sqref="H4"/>
    </sheetView>
  </sheetViews>
  <sheetFormatPr baseColWidth="10" defaultColWidth="8.83203125" defaultRowHeight="15" x14ac:dyDescent="0.2"/>
  <cols>
    <col min="1" max="1" width="15" customWidth="1"/>
    <col min="2" max="2" width="12.5" customWidth="1"/>
  </cols>
  <sheetData>
    <row r="1" spans="1:10" ht="16" thickBot="1" x14ac:dyDescent="0.25"/>
    <row r="2" spans="1:10" ht="16" thickBot="1" x14ac:dyDescent="0.25">
      <c r="A2" s="8" t="s">
        <v>6</v>
      </c>
      <c r="B2" s="9">
        <v>0.5</v>
      </c>
      <c r="D2" s="1"/>
      <c r="E2" s="2" t="s">
        <v>0</v>
      </c>
      <c r="F2" s="3" t="s">
        <v>1</v>
      </c>
      <c r="G2" s="3" t="s">
        <v>2</v>
      </c>
      <c r="H2" s="3" t="s">
        <v>3</v>
      </c>
      <c r="I2" s="4" t="s">
        <v>4</v>
      </c>
      <c r="J2" s="5" t="s">
        <v>5</v>
      </c>
    </row>
    <row r="3" spans="1:10" ht="16" thickBot="1" x14ac:dyDescent="0.25">
      <c r="A3" s="10" t="s">
        <v>7</v>
      </c>
      <c r="B3" s="11">
        <f>1-B2</f>
        <v>0.5</v>
      </c>
      <c r="D3" s="1"/>
      <c r="E3" s="27">
        <v>9</v>
      </c>
      <c r="F3" s="25">
        <v>9</v>
      </c>
      <c r="G3" s="25">
        <v>10</v>
      </c>
      <c r="H3" s="25">
        <v>0</v>
      </c>
      <c r="I3" s="28">
        <v>6</v>
      </c>
      <c r="J3" s="29">
        <v>6</v>
      </c>
    </row>
    <row r="4" spans="1:10" x14ac:dyDescent="0.2">
      <c r="A4" s="12" t="s">
        <v>10</v>
      </c>
      <c r="B4" s="13">
        <v>2</v>
      </c>
      <c r="E4" s="32" t="s">
        <v>18</v>
      </c>
    </row>
    <row r="5" spans="1:10" ht="16" thickBot="1" x14ac:dyDescent="0.25">
      <c r="A5" s="14" t="s">
        <v>11</v>
      </c>
      <c r="B5" s="15">
        <v>3</v>
      </c>
    </row>
    <row r="6" spans="1:10" ht="16" thickBot="1" x14ac:dyDescent="0.25">
      <c r="B6" s="1"/>
      <c r="C6" s="1"/>
      <c r="D6" s="1"/>
      <c r="E6" s="1"/>
      <c r="F6" s="1"/>
      <c r="G6" s="1"/>
      <c r="H6" s="1"/>
      <c r="I6" s="1"/>
      <c r="J6" s="1"/>
    </row>
    <row r="7" spans="1:10" ht="16" thickBot="1" x14ac:dyDescent="0.25">
      <c r="B7" s="7" t="s">
        <v>8</v>
      </c>
      <c r="C7" s="24">
        <f>B2*((((E3+F3)/2)*B4)+(((G3+H3)/2)*B5))/(B4+B5) + B3*((I3+J3)/2)</f>
        <v>6.3</v>
      </c>
      <c r="D7" s="1"/>
      <c r="E7" s="1"/>
      <c r="F7" s="1"/>
      <c r="G7" s="1"/>
      <c r="H7" s="1"/>
      <c r="I7" s="1"/>
      <c r="J7" s="1"/>
    </row>
    <row r="8" spans="1:10" ht="15" customHeight="1" thickBot="1" x14ac:dyDescent="0.25">
      <c r="B8" s="6" t="s">
        <v>9</v>
      </c>
      <c r="C8" s="26">
        <v>6</v>
      </c>
      <c r="D8" s="1"/>
      <c r="E8" s="1"/>
      <c r="F8" s="1"/>
      <c r="G8" s="1"/>
      <c r="H8" s="1"/>
      <c r="I8" s="1"/>
      <c r="J8" s="1"/>
    </row>
    <row r="15" spans="1:10" x14ac:dyDescent="0.2">
      <c r="H15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r_Esforco_N4" altText="Calcular Média">
                <anchor moveWithCells="1" sizeWithCells="1">
                  <from>
                    <xdr:col>5</xdr:col>
                    <xdr:colOff>304800</xdr:colOff>
                    <xdr:row>5</xdr:row>
                    <xdr:rowOff>88900</xdr:rowOff>
                  </from>
                  <to>
                    <xdr:col>8</xdr:col>
                    <xdr:colOff>177800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22275-7D8B-2D45-9CAE-DB3335778FDF}">
  <sheetPr codeName="Sheet5"/>
  <dimension ref="A1:J15"/>
  <sheetViews>
    <sheetView zoomScale="125" zoomScaleNormal="85" workbookViewId="0">
      <selection activeCell="F3" sqref="F3"/>
    </sheetView>
  </sheetViews>
  <sheetFormatPr baseColWidth="10" defaultColWidth="8.83203125" defaultRowHeight="15" x14ac:dyDescent="0.2"/>
  <cols>
    <col min="1" max="1" width="15" customWidth="1"/>
    <col min="2" max="2" width="12.5" customWidth="1"/>
  </cols>
  <sheetData>
    <row r="1" spans="1:10" ht="16" thickBot="1" x14ac:dyDescent="0.25"/>
    <row r="2" spans="1:10" ht="16" thickBot="1" x14ac:dyDescent="0.25">
      <c r="A2" s="20" t="s">
        <v>6</v>
      </c>
      <c r="B2" s="21">
        <v>0.6</v>
      </c>
      <c r="D2" s="1"/>
      <c r="E2" s="2" t="s">
        <v>0</v>
      </c>
      <c r="F2" s="3" t="s">
        <v>1</v>
      </c>
      <c r="G2" s="4" t="s">
        <v>4</v>
      </c>
      <c r="H2" s="4" t="s">
        <v>5</v>
      </c>
      <c r="I2" s="4" t="s">
        <v>15</v>
      </c>
      <c r="J2" s="4" t="s">
        <v>16</v>
      </c>
    </row>
    <row r="3" spans="1:10" ht="16" thickBot="1" x14ac:dyDescent="0.25">
      <c r="A3" s="22" t="s">
        <v>7</v>
      </c>
      <c r="B3" s="23">
        <f>1-B2</f>
        <v>0.4</v>
      </c>
      <c r="E3" s="27">
        <v>9.5</v>
      </c>
      <c r="F3" s="25">
        <v>0</v>
      </c>
      <c r="G3" s="43">
        <v>9.5</v>
      </c>
      <c r="H3" s="43">
        <v>10</v>
      </c>
      <c r="I3" s="43">
        <v>7</v>
      </c>
      <c r="J3" s="43">
        <v>6</v>
      </c>
    </row>
    <row r="4" spans="1:10" x14ac:dyDescent="0.2">
      <c r="A4" s="16" t="s">
        <v>10</v>
      </c>
      <c r="B4" s="17">
        <v>1</v>
      </c>
    </row>
    <row r="5" spans="1:10" ht="16" thickBot="1" x14ac:dyDescent="0.25">
      <c r="A5" s="18" t="s">
        <v>11</v>
      </c>
      <c r="B5" s="19">
        <v>1</v>
      </c>
      <c r="C5" s="1"/>
    </row>
    <row r="6" spans="1:10" ht="16" thickBot="1" x14ac:dyDescent="0.25"/>
    <row r="7" spans="1:10" ht="16" thickBot="1" x14ac:dyDescent="0.25">
      <c r="B7" s="7" t="s">
        <v>8</v>
      </c>
      <c r="C7" s="24">
        <f>(B4*((E3)*B2+((G3+H3)/2)*B3) + B5*(F3*B2+(((I3+J3)/2)*B3)))/(SUM(B4:B5))</f>
        <v>6.1000000000000005</v>
      </c>
    </row>
    <row r="8" spans="1:10" ht="16" thickBot="1" x14ac:dyDescent="0.25">
      <c r="B8" s="6" t="s">
        <v>9</v>
      </c>
      <c r="C8" s="26">
        <v>6</v>
      </c>
    </row>
    <row r="9" spans="1:10" ht="15" customHeight="1" x14ac:dyDescent="0.2"/>
    <row r="15" spans="1:10" x14ac:dyDescent="0.2">
      <c r="H15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alcular_Esforco_N2">
                <anchor moveWithCells="1" sizeWithCells="1">
                  <from>
                    <xdr:col>5</xdr:col>
                    <xdr:colOff>0</xdr:colOff>
                    <xdr:row>5</xdr:row>
                    <xdr:rowOff>38100</xdr:rowOff>
                  </from>
                  <to>
                    <xdr:col>7</xdr:col>
                    <xdr:colOff>546100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A53B2-3498-4246-A3E2-71F9E87CC008}">
  <sheetPr codeName="Sheet4"/>
  <dimension ref="A1:J15"/>
  <sheetViews>
    <sheetView zoomScale="125" zoomScaleNormal="85" workbookViewId="0">
      <selection activeCell="H21" sqref="H21"/>
    </sheetView>
  </sheetViews>
  <sheetFormatPr baseColWidth="10" defaultColWidth="8.83203125" defaultRowHeight="15" x14ac:dyDescent="0.2"/>
  <cols>
    <col min="1" max="1" width="15" customWidth="1"/>
    <col min="2" max="2" width="12.5" customWidth="1"/>
  </cols>
  <sheetData>
    <row r="1" spans="1:10" ht="16" thickBot="1" x14ac:dyDescent="0.25"/>
    <row r="2" spans="1:10" ht="16" thickBot="1" x14ac:dyDescent="0.25">
      <c r="A2" s="8" t="s">
        <v>6</v>
      </c>
      <c r="B2" s="9">
        <v>0.7</v>
      </c>
      <c r="D2" s="1"/>
      <c r="E2" s="2" t="s">
        <v>0</v>
      </c>
      <c r="F2" s="3" t="s">
        <v>1</v>
      </c>
      <c r="G2" s="3" t="s">
        <v>2</v>
      </c>
      <c r="H2" s="3" t="s">
        <v>3</v>
      </c>
      <c r="I2" s="4" t="s">
        <v>4</v>
      </c>
      <c r="J2" s="5" t="s">
        <v>5</v>
      </c>
    </row>
    <row r="3" spans="1:10" ht="16" thickBot="1" x14ac:dyDescent="0.25">
      <c r="A3" s="10" t="s">
        <v>7</v>
      </c>
      <c r="B3" s="11">
        <f>1-B2</f>
        <v>0.30000000000000004</v>
      </c>
      <c r="D3" s="1"/>
      <c r="E3" s="27">
        <v>7.5</v>
      </c>
      <c r="F3" s="25">
        <v>9</v>
      </c>
      <c r="G3" s="25">
        <v>4</v>
      </c>
      <c r="H3" s="25">
        <v>2.8571428571428474</v>
      </c>
      <c r="I3" s="28">
        <v>9</v>
      </c>
      <c r="J3" s="29">
        <v>6</v>
      </c>
    </row>
    <row r="4" spans="1:10" x14ac:dyDescent="0.2">
      <c r="A4" s="12" t="s">
        <v>10</v>
      </c>
      <c r="B4" s="13">
        <v>2</v>
      </c>
      <c r="E4" s="32" t="s">
        <v>18</v>
      </c>
    </row>
    <row r="5" spans="1:10" ht="16" thickBot="1" x14ac:dyDescent="0.25">
      <c r="A5" s="14" t="s">
        <v>11</v>
      </c>
      <c r="B5" s="15">
        <v>3</v>
      </c>
    </row>
    <row r="6" spans="1:10" ht="16" thickBot="1" x14ac:dyDescent="0.25">
      <c r="B6" s="1"/>
      <c r="C6" s="1"/>
      <c r="D6" s="1"/>
      <c r="E6" s="1"/>
      <c r="F6" s="1"/>
      <c r="G6" s="1"/>
      <c r="H6" s="1"/>
      <c r="I6" s="1"/>
      <c r="J6" s="1"/>
    </row>
    <row r="7" spans="1:10" ht="16" thickBot="1" x14ac:dyDescent="0.25">
      <c r="B7" s="7" t="s">
        <v>8</v>
      </c>
      <c r="C7" s="24">
        <f>B2*((((E3+F3)/2)*B4)+(((G3+H3)/2)*B5))/(B4+B5) + B3*((I3+J3)/2)</f>
        <v>5.9999999999999982</v>
      </c>
      <c r="D7" s="1"/>
      <c r="E7" s="1"/>
      <c r="F7" s="1"/>
      <c r="G7" s="1"/>
      <c r="H7" s="1"/>
      <c r="I7" s="1"/>
      <c r="J7" s="1"/>
    </row>
    <row r="8" spans="1:10" ht="15" customHeight="1" thickBot="1" x14ac:dyDescent="0.25">
      <c r="B8" s="6" t="s">
        <v>9</v>
      </c>
      <c r="C8" s="26">
        <v>6</v>
      </c>
      <c r="D8" s="1"/>
      <c r="E8" s="1"/>
      <c r="F8" s="1"/>
      <c r="G8" s="1"/>
      <c r="H8" s="1"/>
      <c r="I8" s="1"/>
      <c r="J8" s="1"/>
    </row>
    <row r="15" spans="1:10" x14ac:dyDescent="0.2">
      <c r="H15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r_Esforco_N4" altText="Calcular Média">
                <anchor moveWithCells="1" sizeWithCells="1">
                  <from>
                    <xdr:col>5</xdr:col>
                    <xdr:colOff>304800</xdr:colOff>
                    <xdr:row>5</xdr:row>
                    <xdr:rowOff>88900</xdr:rowOff>
                  </from>
                  <to>
                    <xdr:col>8</xdr:col>
                    <xdr:colOff>177800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3D449-841A-244F-B13E-CA3C3B30EC09}">
  <sheetPr codeName="Sheet6"/>
  <dimension ref="A1:G16"/>
  <sheetViews>
    <sheetView zoomScale="125" zoomScaleNormal="85" workbookViewId="0">
      <selection activeCell="G3" sqref="G3"/>
    </sheetView>
  </sheetViews>
  <sheetFormatPr baseColWidth="10" defaultColWidth="8.83203125" defaultRowHeight="15" x14ac:dyDescent="0.2"/>
  <cols>
    <col min="1" max="1" width="15" customWidth="1"/>
    <col min="2" max="2" width="12.5" customWidth="1"/>
    <col min="7" max="7" width="9.6640625" bestFit="1" customWidth="1"/>
  </cols>
  <sheetData>
    <row r="1" spans="1:7" ht="16" thickBot="1" x14ac:dyDescent="0.25"/>
    <row r="2" spans="1:7" ht="16" thickBot="1" x14ac:dyDescent="0.25">
      <c r="A2" s="36" t="s">
        <v>19</v>
      </c>
      <c r="B2" s="37">
        <v>0.4</v>
      </c>
      <c r="E2" s="33" t="s">
        <v>4</v>
      </c>
      <c r="F2" s="4" t="s">
        <v>5</v>
      </c>
      <c r="G2" s="5" t="s">
        <v>15</v>
      </c>
    </row>
    <row r="3" spans="1:7" ht="16" thickBot="1" x14ac:dyDescent="0.25">
      <c r="A3" s="38" t="s">
        <v>20</v>
      </c>
      <c r="B3" s="39">
        <v>0.3</v>
      </c>
      <c r="D3" s="1"/>
      <c r="E3" s="42">
        <v>10</v>
      </c>
      <c r="F3" s="43">
        <v>6</v>
      </c>
      <c r="G3" s="44">
        <v>0.6666666666666593</v>
      </c>
    </row>
    <row r="4" spans="1:7" ht="16" thickBot="1" x14ac:dyDescent="0.25">
      <c r="A4" s="40" t="s">
        <v>21</v>
      </c>
      <c r="B4" s="41">
        <f>1-(B2+B3)</f>
        <v>0.30000000000000004</v>
      </c>
    </row>
    <row r="6" spans="1:7" ht="16" thickBot="1" x14ac:dyDescent="0.25">
      <c r="C6" s="1"/>
    </row>
    <row r="7" spans="1:7" ht="16" thickBot="1" x14ac:dyDescent="0.25">
      <c r="B7" s="7" t="s">
        <v>8</v>
      </c>
      <c r="C7" s="24">
        <f>E3*B2+F3*B3+G3*B4</f>
        <v>5.9999999999999973</v>
      </c>
    </row>
    <row r="8" spans="1:7" ht="16" thickBot="1" x14ac:dyDescent="0.25">
      <c r="B8" s="6" t="s">
        <v>9</v>
      </c>
      <c r="C8" s="26">
        <v>6</v>
      </c>
    </row>
    <row r="10" spans="1:7" ht="15" customHeight="1" x14ac:dyDescent="0.2"/>
    <row r="16" spans="1:7" x14ac:dyDescent="0.2">
      <c r="F16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lcular_Esforco_N3">
                <anchor moveWithCells="1" sizeWithCells="1">
                  <from>
                    <xdr:col>4</xdr:col>
                    <xdr:colOff>165100</xdr:colOff>
                    <xdr:row>5</xdr:row>
                    <xdr:rowOff>127000</xdr:rowOff>
                  </from>
                  <to>
                    <xdr:col>6</xdr:col>
                    <xdr:colOff>596900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6E4C-82B9-3649-8285-B56D72DD85DF}">
  <sheetPr codeName="Sheet7"/>
  <dimension ref="A1:H15"/>
  <sheetViews>
    <sheetView zoomScale="125" zoomScaleNormal="85" workbookViewId="0">
      <selection activeCell="I18" sqref="I18"/>
    </sheetView>
  </sheetViews>
  <sheetFormatPr baseColWidth="10" defaultColWidth="8.83203125" defaultRowHeight="15" x14ac:dyDescent="0.2"/>
  <cols>
    <col min="1" max="1" width="15" customWidth="1"/>
    <col min="2" max="2" width="12.5" customWidth="1"/>
    <col min="7" max="7" width="9.6640625" bestFit="1" customWidth="1"/>
    <col min="8" max="8" width="9.6640625" customWidth="1"/>
  </cols>
  <sheetData>
    <row r="1" spans="1:8" ht="16" thickBot="1" x14ac:dyDescent="0.25"/>
    <row r="2" spans="1:8" x14ac:dyDescent="0.2">
      <c r="A2" s="36" t="s">
        <v>19</v>
      </c>
      <c r="B2" s="37">
        <v>0.2</v>
      </c>
      <c r="E2" s="45" t="s">
        <v>4</v>
      </c>
      <c r="F2" s="34" t="s">
        <v>5</v>
      </c>
      <c r="G2" s="34" t="s">
        <v>15</v>
      </c>
      <c r="H2" s="46" t="s">
        <v>16</v>
      </c>
    </row>
    <row r="3" spans="1:8" ht="16" thickBot="1" x14ac:dyDescent="0.25">
      <c r="A3" s="38" t="s">
        <v>20</v>
      </c>
      <c r="B3" s="39">
        <v>0.2</v>
      </c>
      <c r="D3" s="1"/>
      <c r="E3" s="47">
        <v>9</v>
      </c>
      <c r="F3" s="35">
        <v>8.5</v>
      </c>
      <c r="G3" s="35">
        <v>8</v>
      </c>
      <c r="H3" s="48">
        <v>0.33333333333333248</v>
      </c>
    </row>
    <row r="4" spans="1:8" x14ac:dyDescent="0.2">
      <c r="A4" s="38" t="s">
        <v>21</v>
      </c>
      <c r="B4" s="39">
        <v>0.3</v>
      </c>
    </row>
    <row r="5" spans="1:8" ht="16" thickBot="1" x14ac:dyDescent="0.25">
      <c r="A5" s="40" t="s">
        <v>22</v>
      </c>
      <c r="B5" s="41">
        <f>1-(SUM(B2:B4))</f>
        <v>0.30000000000000004</v>
      </c>
      <c r="C5" s="1"/>
    </row>
    <row r="6" spans="1:8" ht="16" thickBot="1" x14ac:dyDescent="0.25"/>
    <row r="7" spans="1:8" ht="16" thickBot="1" x14ac:dyDescent="0.25">
      <c r="B7" s="7" t="s">
        <v>8</v>
      </c>
      <c r="C7" s="24">
        <f>E3*B2+F3*B3+G3*B4+H3*B5</f>
        <v>6</v>
      </c>
    </row>
    <row r="8" spans="1:8" ht="16" thickBot="1" x14ac:dyDescent="0.25">
      <c r="B8" s="6" t="s">
        <v>9</v>
      </c>
      <c r="C8" s="26">
        <v>6</v>
      </c>
    </row>
    <row r="9" spans="1:8" ht="15" customHeight="1" x14ac:dyDescent="0.2"/>
    <row r="15" spans="1:8" x14ac:dyDescent="0.2">
      <c r="F15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alcular_Esforco_N4">
                <anchor moveWithCells="1" sizeWithCells="1">
                  <from>
                    <xdr:col>4</xdr:col>
                    <xdr:colOff>165100</xdr:colOff>
                    <xdr:row>4</xdr:row>
                    <xdr:rowOff>127000</xdr:rowOff>
                  </from>
                  <to>
                    <xdr:col>6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EB0DE-1307-134F-BB6C-ECA541662D03}">
  <sheetPr codeName="Sheet8"/>
  <dimension ref="A1:N15"/>
  <sheetViews>
    <sheetView tabSelected="1" zoomScale="125" zoomScaleNormal="85" workbookViewId="0">
      <selection activeCell="G14" sqref="G14"/>
    </sheetView>
  </sheetViews>
  <sheetFormatPr baseColWidth="10" defaultColWidth="8.83203125" defaultRowHeight="15" x14ac:dyDescent="0.2"/>
  <cols>
    <col min="1" max="1" width="15" customWidth="1"/>
    <col min="2" max="2" width="12.5" customWidth="1"/>
  </cols>
  <sheetData>
    <row r="1" spans="1:14" ht="16" thickBot="1" x14ac:dyDescent="0.25"/>
    <row r="2" spans="1:14" ht="16" thickBot="1" x14ac:dyDescent="0.25">
      <c r="A2" s="20" t="s">
        <v>6</v>
      </c>
      <c r="B2" s="21">
        <v>0.6</v>
      </c>
      <c r="D2" s="1"/>
      <c r="E2" s="2" t="s">
        <v>0</v>
      </c>
      <c r="F2" s="3" t="s">
        <v>1</v>
      </c>
      <c r="G2" s="4" t="s">
        <v>4</v>
      </c>
      <c r="H2" s="4" t="s">
        <v>5</v>
      </c>
      <c r="I2" s="4" t="s">
        <v>15</v>
      </c>
      <c r="J2" s="4" t="s">
        <v>16</v>
      </c>
      <c r="K2" s="4" t="s">
        <v>23</v>
      </c>
      <c r="L2" s="4" t="s">
        <v>24</v>
      </c>
      <c r="M2" s="4" t="s">
        <v>25</v>
      </c>
      <c r="N2" s="5" t="s">
        <v>26</v>
      </c>
    </row>
    <row r="3" spans="1:14" ht="16" thickBot="1" x14ac:dyDescent="0.25">
      <c r="A3" s="22" t="s">
        <v>7</v>
      </c>
      <c r="B3" s="23">
        <f>1-B2</f>
        <v>0.4</v>
      </c>
      <c r="E3" s="27">
        <v>10</v>
      </c>
      <c r="F3" s="25">
        <v>0.24999999999999822</v>
      </c>
      <c r="G3" s="43">
        <v>10</v>
      </c>
      <c r="H3" s="43">
        <v>9.5</v>
      </c>
      <c r="I3" s="43">
        <v>7</v>
      </c>
      <c r="J3" s="43">
        <v>8</v>
      </c>
      <c r="K3" s="43">
        <v>6</v>
      </c>
      <c r="L3" s="43">
        <v>6</v>
      </c>
      <c r="M3" s="43">
        <v>6</v>
      </c>
      <c r="N3" s="44">
        <v>6</v>
      </c>
    </row>
    <row r="4" spans="1:14" x14ac:dyDescent="0.2">
      <c r="A4" s="16" t="s">
        <v>10</v>
      </c>
      <c r="B4" s="17">
        <v>1</v>
      </c>
    </row>
    <row r="5" spans="1:14" ht="16" thickBot="1" x14ac:dyDescent="0.25">
      <c r="A5" s="18" t="s">
        <v>11</v>
      </c>
      <c r="B5" s="19">
        <v>1</v>
      </c>
      <c r="C5" s="1"/>
    </row>
    <row r="6" spans="1:14" ht="16" thickBot="1" x14ac:dyDescent="0.25"/>
    <row r="7" spans="1:14" ht="16" thickBot="1" x14ac:dyDescent="0.25">
      <c r="B7" s="7" t="s">
        <v>8</v>
      </c>
      <c r="C7" s="24">
        <f>(B4*((E3)*B2+((G3+H3+I3+J3)/4)*B3) + B5*(F3*B2+(((K3+L3+M3+N3)/4)*B3)))/(SUM(B4:B5))</f>
        <v>5.9999999999999991</v>
      </c>
    </row>
    <row r="8" spans="1:14" ht="16" thickBot="1" x14ac:dyDescent="0.25">
      <c r="B8" s="6" t="s">
        <v>9</v>
      </c>
      <c r="C8" s="26">
        <v>6</v>
      </c>
    </row>
    <row r="9" spans="1:14" ht="15" customHeight="1" x14ac:dyDescent="0.2"/>
    <row r="15" spans="1:14" x14ac:dyDescent="0.2">
      <c r="H15" t="s"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alcular_Esforco_N2">
                <anchor moveWithCells="1" sizeWithCells="1">
                  <from>
                    <xdr:col>5</xdr:col>
                    <xdr:colOff>0</xdr:colOff>
                    <xdr:row>5</xdr:row>
                    <xdr:rowOff>38100</xdr:rowOff>
                  </from>
                  <to>
                    <xdr:col>7</xdr:col>
                    <xdr:colOff>546100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Base</vt:lpstr>
      <vt:lpstr>Arquitetura</vt:lpstr>
      <vt:lpstr>LP2</vt:lpstr>
      <vt:lpstr>Redes</vt:lpstr>
      <vt:lpstr>BancoDeDados</vt:lpstr>
      <vt:lpstr>Microcontroladores</vt:lpstr>
      <vt:lpstr>Empreendedorismo</vt:lpstr>
      <vt:lpstr>EngenhariaSoftware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Neto, Fernando Henriques</dc:creator>
  <cp:lastModifiedBy>Fernando Henriques</cp:lastModifiedBy>
  <dcterms:created xsi:type="dcterms:W3CDTF">2022-10-08T00:30:26Z</dcterms:created>
  <dcterms:modified xsi:type="dcterms:W3CDTF">2023-09-25T20:08:44Z</dcterms:modified>
</cp:coreProperties>
</file>