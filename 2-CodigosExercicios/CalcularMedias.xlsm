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uabr-my.sharepoint.com/personal/18_00931-0_maua_br/Documents/3° ANO MAUA/"/>
    </mc:Choice>
  </mc:AlternateContent>
  <xr:revisionPtr revIDLastSave="819" documentId="8_{0276C279-9178-48E3-8D9A-DD99506AB524}" xr6:coauthVersionLast="47" xr6:coauthVersionMax="47" xr10:uidLastSave="{5ED583F4-58BA-4588-90FA-CF4CA2623FC4}"/>
  <bookViews>
    <workbookView xWindow="-110" yWindow="-110" windowWidth="19420" windowHeight="10420" xr2:uid="{3DCC1F04-22A2-45B8-AB94-37A04B4BCBF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C17" i="1" s="1"/>
  <c r="C38" i="1"/>
  <c r="B34" i="1"/>
  <c r="B3" i="1"/>
  <c r="C7" i="1" s="1"/>
  <c r="B24" i="1"/>
  <c r="C28" i="1" s="1"/>
</calcChain>
</file>

<file path=xl/sharedStrings.xml><?xml version="1.0" encoding="utf-8"?>
<sst xmlns="http://schemas.openxmlformats.org/spreadsheetml/2006/main" count="53" uniqueCount="25">
  <si>
    <t>p1</t>
  </si>
  <si>
    <t>p2</t>
  </si>
  <si>
    <t>p3</t>
  </si>
  <si>
    <t>p4</t>
  </si>
  <si>
    <t>t1</t>
  </si>
  <si>
    <t>t2</t>
  </si>
  <si>
    <t>Peso Prova</t>
  </si>
  <si>
    <t>Peso Trabalho</t>
  </si>
  <si>
    <t>MÉDIA</t>
  </si>
  <si>
    <t>DESEJADO</t>
  </si>
  <si>
    <t>Peso 1 Semestre</t>
  </si>
  <si>
    <t>Peso 2 Semestre</t>
  </si>
  <si>
    <t>Materia</t>
  </si>
  <si>
    <t>Sistemas Operacionais</t>
  </si>
  <si>
    <t>Média</t>
  </si>
  <si>
    <t>Compiladores</t>
  </si>
  <si>
    <t>Tópicos Avançados</t>
  </si>
  <si>
    <t>Arquitetura</t>
  </si>
  <si>
    <t>Estatística</t>
  </si>
  <si>
    <t>Sistemas Eletrônicos</t>
  </si>
  <si>
    <t>Sistemas de Controle</t>
  </si>
  <si>
    <t>t3</t>
  </si>
  <si>
    <t>t4</t>
  </si>
  <si>
    <t xml:space="preserve">  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</si>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</sst>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4" xfId="0" applyFill="1" applyBorder="1"/>
    <xf numFmtId="0" fontId="0" fillId="4" borderId="2" xfId="0" applyFill="1" applyBorder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4" fontId="0" fillId="6" borderId="16" xfId="0" applyNumberFormat="1" applyFill="1" applyBorder="1" applyAlignment="1">
      <alignment horizontal="center" vertical="center"/>
    </xf>
    <xf numFmtId="164" fontId="0" fillId="6" borderId="17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164" fontId="0" fillId="6" borderId="16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164" fontId="0" fillId="6" borderId="18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</xdr:row>
          <xdr:rowOff>88900</xdr:rowOff>
        </xdr:from>
        <xdr:to>
          <xdr:col>8</xdr:col>
          <xdr:colOff>177800</xdr:colOff>
          <xdr:row>7</xdr:row>
          <xdr:rowOff>63500</xdr:rowOff>
        </xdr:to>
        <xdr:sp macro="" textlink="">
          <xdr:nvSpPr>
            <xdr:cNvPr id="1025" name="Button 1" descr="Calcular Médi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14</xdr:row>
          <xdr:rowOff>165100</xdr:rowOff>
        </xdr:from>
        <xdr:to>
          <xdr:col>7</xdr:col>
          <xdr:colOff>381000</xdr:colOff>
          <xdr:row>16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25</xdr:row>
          <xdr:rowOff>165100</xdr:rowOff>
        </xdr:from>
        <xdr:to>
          <xdr:col>7</xdr:col>
          <xdr:colOff>381000</xdr:colOff>
          <xdr:row>27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35</xdr:row>
          <xdr:rowOff>165100</xdr:rowOff>
        </xdr:from>
        <xdr:to>
          <xdr:col>7</xdr:col>
          <xdr:colOff>381000</xdr:colOff>
          <xdr:row>37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A52A8-44E3-4805-AD46-D2FEB9017788}">
  <sheetPr codeName="Sheet1"/>
  <dimension ref="A1:Q46"/>
  <sheetViews>
    <sheetView tabSelected="1" zoomScale="85" zoomScaleNormal="85" workbookViewId="0">
      <selection activeCell="D12" sqref="D12"/>
    </sheetView>
  </sheetViews>
  <sheetFormatPr defaultRowHeight="14.5" x14ac:dyDescent="0.35"/>
  <cols>
    <col min="1" max="1" width="15" customWidth="1"/>
    <col min="2" max="2" width="12.453125" customWidth="1"/>
    <col min="11" max="11" width="4" customWidth="1"/>
    <col min="12" max="12" width="2.453125" customWidth="1"/>
    <col min="14" max="14" width="27" customWidth="1"/>
    <col min="15" max="15" width="10" customWidth="1"/>
  </cols>
  <sheetData>
    <row r="1" spans="1:17" ht="15" thickBot="1" x14ac:dyDescent="0.4">
      <c r="N1" s="27" t="s">
        <v>12</v>
      </c>
      <c r="O1" s="27" t="s">
        <v>3</v>
      </c>
      <c r="P1" s="27" t="s">
        <v>5</v>
      </c>
      <c r="Q1" s="27" t="s">
        <v>14</v>
      </c>
    </row>
    <row r="2" spans="1:17" ht="15" thickBot="1" x14ac:dyDescent="0.4">
      <c r="A2" s="10" t="s">
        <v>6</v>
      </c>
      <c r="B2" s="11">
        <v>0.6</v>
      </c>
      <c r="D2" s="1"/>
      <c r="E2" s="2" t="s">
        <v>0</v>
      </c>
      <c r="F2" s="3" t="s">
        <v>1</v>
      </c>
      <c r="G2" s="3" t="s">
        <v>2</v>
      </c>
      <c r="H2" s="3" t="s">
        <v>3</v>
      </c>
      <c r="I2" s="4" t="s">
        <v>4</v>
      </c>
      <c r="J2" s="5" t="s">
        <v>5</v>
      </c>
      <c r="L2" s="9"/>
      <c r="N2" s="28" t="s">
        <v>13</v>
      </c>
      <c r="O2" s="38">
        <v>0</v>
      </c>
      <c r="P2" s="38">
        <v>4</v>
      </c>
      <c r="Q2" s="41">
        <v>6</v>
      </c>
    </row>
    <row r="3" spans="1:17" ht="15" thickBot="1" x14ac:dyDescent="0.4">
      <c r="A3" s="12" t="s">
        <v>7</v>
      </c>
      <c r="B3" s="13">
        <f>1-B2</f>
        <v>0.4</v>
      </c>
      <c r="D3" s="1"/>
      <c r="E3" s="33">
        <v>9</v>
      </c>
      <c r="F3" s="31">
        <v>8</v>
      </c>
      <c r="G3" s="31">
        <v>4</v>
      </c>
      <c r="H3" s="31"/>
      <c r="I3" s="34">
        <v>8.5</v>
      </c>
      <c r="J3" s="35">
        <v>7.5</v>
      </c>
      <c r="L3" s="9"/>
      <c r="N3" s="29" t="s">
        <v>15</v>
      </c>
      <c r="O3" s="39">
        <v>1.1000000000000001</v>
      </c>
      <c r="P3" s="39">
        <v>6</v>
      </c>
      <c r="Q3" s="42">
        <v>6</v>
      </c>
    </row>
    <row r="4" spans="1:17" x14ac:dyDescent="0.35">
      <c r="A4" s="14" t="s">
        <v>10</v>
      </c>
      <c r="B4" s="15">
        <v>2</v>
      </c>
      <c r="E4" s="46" t="s">
        <v>24</v>
      </c>
      <c r="L4" s="9"/>
      <c r="N4" s="29" t="s">
        <v>16</v>
      </c>
      <c r="O4" s="39">
        <v>0</v>
      </c>
      <c r="P4" s="39">
        <v>0</v>
      </c>
      <c r="Q4" s="42">
        <v>6</v>
      </c>
    </row>
    <row r="5" spans="1:17" ht="15" thickBot="1" x14ac:dyDescent="0.4">
      <c r="A5" s="16" t="s">
        <v>11</v>
      </c>
      <c r="B5" s="17">
        <v>3</v>
      </c>
      <c r="L5" s="9"/>
      <c r="N5" s="29" t="s">
        <v>17</v>
      </c>
      <c r="O5" s="39">
        <v>0.2</v>
      </c>
      <c r="P5" s="39">
        <v>10</v>
      </c>
      <c r="Q5" s="42">
        <v>6</v>
      </c>
    </row>
    <row r="6" spans="1:17" ht="15" thickBot="1" x14ac:dyDescent="0.4">
      <c r="B6" s="1"/>
      <c r="C6" s="1"/>
      <c r="D6" s="1"/>
      <c r="E6" s="1"/>
      <c r="F6" s="1"/>
      <c r="G6" s="1"/>
      <c r="H6" s="1"/>
      <c r="I6" s="1"/>
      <c r="J6" s="1"/>
      <c r="L6" s="9"/>
      <c r="N6" s="29" t="s">
        <v>18</v>
      </c>
      <c r="O6" s="39">
        <v>1.1000000000000001</v>
      </c>
      <c r="P6" s="39">
        <v>10</v>
      </c>
      <c r="Q6" s="42">
        <v>6</v>
      </c>
    </row>
    <row r="7" spans="1:17" ht="15" thickBot="1" x14ac:dyDescent="0.4">
      <c r="B7" s="7" t="s">
        <v>8</v>
      </c>
      <c r="C7" s="45">
        <f>B2*((((E3+F3)/2)*B4)+(((G3+H3)/2)*B5))/(B4+B5) + B3*((I3+J3)/2)</f>
        <v>5.96</v>
      </c>
      <c r="D7" s="1"/>
      <c r="E7" s="1"/>
      <c r="F7" s="1"/>
      <c r="G7" s="1"/>
      <c r="H7" s="1"/>
      <c r="I7" s="1"/>
      <c r="J7" s="1"/>
      <c r="L7" s="9"/>
      <c r="N7" s="29" t="s">
        <v>19</v>
      </c>
      <c r="O7" s="39">
        <v>4.3</v>
      </c>
      <c r="P7" s="39">
        <v>8</v>
      </c>
      <c r="Q7" s="42">
        <v>6</v>
      </c>
    </row>
    <row r="8" spans="1:17" ht="15" customHeight="1" thickBot="1" x14ac:dyDescent="0.4">
      <c r="B8" s="6" t="s">
        <v>9</v>
      </c>
      <c r="C8" s="32">
        <v>6</v>
      </c>
      <c r="D8" s="1"/>
      <c r="E8" s="1"/>
      <c r="F8" s="1"/>
      <c r="G8" s="1"/>
      <c r="H8" s="1"/>
      <c r="I8" s="1"/>
      <c r="J8" s="1"/>
      <c r="L8" s="9"/>
      <c r="N8" s="30" t="s">
        <v>20</v>
      </c>
      <c r="O8" s="40">
        <v>3.3</v>
      </c>
      <c r="P8" s="40">
        <v>10</v>
      </c>
      <c r="Q8" s="43">
        <v>6</v>
      </c>
    </row>
    <row r="9" spans="1:17" x14ac:dyDescent="0.35">
      <c r="B9" s="1"/>
      <c r="C9" s="1"/>
      <c r="D9" s="1"/>
      <c r="I9" s="1"/>
      <c r="J9" s="1"/>
      <c r="L9" s="9"/>
    </row>
    <row r="10" spans="1:17" x14ac:dyDescent="0.35">
      <c r="A10" s="9"/>
      <c r="B10" s="8"/>
      <c r="C10" s="8"/>
      <c r="D10" s="8"/>
      <c r="E10" s="9"/>
      <c r="F10" s="9"/>
      <c r="G10" s="9"/>
      <c r="H10" s="9"/>
      <c r="I10" s="8"/>
      <c r="J10" s="8"/>
      <c r="K10" s="9"/>
      <c r="L10" s="9"/>
    </row>
    <row r="11" spans="1:17" ht="15" thickBot="1" x14ac:dyDescent="0.4">
      <c r="B11" s="1"/>
      <c r="C11" s="1"/>
      <c r="D11" s="1"/>
      <c r="I11" s="1"/>
      <c r="J11" s="1"/>
      <c r="L11" s="9"/>
    </row>
    <row r="12" spans="1:17" ht="15" thickBot="1" x14ac:dyDescent="0.4">
      <c r="A12" s="22" t="s">
        <v>6</v>
      </c>
      <c r="B12" s="23">
        <v>0.7</v>
      </c>
      <c r="D12" s="1"/>
      <c r="G12" s="2" t="s">
        <v>0</v>
      </c>
      <c r="H12" s="3" t="s">
        <v>1</v>
      </c>
      <c r="I12" s="4" t="s">
        <v>4</v>
      </c>
      <c r="J12" s="5" t="s">
        <v>5</v>
      </c>
      <c r="L12" s="9"/>
    </row>
    <row r="13" spans="1:17" ht="15" thickBot="1" x14ac:dyDescent="0.4">
      <c r="A13" s="24" t="s">
        <v>7</v>
      </c>
      <c r="B13" s="25">
        <f>1-B12</f>
        <v>0.30000000000000004</v>
      </c>
      <c r="G13" s="33">
        <v>6</v>
      </c>
      <c r="H13" s="31">
        <v>3.8571428571428554</v>
      </c>
      <c r="I13" s="34">
        <v>8</v>
      </c>
      <c r="J13" s="35">
        <v>9</v>
      </c>
      <c r="L13" s="9"/>
    </row>
    <row r="14" spans="1:17" x14ac:dyDescent="0.35">
      <c r="A14" s="18" t="s">
        <v>10</v>
      </c>
      <c r="B14" s="19">
        <v>1</v>
      </c>
      <c r="L14" s="9"/>
    </row>
    <row r="15" spans="1:17" ht="15" thickBot="1" x14ac:dyDescent="0.4">
      <c r="A15" s="20" t="s">
        <v>11</v>
      </c>
      <c r="B15" s="21">
        <v>1</v>
      </c>
      <c r="C15" s="1"/>
      <c r="L15" s="9"/>
    </row>
    <row r="16" spans="1:17" ht="15" thickBot="1" x14ac:dyDescent="0.4">
      <c r="L16" s="9"/>
    </row>
    <row r="17" spans="1:12" ht="15" thickBot="1" x14ac:dyDescent="0.4">
      <c r="B17" s="7" t="s">
        <v>8</v>
      </c>
      <c r="C17" s="44">
        <f>B12*((B14*G13+B15*H13)/(B14+B15) )+ B13*((I13+J13)/2 )</f>
        <v>6</v>
      </c>
      <c r="L17" s="9"/>
    </row>
    <row r="18" spans="1:12" ht="15" thickBot="1" x14ac:dyDescent="0.4">
      <c r="B18" s="6" t="s">
        <v>9</v>
      </c>
      <c r="C18" s="32">
        <v>6</v>
      </c>
      <c r="L18" s="9"/>
    </row>
    <row r="19" spans="1:12" x14ac:dyDescent="0.35">
      <c r="L19" s="9"/>
    </row>
    <row r="20" spans="1:12" x14ac:dyDescent="0.3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2" x14ac:dyDescent="0.35">
      <c r="L21" s="9"/>
    </row>
    <row r="22" spans="1:12" ht="15" thickBot="1" x14ac:dyDescent="0.4">
      <c r="B22" s="1"/>
      <c r="C22" s="1"/>
      <c r="D22" s="1"/>
      <c r="I22" s="1"/>
      <c r="L22" s="9"/>
    </row>
    <row r="23" spans="1:12" ht="15" thickBot="1" x14ac:dyDescent="0.4">
      <c r="A23" s="22" t="s">
        <v>6</v>
      </c>
      <c r="B23" s="23">
        <v>0.6</v>
      </c>
      <c r="D23" s="1"/>
      <c r="G23" s="2" t="s">
        <v>0</v>
      </c>
      <c r="H23" s="4" t="s">
        <v>4</v>
      </c>
      <c r="L23" s="9"/>
    </row>
    <row r="24" spans="1:12" ht="15" thickBot="1" x14ac:dyDescent="0.4">
      <c r="A24" s="36" t="s">
        <v>7</v>
      </c>
      <c r="B24" s="37">
        <f>1-B23</f>
        <v>0.4</v>
      </c>
      <c r="G24" s="33">
        <v>3.3333333333333339</v>
      </c>
      <c r="H24" s="34">
        <v>9</v>
      </c>
      <c r="L24" s="9"/>
    </row>
    <row r="25" spans="1:12" x14ac:dyDescent="0.35">
      <c r="L25" s="9"/>
    </row>
    <row r="26" spans="1:12" x14ac:dyDescent="0.35">
      <c r="C26" s="1"/>
      <c r="L26" s="9"/>
    </row>
    <row r="27" spans="1:12" ht="15" thickBot="1" x14ac:dyDescent="0.4">
      <c r="L27" s="9"/>
    </row>
    <row r="28" spans="1:12" ht="15" thickBot="1" x14ac:dyDescent="0.4">
      <c r="B28" s="7" t="s">
        <v>8</v>
      </c>
      <c r="C28" s="26">
        <f>G24*B23+B24*H24</f>
        <v>5.6000000000000005</v>
      </c>
      <c r="L28" s="9"/>
    </row>
    <row r="29" spans="1:12" ht="15" thickBot="1" x14ac:dyDescent="0.4">
      <c r="B29" s="6" t="s">
        <v>9</v>
      </c>
      <c r="C29" s="32">
        <v>6</v>
      </c>
      <c r="L29" s="9"/>
    </row>
    <row r="30" spans="1:12" x14ac:dyDescent="0.35">
      <c r="L30" s="9"/>
    </row>
    <row r="31" spans="1:12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</row>
    <row r="32" spans="1:12" ht="15" thickBot="1" x14ac:dyDescent="0.4">
      <c r="B32" s="1"/>
      <c r="C32" s="1"/>
      <c r="D32" s="1"/>
      <c r="I32" s="1"/>
      <c r="J32" s="1"/>
    </row>
    <row r="33" spans="1:10" ht="15" thickBot="1" x14ac:dyDescent="0.4">
      <c r="A33" s="22" t="s">
        <v>6</v>
      </c>
      <c r="B33" s="23">
        <v>0.5</v>
      </c>
      <c r="D33" s="1"/>
      <c r="E33" s="2" t="s">
        <v>0</v>
      </c>
      <c r="F33" s="3" t="s">
        <v>1</v>
      </c>
      <c r="G33" s="4" t="s">
        <v>4</v>
      </c>
      <c r="H33" s="4" t="s">
        <v>5</v>
      </c>
      <c r="I33" s="4" t="s">
        <v>21</v>
      </c>
      <c r="J33" s="4" t="s">
        <v>22</v>
      </c>
    </row>
    <row r="34" spans="1:10" ht="15" thickBot="1" x14ac:dyDescent="0.4">
      <c r="A34" s="24" t="s">
        <v>7</v>
      </c>
      <c r="B34" s="25">
        <f>1-B33</f>
        <v>0.5</v>
      </c>
      <c r="E34" s="33">
        <v>8</v>
      </c>
      <c r="F34" s="31">
        <v>3.5</v>
      </c>
      <c r="G34" s="4">
        <v>10</v>
      </c>
      <c r="H34" s="4">
        <v>9.5</v>
      </c>
      <c r="I34" s="4">
        <v>9.5</v>
      </c>
      <c r="J34" s="4">
        <v>0</v>
      </c>
    </row>
    <row r="35" spans="1:10" x14ac:dyDescent="0.35">
      <c r="A35" s="18" t="s">
        <v>10</v>
      </c>
      <c r="B35" s="19">
        <v>2</v>
      </c>
    </row>
    <row r="36" spans="1:10" ht="15" thickBot="1" x14ac:dyDescent="0.4">
      <c r="A36" s="20" t="s">
        <v>11</v>
      </c>
      <c r="B36" s="21">
        <v>3</v>
      </c>
      <c r="C36" s="1"/>
    </row>
    <row r="37" spans="1:10" ht="15" thickBot="1" x14ac:dyDescent="0.4"/>
    <row r="38" spans="1:10" ht="15" thickBot="1" x14ac:dyDescent="0.4">
      <c r="B38" s="7" t="s">
        <v>8</v>
      </c>
      <c r="C38" s="26">
        <f>(B35*((E34)*B33+((G34+H34)/2)*B34) + B36*(F34*B33+(((I34+J34)/2)*B34)))/5</f>
        <v>6.0250000000000004</v>
      </c>
    </row>
    <row r="39" spans="1:10" ht="15" thickBot="1" x14ac:dyDescent="0.4">
      <c r="B39" s="6" t="s">
        <v>9</v>
      </c>
      <c r="C39" s="32">
        <v>6</v>
      </c>
    </row>
    <row r="46" spans="1:10" x14ac:dyDescent="0.35">
      <c r="H46" t="s">
        <v>23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Esforco_1" altText="Calcular Média">
                <anchor moveWithCells="1" sizeWithCells="1">
                  <from>
                    <xdr:col>5</xdr:col>
                    <xdr:colOff>304800</xdr:colOff>
                    <xdr:row>5</xdr:row>
                    <xdr:rowOff>88900</xdr:rowOff>
                  </from>
                  <to>
                    <xdr:col>8</xdr:col>
                    <xdr:colOff>177800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cular_Esforco_3">
                <anchor moveWithCells="1" sizeWithCells="1">
                  <from>
                    <xdr:col>4</xdr:col>
                    <xdr:colOff>508000</xdr:colOff>
                    <xdr:row>25</xdr:row>
                    <xdr:rowOff>165100</xdr:rowOff>
                  </from>
                  <to>
                    <xdr:col>7</xdr:col>
                    <xdr:colOff>381000</xdr:colOff>
                    <xdr:row>27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alcular_Esforco_2">
                <anchor moveWithCells="1" sizeWithCells="1">
                  <from>
                    <xdr:col>4</xdr:col>
                    <xdr:colOff>508000</xdr:colOff>
                    <xdr:row>14</xdr:row>
                    <xdr:rowOff>165100</xdr:rowOff>
                  </from>
                  <to>
                    <xdr:col>7</xdr:col>
                    <xdr:colOff>381000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alcular_Esforco_2">
                <anchor moveWithCells="1" sizeWithCells="1">
                  <from>
                    <xdr:col>4</xdr:col>
                    <xdr:colOff>508000</xdr:colOff>
                    <xdr:row>35</xdr:row>
                    <xdr:rowOff>165100</xdr:rowOff>
                  </from>
                  <to>
                    <xdr:col>7</xdr:col>
                    <xdr:colOff>381000</xdr:colOff>
                    <xdr:row>37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Neto, Fernando Henriques</dc:creator>
  <cp:lastModifiedBy>Neto, Fernando Henriques</cp:lastModifiedBy>
  <dcterms:created xsi:type="dcterms:W3CDTF">2022-10-08T00:30:26Z</dcterms:created>
  <dcterms:modified xsi:type="dcterms:W3CDTF">2022-11-28T00:48:45Z</dcterms:modified>
</cp:coreProperties>
</file>